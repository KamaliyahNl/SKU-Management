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ASUS\Documents\"/>
    </mc:Choice>
  </mc:AlternateContent>
  <xr:revisionPtr revIDLastSave="0" documentId="13_ncr:1_{A5D7EC35-80A8-43ED-B3F7-99C77C6FA182}" xr6:coauthVersionLast="47" xr6:coauthVersionMax="47" xr10:uidLastSave="{00000000-0000-0000-0000-000000000000}"/>
  <bookViews>
    <workbookView xWindow="-120" yWindow="-120" windowWidth="20730" windowHeight="11040" xr2:uid="{78214342-5B4B-4613-AABD-9FDE4C9C11F9}"/>
  </bookViews>
  <sheets>
    <sheet name="DASHBOARD" sheetId="3" r:id="rId1"/>
    <sheet name="STOCK IN" sheetId="5" r:id="rId2"/>
    <sheet name="STOCK OUT" sheetId="6" r:id="rId3"/>
    <sheet name="CURRENT STOCK" sheetId="7" r:id="rId4"/>
    <sheet name="Item Master" sheetId="2" r:id="rId5"/>
    <sheet name="PIVOT " sheetId="8" r:id="rId6"/>
  </sheets>
  <definedNames>
    <definedName name="_xlnm._FilterDatabase" localSheetId="1" hidden="1">'STOCK IN'!$C$1:$D$1801</definedName>
    <definedName name="Slicer_Category">#N/A</definedName>
    <definedName name="Slicer_Item_Name">#N/A</definedName>
    <definedName name="Slicer_Stock_Status">#N/A</definedName>
    <definedName name="Slicer_Supplier_Name">#N/A</definedName>
    <definedName name="Slicer_Warehouse_Location">#N/A</definedName>
  </definedNames>
  <calcPr calcId="191029"/>
  <pivotCaches>
    <pivotCache cacheId="0" r:id="rId7"/>
    <pivotCache cacheId="1" r:id="rId8"/>
    <pivotCache cacheId="2"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8" i="3" l="1"/>
  <c r="S8" i="3"/>
  <c r="L8" i="3"/>
  <c r="E8" i="3"/>
  <c r="N3" i="7"/>
  <c r="N4" i="7"/>
  <c r="N5"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9" i="7"/>
  <c r="N70" i="7"/>
  <c r="N71" i="7"/>
  <c r="N72" i="7"/>
  <c r="N73" i="7"/>
  <c r="N74" i="7"/>
  <c r="N75" i="7"/>
  <c r="N76" i="7"/>
  <c r="N77" i="7"/>
  <c r="N78" i="7"/>
  <c r="N79" i="7"/>
  <c r="N80" i="7"/>
  <c r="N81" i="7"/>
  <c r="N82" i="7"/>
  <c r="N83" i="7"/>
  <c r="N84" i="7"/>
  <c r="N85" i="7"/>
  <c r="N86" i="7"/>
  <c r="N87" i="7"/>
  <c r="N88" i="7"/>
  <c r="N89" i="7"/>
  <c r="N90" i="7"/>
  <c r="N91" i="7"/>
  <c r="N92" i="7"/>
  <c r="N93" i="7"/>
  <c r="N94" i="7"/>
  <c r="N95" i="7"/>
  <c r="N96" i="7"/>
  <c r="N97" i="7"/>
  <c r="N98" i="7"/>
  <c r="N99" i="7"/>
  <c r="N100" i="7"/>
  <c r="N101" i="7"/>
  <c r="N102" i="7"/>
  <c r="N103" i="7"/>
  <c r="N104" i="7"/>
  <c r="N105" i="7"/>
  <c r="N106" i="7"/>
  <c r="N107" i="7"/>
  <c r="N108" i="7"/>
  <c r="N109" i="7"/>
  <c r="N110" i="7"/>
  <c r="N111" i="7"/>
  <c r="N112" i="7"/>
  <c r="N113" i="7"/>
  <c r="N114" i="7"/>
  <c r="N115" i="7"/>
  <c r="N116" i="7"/>
  <c r="N117" i="7"/>
  <c r="N118" i="7"/>
  <c r="N119" i="7"/>
  <c r="N120" i="7"/>
  <c r="N121" i="7"/>
  <c r="N122" i="7"/>
  <c r="N123" i="7"/>
  <c r="N124" i="7"/>
  <c r="N125" i="7"/>
  <c r="N126" i="7"/>
  <c r="N127" i="7"/>
  <c r="N128" i="7"/>
  <c r="N129" i="7"/>
  <c r="N130" i="7"/>
  <c r="N131" i="7"/>
  <c r="N132" i="7"/>
  <c r="N133" i="7"/>
  <c r="N134" i="7"/>
  <c r="N135" i="7"/>
  <c r="N136" i="7"/>
  <c r="N137" i="7"/>
  <c r="N138" i="7"/>
  <c r="N139" i="7"/>
  <c r="N140" i="7"/>
  <c r="N141" i="7"/>
  <c r="N142" i="7"/>
  <c r="N143" i="7"/>
  <c r="N144" i="7"/>
  <c r="N145" i="7"/>
  <c r="N146" i="7"/>
  <c r="N147" i="7"/>
  <c r="N148" i="7"/>
  <c r="N149" i="7"/>
  <c r="N150" i="7"/>
  <c r="N151" i="7"/>
  <c r="N152" i="7"/>
  <c r="N153" i="7"/>
  <c r="N154" i="7"/>
  <c r="N155" i="7"/>
  <c r="N156" i="7"/>
  <c r="N157" i="7"/>
  <c r="N158" i="7"/>
  <c r="N159" i="7"/>
  <c r="N160" i="7"/>
  <c r="N161" i="7"/>
  <c r="N162" i="7"/>
  <c r="N163" i="7"/>
  <c r="N164" i="7"/>
  <c r="N165" i="7"/>
  <c r="N166" i="7"/>
  <c r="N167" i="7"/>
  <c r="N168" i="7"/>
  <c r="N169" i="7"/>
  <c r="N170" i="7"/>
  <c r="N171" i="7"/>
  <c r="N172" i="7"/>
  <c r="N173" i="7"/>
  <c r="N174" i="7"/>
  <c r="N175" i="7"/>
  <c r="N176" i="7"/>
  <c r="N177" i="7"/>
  <c r="N178" i="7"/>
  <c r="N179" i="7"/>
  <c r="N180" i="7"/>
  <c r="N181" i="7"/>
  <c r="N182" i="7"/>
  <c r="N183" i="7"/>
  <c r="N184" i="7"/>
  <c r="N185" i="7"/>
  <c r="N186" i="7"/>
  <c r="N187" i="7"/>
  <c r="N188" i="7"/>
  <c r="N189" i="7"/>
  <c r="N190" i="7"/>
  <c r="N191" i="7"/>
  <c r="N192" i="7"/>
  <c r="N193" i="7"/>
  <c r="N194" i="7"/>
  <c r="N195" i="7"/>
  <c r="N196" i="7"/>
  <c r="N197" i="7"/>
  <c r="N198" i="7"/>
  <c r="N199" i="7"/>
  <c r="N200" i="7"/>
  <c r="N201" i="7"/>
  <c r="N202" i="7"/>
  <c r="N203" i="7"/>
  <c r="N204" i="7"/>
  <c r="N205" i="7"/>
  <c r="N206" i="7"/>
  <c r="N207" i="7"/>
  <c r="N208" i="7"/>
  <c r="N209" i="7"/>
  <c r="N210" i="7"/>
  <c r="N211" i="7"/>
  <c r="N212" i="7"/>
  <c r="N213" i="7"/>
  <c r="N214" i="7"/>
  <c r="N215" i="7"/>
  <c r="N216" i="7"/>
  <c r="N217" i="7"/>
  <c r="N218" i="7"/>
  <c r="N219" i="7"/>
  <c r="N220" i="7"/>
  <c r="N221" i="7"/>
  <c r="N222" i="7"/>
  <c r="N223" i="7"/>
  <c r="N224" i="7"/>
  <c r="N225" i="7"/>
  <c r="N226" i="7"/>
  <c r="N227" i="7"/>
  <c r="N228" i="7"/>
  <c r="N229" i="7"/>
  <c r="N230" i="7"/>
  <c r="N231" i="7"/>
  <c r="N232" i="7"/>
  <c r="N233" i="7"/>
  <c r="N234" i="7"/>
  <c r="N235" i="7"/>
  <c r="N236" i="7"/>
  <c r="N237" i="7"/>
  <c r="N238" i="7"/>
  <c r="N239" i="7"/>
  <c r="N240" i="7"/>
  <c r="N241" i="7"/>
  <c r="N242" i="7"/>
  <c r="N243" i="7"/>
  <c r="N244" i="7"/>
  <c r="N245" i="7"/>
  <c r="N246" i="7"/>
  <c r="N247" i="7"/>
  <c r="N248" i="7"/>
  <c r="N249" i="7"/>
  <c r="N250" i="7"/>
  <c r="N251" i="7"/>
  <c r="N252" i="7"/>
  <c r="N253" i="7"/>
  <c r="N254" i="7"/>
  <c r="N255" i="7"/>
  <c r="N256" i="7"/>
  <c r="N257" i="7"/>
  <c r="N258" i="7"/>
  <c r="N259" i="7"/>
  <c r="N260" i="7"/>
  <c r="N261" i="7"/>
  <c r="N262" i="7"/>
  <c r="N263" i="7"/>
  <c r="N264" i="7"/>
  <c r="N265" i="7"/>
  <c r="N266" i="7"/>
  <c r="N267" i="7"/>
  <c r="N268" i="7"/>
  <c r="N269" i="7"/>
  <c r="N270" i="7"/>
  <c r="N271" i="7"/>
  <c r="N272" i="7"/>
  <c r="N273" i="7"/>
  <c r="N274" i="7"/>
  <c r="N275" i="7"/>
  <c r="N276" i="7"/>
  <c r="N277" i="7"/>
  <c r="N278" i="7"/>
  <c r="N279" i="7"/>
  <c r="N280" i="7"/>
  <c r="N281" i="7"/>
  <c r="N282" i="7"/>
  <c r="N283" i="7"/>
  <c r="N284" i="7"/>
  <c r="N285" i="7"/>
  <c r="N286" i="7"/>
  <c r="N287" i="7"/>
  <c r="N288" i="7"/>
  <c r="N289" i="7"/>
  <c r="N290" i="7"/>
  <c r="N291" i="7"/>
  <c r="N292" i="7"/>
  <c r="N293" i="7"/>
  <c r="N294" i="7"/>
  <c r="N295" i="7"/>
  <c r="N296" i="7"/>
  <c r="N297" i="7"/>
  <c r="N298" i="7"/>
  <c r="N299" i="7"/>
  <c r="N300" i="7"/>
  <c r="N301" i="7"/>
  <c r="N302" i="7"/>
  <c r="N303" i="7"/>
  <c r="N304" i="7"/>
  <c r="N305" i="7"/>
  <c r="N306" i="7"/>
  <c r="N307" i="7"/>
  <c r="N308" i="7"/>
  <c r="N309" i="7"/>
  <c r="N310" i="7"/>
  <c r="N311" i="7"/>
  <c r="N312" i="7"/>
  <c r="N313" i="7"/>
  <c r="N314" i="7"/>
  <c r="N315" i="7"/>
  <c r="N316" i="7"/>
  <c r="N317" i="7"/>
  <c r="N318" i="7"/>
  <c r="N319" i="7"/>
  <c r="N320" i="7"/>
  <c r="N321" i="7"/>
  <c r="N322" i="7"/>
  <c r="N323" i="7"/>
  <c r="N324" i="7"/>
  <c r="N325" i="7"/>
  <c r="N326" i="7"/>
  <c r="N327" i="7"/>
  <c r="N328" i="7"/>
  <c r="N329" i="7"/>
  <c r="N330" i="7"/>
  <c r="N331" i="7"/>
  <c r="N332" i="7"/>
  <c r="N333" i="7"/>
  <c r="N334" i="7"/>
  <c r="N335" i="7"/>
  <c r="N336" i="7"/>
  <c r="N337" i="7"/>
  <c r="N338" i="7"/>
  <c r="N339" i="7"/>
  <c r="N340" i="7"/>
  <c r="N341" i="7"/>
  <c r="N342" i="7"/>
  <c r="N343" i="7"/>
  <c r="N344" i="7"/>
  <c r="N345" i="7"/>
  <c r="N346" i="7"/>
  <c r="N347" i="7"/>
  <c r="N348" i="7"/>
  <c r="N349" i="7"/>
  <c r="N350" i="7"/>
  <c r="N351" i="7"/>
  <c r="N352" i="7"/>
  <c r="N353" i="7"/>
  <c r="N354" i="7"/>
  <c r="N355" i="7"/>
  <c r="N356" i="7"/>
  <c r="N357" i="7"/>
  <c r="N358" i="7"/>
  <c r="N359" i="7"/>
  <c r="N360" i="7"/>
  <c r="N361" i="7"/>
  <c r="N362" i="7"/>
  <c r="N363" i="7"/>
  <c r="N364" i="7"/>
  <c r="N365" i="7"/>
  <c r="N366" i="7"/>
  <c r="N367" i="7"/>
  <c r="N368" i="7"/>
  <c r="N369" i="7"/>
  <c r="N370" i="7"/>
  <c r="N371" i="7"/>
  <c r="N372" i="7"/>
  <c r="N373" i="7"/>
  <c r="N374" i="7"/>
  <c r="N375" i="7"/>
  <c r="N376" i="7"/>
  <c r="N377" i="7"/>
  <c r="N378" i="7"/>
  <c r="N379" i="7"/>
  <c r="N380" i="7"/>
  <c r="N381" i="7"/>
  <c r="N382" i="7"/>
  <c r="N383" i="7"/>
  <c r="N384" i="7"/>
  <c r="N385" i="7"/>
  <c r="N386" i="7"/>
  <c r="N387" i="7"/>
  <c r="N388" i="7"/>
  <c r="N389" i="7"/>
  <c r="N390" i="7"/>
  <c r="N391" i="7"/>
  <c r="N392" i="7"/>
  <c r="N393" i="7"/>
  <c r="N394" i="7"/>
  <c r="N395" i="7"/>
  <c r="N396" i="7"/>
  <c r="N397" i="7"/>
  <c r="N398" i="7"/>
  <c r="N399" i="7"/>
  <c r="N400" i="7"/>
  <c r="N401" i="7"/>
  <c r="N402" i="7"/>
  <c r="N403" i="7"/>
  <c r="N404" i="7"/>
  <c r="N405" i="7"/>
  <c r="N406" i="7"/>
  <c r="N407" i="7"/>
  <c r="N408" i="7"/>
  <c r="N409" i="7"/>
  <c r="N410" i="7"/>
  <c r="N411" i="7"/>
  <c r="N412" i="7"/>
  <c r="N413" i="7"/>
  <c r="N414" i="7"/>
  <c r="N415" i="7"/>
  <c r="N416" i="7"/>
  <c r="N417" i="7"/>
  <c r="N418" i="7"/>
  <c r="N419" i="7"/>
  <c r="N420" i="7"/>
  <c r="N421" i="7"/>
  <c r="N422" i="7"/>
  <c r="N423" i="7"/>
  <c r="N424" i="7"/>
  <c r="N425" i="7"/>
  <c r="N426" i="7"/>
  <c r="N427" i="7"/>
  <c r="N428" i="7"/>
  <c r="N429" i="7"/>
  <c r="N430" i="7"/>
  <c r="N431" i="7"/>
  <c r="N432" i="7"/>
  <c r="N433" i="7"/>
  <c r="N434" i="7"/>
  <c r="N435" i="7"/>
  <c r="N436" i="7"/>
  <c r="N437" i="7"/>
  <c r="N438" i="7"/>
  <c r="N439" i="7"/>
  <c r="N440" i="7"/>
  <c r="N441" i="7"/>
  <c r="N442" i="7"/>
  <c r="N443" i="7"/>
  <c r="N444" i="7"/>
  <c r="N445" i="7"/>
  <c r="N446" i="7"/>
  <c r="N447" i="7"/>
  <c r="N448" i="7"/>
  <c r="N449" i="7"/>
  <c r="N450" i="7"/>
  <c r="N451" i="7"/>
  <c r="N452" i="7"/>
  <c r="N453" i="7"/>
  <c r="N454" i="7"/>
  <c r="N455" i="7"/>
  <c r="N456" i="7"/>
  <c r="N457" i="7"/>
  <c r="N458" i="7"/>
  <c r="N459" i="7"/>
  <c r="N460" i="7"/>
  <c r="N461" i="7"/>
  <c r="N462" i="7"/>
  <c r="N463" i="7"/>
  <c r="N464" i="7"/>
  <c r="N465" i="7"/>
  <c r="N466" i="7"/>
  <c r="N467" i="7"/>
  <c r="N468" i="7"/>
  <c r="N469" i="7"/>
  <c r="N470" i="7"/>
  <c r="N471" i="7"/>
  <c r="N472" i="7"/>
  <c r="N473" i="7"/>
  <c r="N474" i="7"/>
  <c r="N475" i="7"/>
  <c r="N476" i="7"/>
  <c r="N477" i="7"/>
  <c r="N478" i="7"/>
  <c r="N479" i="7"/>
  <c r="N480" i="7"/>
  <c r="N481" i="7"/>
  <c r="N482" i="7"/>
  <c r="N483" i="7"/>
  <c r="N484" i="7"/>
  <c r="N485" i="7"/>
  <c r="N486" i="7"/>
  <c r="N487" i="7"/>
  <c r="N488" i="7"/>
  <c r="N489" i="7"/>
  <c r="N490" i="7"/>
  <c r="N491" i="7"/>
  <c r="N492" i="7"/>
  <c r="N493" i="7"/>
  <c r="N494" i="7"/>
  <c r="N495" i="7"/>
  <c r="N496" i="7"/>
  <c r="N497" i="7"/>
  <c r="N498" i="7"/>
  <c r="N499" i="7"/>
  <c r="N500" i="7"/>
  <c r="N501" i="7"/>
  <c r="N2" i="7"/>
  <c r="R14" i="7"/>
  <c r="R15" i="7"/>
  <c r="R16" i="7"/>
  <c r="R17" i="7"/>
  <c r="R18" i="7"/>
  <c r="R19" i="7"/>
  <c r="R20" i="7"/>
  <c r="R21" i="7"/>
  <c r="R22" i="7"/>
  <c r="R23" i="7"/>
  <c r="R24" i="7"/>
  <c r="R25" i="7"/>
  <c r="R26" i="7"/>
  <c r="R27" i="7"/>
  <c r="R28" i="7"/>
  <c r="R29" i="7"/>
  <c r="R30" i="7"/>
  <c r="R31" i="7"/>
  <c r="R32" i="7"/>
  <c r="R33" i="7"/>
  <c r="R34" i="7"/>
  <c r="R35" i="7"/>
  <c r="R36" i="7"/>
  <c r="R37" i="7"/>
  <c r="R38" i="7"/>
  <c r="R39" i="7"/>
  <c r="R40" i="7"/>
  <c r="R41" i="7"/>
  <c r="R42" i="7"/>
  <c r="R43" i="7"/>
  <c r="R44" i="7"/>
  <c r="R45" i="7"/>
  <c r="R46" i="7"/>
  <c r="R47" i="7"/>
  <c r="R48" i="7"/>
  <c r="R49" i="7"/>
  <c r="R50" i="7"/>
  <c r="R51" i="7"/>
  <c r="R52" i="7"/>
  <c r="R53" i="7"/>
  <c r="R54" i="7"/>
  <c r="R55" i="7"/>
  <c r="R56" i="7"/>
  <c r="R57" i="7"/>
  <c r="R58" i="7"/>
  <c r="R59" i="7"/>
  <c r="R60" i="7"/>
  <c r="R61" i="7"/>
  <c r="R62" i="7"/>
  <c r="R63" i="7"/>
  <c r="R64" i="7"/>
  <c r="R65" i="7"/>
  <c r="R66" i="7"/>
  <c r="R67" i="7"/>
  <c r="R68" i="7"/>
  <c r="R69" i="7"/>
  <c r="R70" i="7"/>
  <c r="R71" i="7"/>
  <c r="R72" i="7"/>
  <c r="R73" i="7"/>
  <c r="R74" i="7"/>
  <c r="R75" i="7"/>
  <c r="R76" i="7"/>
  <c r="R77" i="7"/>
  <c r="R78" i="7"/>
  <c r="R79" i="7"/>
  <c r="R80" i="7"/>
  <c r="R81" i="7"/>
  <c r="R82" i="7"/>
  <c r="R83" i="7"/>
  <c r="R84" i="7"/>
  <c r="R85" i="7"/>
  <c r="R86" i="7"/>
  <c r="R87" i="7"/>
  <c r="R88" i="7"/>
  <c r="R89" i="7"/>
  <c r="R90" i="7"/>
  <c r="R91" i="7"/>
  <c r="R92" i="7"/>
  <c r="R93" i="7"/>
  <c r="R94" i="7"/>
  <c r="R95" i="7"/>
  <c r="R96" i="7"/>
  <c r="R97" i="7"/>
  <c r="R98" i="7"/>
  <c r="R99" i="7"/>
  <c r="R100" i="7"/>
  <c r="R101" i="7"/>
  <c r="R102" i="7"/>
  <c r="R103" i="7"/>
  <c r="R104" i="7"/>
  <c r="R105" i="7"/>
  <c r="R106" i="7"/>
  <c r="R107" i="7"/>
  <c r="R108" i="7"/>
  <c r="R109" i="7"/>
  <c r="R110" i="7"/>
  <c r="R111" i="7"/>
  <c r="R112" i="7"/>
  <c r="R113" i="7"/>
  <c r="R114" i="7"/>
  <c r="R115" i="7"/>
  <c r="R116" i="7"/>
  <c r="R117" i="7"/>
  <c r="R118" i="7"/>
  <c r="R119" i="7"/>
  <c r="R120" i="7"/>
  <c r="R121" i="7"/>
  <c r="R122" i="7"/>
  <c r="R123" i="7"/>
  <c r="R124" i="7"/>
  <c r="R125" i="7"/>
  <c r="R126" i="7"/>
  <c r="R127" i="7"/>
  <c r="R128" i="7"/>
  <c r="R129" i="7"/>
  <c r="R130" i="7"/>
  <c r="R131" i="7"/>
  <c r="R132" i="7"/>
  <c r="R133" i="7"/>
  <c r="R134" i="7"/>
  <c r="R135" i="7"/>
  <c r="R136" i="7"/>
  <c r="R137" i="7"/>
  <c r="R138" i="7"/>
  <c r="R139" i="7"/>
  <c r="R140" i="7"/>
  <c r="R141" i="7"/>
  <c r="R142" i="7"/>
  <c r="R143" i="7"/>
  <c r="R144" i="7"/>
  <c r="R145" i="7"/>
  <c r="R146" i="7"/>
  <c r="R147" i="7"/>
  <c r="R148" i="7"/>
  <c r="R149" i="7"/>
  <c r="R150" i="7"/>
  <c r="R151" i="7"/>
  <c r="R152" i="7"/>
  <c r="R153" i="7"/>
  <c r="R154" i="7"/>
  <c r="R155" i="7"/>
  <c r="R156" i="7"/>
  <c r="R157" i="7"/>
  <c r="R158" i="7"/>
  <c r="R159" i="7"/>
  <c r="R160" i="7"/>
  <c r="R161" i="7"/>
  <c r="R162" i="7"/>
  <c r="R163" i="7"/>
  <c r="R164" i="7"/>
  <c r="R165" i="7"/>
  <c r="R166" i="7"/>
  <c r="R167" i="7"/>
  <c r="R168" i="7"/>
  <c r="R169" i="7"/>
  <c r="R170" i="7"/>
  <c r="R171" i="7"/>
  <c r="R172" i="7"/>
  <c r="R173" i="7"/>
  <c r="R174" i="7"/>
  <c r="R175" i="7"/>
  <c r="R176" i="7"/>
  <c r="R177" i="7"/>
  <c r="R178" i="7"/>
  <c r="R179" i="7"/>
  <c r="R180" i="7"/>
  <c r="R181" i="7"/>
  <c r="R182" i="7"/>
  <c r="R183" i="7"/>
  <c r="R184" i="7"/>
  <c r="R185" i="7"/>
  <c r="R186" i="7"/>
  <c r="R187" i="7"/>
  <c r="R188" i="7"/>
  <c r="R189" i="7"/>
  <c r="R190" i="7"/>
  <c r="R191" i="7"/>
  <c r="R192" i="7"/>
  <c r="R193" i="7"/>
  <c r="R194" i="7"/>
  <c r="R195" i="7"/>
  <c r="R196" i="7"/>
  <c r="R197" i="7"/>
  <c r="R198" i="7"/>
  <c r="R199" i="7"/>
  <c r="R200" i="7"/>
  <c r="R201" i="7"/>
  <c r="R202" i="7"/>
  <c r="R203" i="7"/>
  <c r="R204" i="7"/>
  <c r="R205" i="7"/>
  <c r="R206" i="7"/>
  <c r="R207" i="7"/>
  <c r="R208" i="7"/>
  <c r="R209" i="7"/>
  <c r="R210" i="7"/>
  <c r="R211" i="7"/>
  <c r="R212" i="7"/>
  <c r="R213" i="7"/>
  <c r="R214" i="7"/>
  <c r="R215" i="7"/>
  <c r="R216" i="7"/>
  <c r="R217" i="7"/>
  <c r="R218" i="7"/>
  <c r="R219" i="7"/>
  <c r="R220" i="7"/>
  <c r="R221" i="7"/>
  <c r="R222" i="7"/>
  <c r="R223" i="7"/>
  <c r="R224" i="7"/>
  <c r="R225" i="7"/>
  <c r="R226" i="7"/>
  <c r="R227" i="7"/>
  <c r="R228" i="7"/>
  <c r="R229" i="7"/>
  <c r="R230" i="7"/>
  <c r="R231" i="7"/>
  <c r="R232" i="7"/>
  <c r="R233" i="7"/>
  <c r="R234" i="7"/>
  <c r="R235" i="7"/>
  <c r="R236" i="7"/>
  <c r="R237" i="7"/>
  <c r="R238" i="7"/>
  <c r="R239" i="7"/>
  <c r="R240" i="7"/>
  <c r="R241" i="7"/>
  <c r="R242" i="7"/>
  <c r="R243" i="7"/>
  <c r="R244" i="7"/>
  <c r="R245" i="7"/>
  <c r="R246" i="7"/>
  <c r="R247" i="7"/>
  <c r="R248" i="7"/>
  <c r="R249" i="7"/>
  <c r="R250" i="7"/>
  <c r="R251" i="7"/>
  <c r="R252" i="7"/>
  <c r="R253" i="7"/>
  <c r="R254" i="7"/>
  <c r="R255" i="7"/>
  <c r="R256" i="7"/>
  <c r="R257" i="7"/>
  <c r="R258" i="7"/>
  <c r="R259" i="7"/>
  <c r="R260" i="7"/>
  <c r="R261" i="7"/>
  <c r="R262" i="7"/>
  <c r="R263" i="7"/>
  <c r="R264" i="7"/>
  <c r="R265" i="7"/>
  <c r="R266" i="7"/>
  <c r="R267" i="7"/>
  <c r="R268" i="7"/>
  <c r="R269" i="7"/>
  <c r="R270" i="7"/>
  <c r="R271" i="7"/>
  <c r="R272" i="7"/>
  <c r="R273" i="7"/>
  <c r="R274" i="7"/>
  <c r="R275" i="7"/>
  <c r="R276" i="7"/>
  <c r="R277" i="7"/>
  <c r="R278" i="7"/>
  <c r="R279" i="7"/>
  <c r="R280" i="7"/>
  <c r="R281" i="7"/>
  <c r="R282" i="7"/>
  <c r="R283" i="7"/>
  <c r="R284" i="7"/>
  <c r="R285" i="7"/>
  <c r="R286" i="7"/>
  <c r="R287" i="7"/>
  <c r="R288" i="7"/>
  <c r="R289" i="7"/>
  <c r="R290" i="7"/>
  <c r="R291" i="7"/>
  <c r="R292" i="7"/>
  <c r="R293" i="7"/>
  <c r="R294" i="7"/>
  <c r="R295" i="7"/>
  <c r="R296" i="7"/>
  <c r="R297" i="7"/>
  <c r="R298" i="7"/>
  <c r="R299" i="7"/>
  <c r="R300" i="7"/>
  <c r="R301" i="7"/>
  <c r="R302" i="7"/>
  <c r="R303" i="7"/>
  <c r="R304" i="7"/>
  <c r="R305" i="7"/>
  <c r="R306" i="7"/>
  <c r="R307" i="7"/>
  <c r="R308" i="7"/>
  <c r="R309" i="7"/>
  <c r="R310" i="7"/>
  <c r="R311" i="7"/>
  <c r="R312" i="7"/>
  <c r="R313" i="7"/>
  <c r="R314" i="7"/>
  <c r="R315" i="7"/>
  <c r="R316" i="7"/>
  <c r="R317" i="7"/>
  <c r="R318" i="7"/>
  <c r="R319" i="7"/>
  <c r="R320" i="7"/>
  <c r="R321" i="7"/>
  <c r="R322" i="7"/>
  <c r="R323" i="7"/>
  <c r="R324" i="7"/>
  <c r="R325" i="7"/>
  <c r="R326" i="7"/>
  <c r="R327" i="7"/>
  <c r="R328" i="7"/>
  <c r="R329" i="7"/>
  <c r="R330" i="7"/>
  <c r="R331" i="7"/>
  <c r="R332" i="7"/>
  <c r="R333" i="7"/>
  <c r="R334" i="7"/>
  <c r="R335" i="7"/>
  <c r="R336" i="7"/>
  <c r="R337" i="7"/>
  <c r="R338" i="7"/>
  <c r="R339" i="7"/>
  <c r="R340" i="7"/>
  <c r="R341" i="7"/>
  <c r="R342" i="7"/>
  <c r="R343" i="7"/>
  <c r="R344" i="7"/>
  <c r="R345" i="7"/>
  <c r="R346" i="7"/>
  <c r="R347" i="7"/>
  <c r="R348" i="7"/>
  <c r="R349" i="7"/>
  <c r="R350" i="7"/>
  <c r="R351" i="7"/>
  <c r="R352" i="7"/>
  <c r="R353" i="7"/>
  <c r="R354" i="7"/>
  <c r="R355" i="7"/>
  <c r="R356" i="7"/>
  <c r="R357" i="7"/>
  <c r="R358" i="7"/>
  <c r="R359" i="7"/>
  <c r="R360" i="7"/>
  <c r="R361" i="7"/>
  <c r="R362" i="7"/>
  <c r="R363" i="7"/>
  <c r="R364" i="7"/>
  <c r="R365" i="7"/>
  <c r="R366" i="7"/>
  <c r="R367" i="7"/>
  <c r="R368" i="7"/>
  <c r="R369" i="7"/>
  <c r="R370" i="7"/>
  <c r="R371" i="7"/>
  <c r="R372" i="7"/>
  <c r="R373" i="7"/>
  <c r="R374" i="7"/>
  <c r="R375" i="7"/>
  <c r="R376" i="7"/>
  <c r="R377" i="7"/>
  <c r="R378" i="7"/>
  <c r="R379" i="7"/>
  <c r="R380" i="7"/>
  <c r="R381" i="7"/>
  <c r="R382" i="7"/>
  <c r="R383" i="7"/>
  <c r="R384" i="7"/>
  <c r="R385" i="7"/>
  <c r="R386" i="7"/>
  <c r="R387" i="7"/>
  <c r="R388" i="7"/>
  <c r="R389" i="7"/>
  <c r="R390" i="7"/>
  <c r="R391" i="7"/>
  <c r="R392" i="7"/>
  <c r="R393" i="7"/>
  <c r="R394" i="7"/>
  <c r="R395" i="7"/>
  <c r="R396" i="7"/>
  <c r="R397" i="7"/>
  <c r="R398" i="7"/>
  <c r="R399" i="7"/>
  <c r="R400" i="7"/>
  <c r="R401" i="7"/>
  <c r="R402" i="7"/>
  <c r="R403" i="7"/>
  <c r="R404" i="7"/>
  <c r="R405" i="7"/>
  <c r="R406" i="7"/>
  <c r="R407" i="7"/>
  <c r="R408" i="7"/>
  <c r="R409" i="7"/>
  <c r="R410" i="7"/>
  <c r="R411" i="7"/>
  <c r="R412" i="7"/>
  <c r="R413" i="7"/>
  <c r="R414" i="7"/>
  <c r="R415" i="7"/>
  <c r="R416" i="7"/>
  <c r="R417" i="7"/>
  <c r="R418" i="7"/>
  <c r="R419" i="7"/>
  <c r="R420" i="7"/>
  <c r="R421" i="7"/>
  <c r="R422" i="7"/>
  <c r="R423" i="7"/>
  <c r="R424" i="7"/>
  <c r="R425" i="7"/>
  <c r="R426" i="7"/>
  <c r="R427" i="7"/>
  <c r="R428" i="7"/>
  <c r="R429" i="7"/>
  <c r="R430" i="7"/>
  <c r="R431" i="7"/>
  <c r="R432" i="7"/>
  <c r="R433" i="7"/>
  <c r="R434" i="7"/>
  <c r="R435" i="7"/>
  <c r="R436" i="7"/>
  <c r="R437" i="7"/>
  <c r="R438" i="7"/>
  <c r="R439" i="7"/>
  <c r="R440" i="7"/>
  <c r="R441" i="7"/>
  <c r="R442" i="7"/>
  <c r="R443" i="7"/>
  <c r="R444" i="7"/>
  <c r="R445" i="7"/>
  <c r="R446" i="7"/>
  <c r="R447" i="7"/>
  <c r="R448" i="7"/>
  <c r="R449" i="7"/>
  <c r="R450" i="7"/>
  <c r="R451" i="7"/>
  <c r="R452" i="7"/>
  <c r="R453" i="7"/>
  <c r="R454" i="7"/>
  <c r="R455" i="7"/>
  <c r="R456" i="7"/>
  <c r="R457" i="7"/>
  <c r="R458" i="7"/>
  <c r="R459" i="7"/>
  <c r="R460" i="7"/>
  <c r="R461" i="7"/>
  <c r="R462" i="7"/>
  <c r="R463" i="7"/>
  <c r="R464" i="7"/>
  <c r="R465" i="7"/>
  <c r="R466" i="7"/>
  <c r="R467" i="7"/>
  <c r="R468" i="7"/>
  <c r="R469" i="7"/>
  <c r="R470" i="7"/>
  <c r="R471" i="7"/>
  <c r="R472" i="7"/>
  <c r="R473" i="7"/>
  <c r="R474" i="7"/>
  <c r="R475" i="7"/>
  <c r="R476" i="7"/>
  <c r="R477" i="7"/>
  <c r="R478" i="7"/>
  <c r="R479" i="7"/>
  <c r="R480" i="7"/>
  <c r="R481" i="7"/>
  <c r="R482" i="7"/>
  <c r="R483" i="7"/>
  <c r="R484" i="7"/>
  <c r="R485" i="7"/>
  <c r="R486" i="7"/>
  <c r="R487" i="7"/>
  <c r="R488" i="7"/>
  <c r="R489" i="7"/>
  <c r="R490" i="7"/>
  <c r="R491" i="7"/>
  <c r="R492" i="7"/>
  <c r="R493" i="7"/>
  <c r="R494" i="7"/>
  <c r="R495" i="7"/>
  <c r="R496" i="7"/>
  <c r="R497" i="7"/>
  <c r="R498" i="7"/>
  <c r="R499" i="7"/>
  <c r="R500" i="7"/>
  <c r="R501" i="7"/>
  <c r="R3" i="7"/>
  <c r="R4" i="7"/>
  <c r="R5" i="7"/>
  <c r="R6" i="7"/>
  <c r="R7" i="7"/>
  <c r="R8" i="7"/>
  <c r="R9" i="7"/>
  <c r="R10" i="7"/>
  <c r="R11" i="7"/>
  <c r="R12" i="7"/>
  <c r="R13" i="7"/>
  <c r="R2" i="7"/>
  <c r="P2" i="7"/>
  <c r="Q3" i="7"/>
  <c r="Q4" i="7"/>
  <c r="Q5" i="7"/>
  <c r="Q6" i="7"/>
  <c r="Q7" i="7"/>
  <c r="Q8" i="7"/>
  <c r="Q9" i="7"/>
  <c r="Q10" i="7"/>
  <c r="Q11" i="7"/>
  <c r="Q12" i="7"/>
  <c r="Q13" i="7"/>
  <c r="Q14" i="7"/>
  <c r="Q15" i="7"/>
  <c r="Q16" i="7"/>
  <c r="Q17" i="7"/>
  <c r="Q18" i="7"/>
  <c r="Q19" i="7"/>
  <c r="Q20" i="7"/>
  <c r="Q21" i="7"/>
  <c r="Q22" i="7"/>
  <c r="Q23" i="7"/>
  <c r="Q24" i="7"/>
  <c r="Q25" i="7"/>
  <c r="Q26" i="7"/>
  <c r="Q27" i="7"/>
  <c r="Q28" i="7"/>
  <c r="Q29" i="7"/>
  <c r="Q30" i="7"/>
  <c r="Q31" i="7"/>
  <c r="Q32" i="7"/>
  <c r="Q33" i="7"/>
  <c r="Q34" i="7"/>
  <c r="Q35" i="7"/>
  <c r="Q36" i="7"/>
  <c r="Q37" i="7"/>
  <c r="Q38" i="7"/>
  <c r="Q39" i="7"/>
  <c r="Q40" i="7"/>
  <c r="Q41" i="7"/>
  <c r="Q42" i="7"/>
  <c r="Q43" i="7"/>
  <c r="Q44" i="7"/>
  <c r="Q45" i="7"/>
  <c r="Q46" i="7"/>
  <c r="Q47" i="7"/>
  <c r="Q48" i="7"/>
  <c r="Q49" i="7"/>
  <c r="Q50" i="7"/>
  <c r="Q51" i="7"/>
  <c r="Q52" i="7"/>
  <c r="Q53" i="7"/>
  <c r="Q54" i="7"/>
  <c r="Q55" i="7"/>
  <c r="Q56" i="7"/>
  <c r="Q57" i="7"/>
  <c r="Q58" i="7"/>
  <c r="Q59" i="7"/>
  <c r="Q60" i="7"/>
  <c r="Q61" i="7"/>
  <c r="Q62" i="7"/>
  <c r="Q63" i="7"/>
  <c r="Q64" i="7"/>
  <c r="Q65" i="7"/>
  <c r="Q66" i="7"/>
  <c r="Q67" i="7"/>
  <c r="Q68" i="7"/>
  <c r="Q69" i="7"/>
  <c r="Q70" i="7"/>
  <c r="Q71" i="7"/>
  <c r="Q72" i="7"/>
  <c r="Q73" i="7"/>
  <c r="Q74" i="7"/>
  <c r="Q75" i="7"/>
  <c r="Q76" i="7"/>
  <c r="Q77" i="7"/>
  <c r="Q78" i="7"/>
  <c r="Q79" i="7"/>
  <c r="Q80" i="7"/>
  <c r="Q81" i="7"/>
  <c r="Q82" i="7"/>
  <c r="Q83" i="7"/>
  <c r="Q84" i="7"/>
  <c r="Q85" i="7"/>
  <c r="Q86" i="7"/>
  <c r="Q87" i="7"/>
  <c r="Q88" i="7"/>
  <c r="Q89" i="7"/>
  <c r="Q90" i="7"/>
  <c r="Q91" i="7"/>
  <c r="Q92" i="7"/>
  <c r="Q93" i="7"/>
  <c r="Q94" i="7"/>
  <c r="Q95" i="7"/>
  <c r="Q96" i="7"/>
  <c r="Q97" i="7"/>
  <c r="Q98" i="7"/>
  <c r="Q99" i="7"/>
  <c r="Q100" i="7"/>
  <c r="Q101" i="7"/>
  <c r="Q102" i="7"/>
  <c r="Q103" i="7"/>
  <c r="Q104" i="7"/>
  <c r="Q105" i="7"/>
  <c r="Q106" i="7"/>
  <c r="Q107" i="7"/>
  <c r="Q108" i="7"/>
  <c r="Q109" i="7"/>
  <c r="Q110" i="7"/>
  <c r="Q111" i="7"/>
  <c r="Q112" i="7"/>
  <c r="Q113" i="7"/>
  <c r="Q114" i="7"/>
  <c r="Q115" i="7"/>
  <c r="Q116" i="7"/>
  <c r="Q117" i="7"/>
  <c r="Q118" i="7"/>
  <c r="Q119" i="7"/>
  <c r="Q120" i="7"/>
  <c r="Q121" i="7"/>
  <c r="Q122" i="7"/>
  <c r="Q123" i="7"/>
  <c r="Q124" i="7"/>
  <c r="Q125" i="7"/>
  <c r="Q126" i="7"/>
  <c r="Q127" i="7"/>
  <c r="Q128" i="7"/>
  <c r="Q129" i="7"/>
  <c r="Q130" i="7"/>
  <c r="Q131" i="7"/>
  <c r="Q132" i="7"/>
  <c r="Q133" i="7"/>
  <c r="Q134" i="7"/>
  <c r="Q135" i="7"/>
  <c r="Q136" i="7"/>
  <c r="Q137" i="7"/>
  <c r="Q138" i="7"/>
  <c r="Q139" i="7"/>
  <c r="Q140" i="7"/>
  <c r="Q141" i="7"/>
  <c r="Q142" i="7"/>
  <c r="Q143" i="7"/>
  <c r="Q144" i="7"/>
  <c r="Q145" i="7"/>
  <c r="Q146" i="7"/>
  <c r="Q147" i="7"/>
  <c r="Q148" i="7"/>
  <c r="Q149" i="7"/>
  <c r="Q150" i="7"/>
  <c r="Q151" i="7"/>
  <c r="Q152" i="7"/>
  <c r="Q153" i="7"/>
  <c r="Q154" i="7"/>
  <c r="Q155" i="7"/>
  <c r="Q156" i="7"/>
  <c r="Q157" i="7"/>
  <c r="Q158" i="7"/>
  <c r="Q159" i="7"/>
  <c r="Q160" i="7"/>
  <c r="Q161" i="7"/>
  <c r="Q162" i="7"/>
  <c r="Q163" i="7"/>
  <c r="Q164" i="7"/>
  <c r="Q165" i="7"/>
  <c r="Q166" i="7"/>
  <c r="Q167" i="7"/>
  <c r="Q168" i="7"/>
  <c r="Q169" i="7"/>
  <c r="Q170" i="7"/>
  <c r="Q171" i="7"/>
  <c r="Q172" i="7"/>
  <c r="Q173" i="7"/>
  <c r="Q174" i="7"/>
  <c r="Q175" i="7"/>
  <c r="Q176" i="7"/>
  <c r="Q177" i="7"/>
  <c r="Q178" i="7"/>
  <c r="Q179" i="7"/>
  <c r="Q180" i="7"/>
  <c r="Q181" i="7"/>
  <c r="Q182" i="7"/>
  <c r="Q183" i="7"/>
  <c r="Q184" i="7"/>
  <c r="Q185" i="7"/>
  <c r="Q186" i="7"/>
  <c r="Q187" i="7"/>
  <c r="Q188" i="7"/>
  <c r="Q189" i="7"/>
  <c r="Q190" i="7"/>
  <c r="Q191" i="7"/>
  <c r="Q192" i="7"/>
  <c r="Q193" i="7"/>
  <c r="Q194" i="7"/>
  <c r="Q195" i="7"/>
  <c r="Q196" i="7"/>
  <c r="Q197" i="7"/>
  <c r="Q198" i="7"/>
  <c r="Q199" i="7"/>
  <c r="Q200" i="7"/>
  <c r="Q201" i="7"/>
  <c r="Q202" i="7"/>
  <c r="Q203" i="7"/>
  <c r="Q204" i="7"/>
  <c r="Q205" i="7"/>
  <c r="Q206" i="7"/>
  <c r="Q207" i="7"/>
  <c r="Q208" i="7"/>
  <c r="Q209" i="7"/>
  <c r="Q210" i="7"/>
  <c r="Q211" i="7"/>
  <c r="Q212" i="7"/>
  <c r="Q213" i="7"/>
  <c r="Q214" i="7"/>
  <c r="Q215" i="7"/>
  <c r="Q216" i="7"/>
  <c r="Q217" i="7"/>
  <c r="Q218" i="7"/>
  <c r="Q219" i="7"/>
  <c r="Q220" i="7"/>
  <c r="Q221" i="7"/>
  <c r="Q222" i="7"/>
  <c r="Q223" i="7"/>
  <c r="Q224" i="7"/>
  <c r="Q225" i="7"/>
  <c r="Q226" i="7"/>
  <c r="Q227" i="7"/>
  <c r="Q228" i="7"/>
  <c r="Q229" i="7"/>
  <c r="Q230" i="7"/>
  <c r="Q231" i="7"/>
  <c r="Q232" i="7"/>
  <c r="Q233" i="7"/>
  <c r="Q234" i="7"/>
  <c r="Q235" i="7"/>
  <c r="Q236" i="7"/>
  <c r="Q237" i="7"/>
  <c r="Q238" i="7"/>
  <c r="Q239" i="7"/>
  <c r="Q240" i="7"/>
  <c r="Q241" i="7"/>
  <c r="Q242" i="7"/>
  <c r="Q243" i="7"/>
  <c r="Q244" i="7"/>
  <c r="Q245" i="7"/>
  <c r="Q246" i="7"/>
  <c r="Q247" i="7"/>
  <c r="Q248" i="7"/>
  <c r="Q249" i="7"/>
  <c r="Q250" i="7"/>
  <c r="Q251" i="7"/>
  <c r="Q252" i="7"/>
  <c r="Q253" i="7"/>
  <c r="Q254" i="7"/>
  <c r="Q255" i="7"/>
  <c r="Q256" i="7"/>
  <c r="Q257" i="7"/>
  <c r="Q258" i="7"/>
  <c r="Q259" i="7"/>
  <c r="Q260" i="7"/>
  <c r="Q261" i="7"/>
  <c r="Q262" i="7"/>
  <c r="Q263" i="7"/>
  <c r="Q264" i="7"/>
  <c r="Q265" i="7"/>
  <c r="Q266" i="7"/>
  <c r="Q267" i="7"/>
  <c r="Q268" i="7"/>
  <c r="Q269" i="7"/>
  <c r="Q270" i="7"/>
  <c r="Q271" i="7"/>
  <c r="Q272" i="7"/>
  <c r="Q273" i="7"/>
  <c r="Q274" i="7"/>
  <c r="Q275" i="7"/>
  <c r="Q276" i="7"/>
  <c r="Q277" i="7"/>
  <c r="Q278" i="7"/>
  <c r="Q279" i="7"/>
  <c r="Q280" i="7"/>
  <c r="Q281" i="7"/>
  <c r="Q282" i="7"/>
  <c r="Q283" i="7"/>
  <c r="Q284" i="7"/>
  <c r="Q285" i="7"/>
  <c r="Q286" i="7"/>
  <c r="Q287" i="7"/>
  <c r="Q288" i="7"/>
  <c r="Q289" i="7"/>
  <c r="Q290" i="7"/>
  <c r="Q291" i="7"/>
  <c r="Q292" i="7"/>
  <c r="Q293" i="7"/>
  <c r="Q294" i="7"/>
  <c r="Q295" i="7"/>
  <c r="Q296" i="7"/>
  <c r="Q297" i="7"/>
  <c r="Q298" i="7"/>
  <c r="Q299" i="7"/>
  <c r="Q300" i="7"/>
  <c r="Q301" i="7"/>
  <c r="Q302" i="7"/>
  <c r="Q303" i="7"/>
  <c r="Q304" i="7"/>
  <c r="Q305" i="7"/>
  <c r="Q306" i="7"/>
  <c r="Q307" i="7"/>
  <c r="Q308" i="7"/>
  <c r="Q309" i="7"/>
  <c r="Q310" i="7"/>
  <c r="Q311" i="7"/>
  <c r="Q312" i="7"/>
  <c r="Q313" i="7"/>
  <c r="Q314" i="7"/>
  <c r="Q315" i="7"/>
  <c r="Q316" i="7"/>
  <c r="Q317" i="7"/>
  <c r="Q318" i="7"/>
  <c r="Q319" i="7"/>
  <c r="Q320" i="7"/>
  <c r="Q321" i="7"/>
  <c r="Q322" i="7"/>
  <c r="Q323" i="7"/>
  <c r="Q324" i="7"/>
  <c r="Q325" i="7"/>
  <c r="Q326" i="7"/>
  <c r="Q327" i="7"/>
  <c r="Q328" i="7"/>
  <c r="Q329" i="7"/>
  <c r="Q330" i="7"/>
  <c r="Q331" i="7"/>
  <c r="Q332" i="7"/>
  <c r="Q333" i="7"/>
  <c r="Q334" i="7"/>
  <c r="Q335" i="7"/>
  <c r="Q336" i="7"/>
  <c r="Q337" i="7"/>
  <c r="Q338" i="7"/>
  <c r="Q339" i="7"/>
  <c r="Q340" i="7"/>
  <c r="Q341" i="7"/>
  <c r="Q342" i="7"/>
  <c r="Q343" i="7"/>
  <c r="Q344" i="7"/>
  <c r="Q345" i="7"/>
  <c r="Q346" i="7"/>
  <c r="Q347" i="7"/>
  <c r="Q348" i="7"/>
  <c r="Q349" i="7"/>
  <c r="Q350" i="7"/>
  <c r="Q351" i="7"/>
  <c r="Q352" i="7"/>
  <c r="Q353" i="7"/>
  <c r="Q354" i="7"/>
  <c r="Q355" i="7"/>
  <c r="Q356" i="7"/>
  <c r="Q357" i="7"/>
  <c r="Q358" i="7"/>
  <c r="Q359" i="7"/>
  <c r="Q360" i="7"/>
  <c r="Q361" i="7"/>
  <c r="Q362" i="7"/>
  <c r="Q363" i="7"/>
  <c r="Q364" i="7"/>
  <c r="Q365" i="7"/>
  <c r="Q366" i="7"/>
  <c r="Q367" i="7"/>
  <c r="Q368" i="7"/>
  <c r="Q369" i="7"/>
  <c r="Q370" i="7"/>
  <c r="Q371" i="7"/>
  <c r="Q372" i="7"/>
  <c r="Q373" i="7"/>
  <c r="Q374" i="7"/>
  <c r="Q375" i="7"/>
  <c r="Q376" i="7"/>
  <c r="Q377" i="7"/>
  <c r="Q378" i="7"/>
  <c r="Q379" i="7"/>
  <c r="Q380" i="7"/>
  <c r="Q381" i="7"/>
  <c r="Q382" i="7"/>
  <c r="Q383" i="7"/>
  <c r="Q384" i="7"/>
  <c r="Q385" i="7"/>
  <c r="Q386" i="7"/>
  <c r="Q387" i="7"/>
  <c r="Q388" i="7"/>
  <c r="Q389" i="7"/>
  <c r="Q390" i="7"/>
  <c r="Q391" i="7"/>
  <c r="Q392" i="7"/>
  <c r="Q393" i="7"/>
  <c r="Q394" i="7"/>
  <c r="Q395" i="7"/>
  <c r="Q396" i="7"/>
  <c r="Q397" i="7"/>
  <c r="Q398" i="7"/>
  <c r="Q399" i="7"/>
  <c r="Q400" i="7"/>
  <c r="Q401" i="7"/>
  <c r="Q402" i="7"/>
  <c r="Q403" i="7"/>
  <c r="Q404" i="7"/>
  <c r="Q405" i="7"/>
  <c r="Q406" i="7"/>
  <c r="Q407" i="7"/>
  <c r="Q408" i="7"/>
  <c r="Q409" i="7"/>
  <c r="Q410" i="7"/>
  <c r="Q411" i="7"/>
  <c r="Q412" i="7"/>
  <c r="Q413" i="7"/>
  <c r="Q414" i="7"/>
  <c r="Q415" i="7"/>
  <c r="Q416" i="7"/>
  <c r="Q417" i="7"/>
  <c r="Q418" i="7"/>
  <c r="Q419" i="7"/>
  <c r="Q420" i="7"/>
  <c r="Q421" i="7"/>
  <c r="Q422" i="7"/>
  <c r="Q423" i="7"/>
  <c r="Q424" i="7"/>
  <c r="Q425" i="7"/>
  <c r="Q426" i="7"/>
  <c r="Q427" i="7"/>
  <c r="Q428" i="7"/>
  <c r="Q429" i="7"/>
  <c r="Q430" i="7"/>
  <c r="Q431" i="7"/>
  <c r="Q432" i="7"/>
  <c r="Q433" i="7"/>
  <c r="Q434" i="7"/>
  <c r="Q435" i="7"/>
  <c r="Q436" i="7"/>
  <c r="Q437" i="7"/>
  <c r="Q438" i="7"/>
  <c r="Q439" i="7"/>
  <c r="Q440" i="7"/>
  <c r="Q441" i="7"/>
  <c r="Q442" i="7"/>
  <c r="Q443" i="7"/>
  <c r="Q444" i="7"/>
  <c r="Q445" i="7"/>
  <c r="Q446" i="7"/>
  <c r="Q447" i="7"/>
  <c r="Q448" i="7"/>
  <c r="Q449" i="7"/>
  <c r="Q450" i="7"/>
  <c r="Q451" i="7"/>
  <c r="Q452" i="7"/>
  <c r="Q453" i="7"/>
  <c r="Q454" i="7"/>
  <c r="Q455" i="7"/>
  <c r="Q456" i="7"/>
  <c r="Q457" i="7"/>
  <c r="Q458" i="7"/>
  <c r="Q459" i="7"/>
  <c r="Q460" i="7"/>
  <c r="Q461" i="7"/>
  <c r="Q462" i="7"/>
  <c r="Q463" i="7"/>
  <c r="Q464" i="7"/>
  <c r="Q465" i="7"/>
  <c r="Q466" i="7"/>
  <c r="Q467" i="7"/>
  <c r="Q468" i="7"/>
  <c r="Q469" i="7"/>
  <c r="Q470" i="7"/>
  <c r="Q471" i="7"/>
  <c r="Q472" i="7"/>
  <c r="Q473" i="7"/>
  <c r="Q474" i="7"/>
  <c r="Q475" i="7"/>
  <c r="Q476" i="7"/>
  <c r="Q477" i="7"/>
  <c r="Q478" i="7"/>
  <c r="Q479" i="7"/>
  <c r="Q480" i="7"/>
  <c r="Q481" i="7"/>
  <c r="Q482" i="7"/>
  <c r="Q483" i="7"/>
  <c r="Q484" i="7"/>
  <c r="Q485" i="7"/>
  <c r="Q486" i="7"/>
  <c r="Q487" i="7"/>
  <c r="Q488" i="7"/>
  <c r="Q489" i="7"/>
  <c r="Q490" i="7"/>
  <c r="Q491" i="7"/>
  <c r="Q492" i="7"/>
  <c r="Q493" i="7"/>
  <c r="Q494" i="7"/>
  <c r="Q495" i="7"/>
  <c r="Q496" i="7"/>
  <c r="Q497" i="7"/>
  <c r="Q498" i="7"/>
  <c r="Q499" i="7"/>
  <c r="Q500" i="7"/>
  <c r="Q501" i="7"/>
  <c r="Q2" i="7"/>
  <c r="M2" i="7" a="1"/>
  <c r="P3" i="7"/>
  <c r="P4" i="7"/>
  <c r="P5" i="7"/>
  <c r="P6" i="7"/>
  <c r="P7" i="7"/>
  <c r="P8" i="7"/>
  <c r="P9" i="7"/>
  <c r="P10" i="7"/>
  <c r="P11" i="7"/>
  <c r="P12" i="7"/>
  <c r="P13" i="7"/>
  <c r="P14" i="7"/>
  <c r="P15" i="7"/>
  <c r="P16" i="7"/>
  <c r="P17" i="7"/>
  <c r="P18" i="7"/>
  <c r="P19" i="7"/>
  <c r="P20" i="7"/>
  <c r="P21" i="7"/>
  <c r="P22" i="7"/>
  <c r="P23" i="7"/>
  <c r="P24" i="7"/>
  <c r="P25" i="7"/>
  <c r="P26" i="7"/>
  <c r="P27" i="7"/>
  <c r="P28" i="7"/>
  <c r="P29" i="7"/>
  <c r="P30" i="7"/>
  <c r="P31" i="7"/>
  <c r="P32" i="7"/>
  <c r="P33" i="7"/>
  <c r="P34" i="7"/>
  <c r="P35" i="7"/>
  <c r="P36" i="7"/>
  <c r="P37" i="7"/>
  <c r="P38" i="7"/>
  <c r="P39" i="7"/>
  <c r="P40" i="7"/>
  <c r="P41" i="7"/>
  <c r="P42" i="7"/>
  <c r="P43" i="7"/>
  <c r="P44" i="7"/>
  <c r="P45" i="7"/>
  <c r="P46" i="7"/>
  <c r="P47" i="7"/>
  <c r="P48" i="7"/>
  <c r="P49" i="7"/>
  <c r="P50" i="7"/>
  <c r="P51" i="7"/>
  <c r="P52" i="7"/>
  <c r="P53" i="7"/>
  <c r="P54" i="7"/>
  <c r="P55" i="7"/>
  <c r="P56" i="7"/>
  <c r="P57" i="7"/>
  <c r="P58" i="7"/>
  <c r="P59" i="7"/>
  <c r="P60" i="7"/>
  <c r="P61" i="7"/>
  <c r="P62" i="7"/>
  <c r="P63" i="7"/>
  <c r="P64" i="7"/>
  <c r="P65" i="7"/>
  <c r="P66" i="7"/>
  <c r="P67" i="7"/>
  <c r="P68" i="7"/>
  <c r="P69" i="7"/>
  <c r="P70" i="7"/>
  <c r="P71" i="7"/>
  <c r="P72" i="7"/>
  <c r="P73" i="7"/>
  <c r="P74" i="7"/>
  <c r="P75" i="7"/>
  <c r="P76" i="7"/>
  <c r="P77" i="7"/>
  <c r="P78" i="7"/>
  <c r="P79" i="7"/>
  <c r="P80" i="7"/>
  <c r="P81" i="7"/>
  <c r="P82" i="7"/>
  <c r="P83" i="7"/>
  <c r="P84" i="7"/>
  <c r="P85" i="7"/>
  <c r="P86" i="7"/>
  <c r="P87" i="7"/>
  <c r="P88" i="7"/>
  <c r="P89" i="7"/>
  <c r="P90" i="7"/>
  <c r="P91" i="7"/>
  <c r="P92" i="7"/>
  <c r="P93" i="7"/>
  <c r="P94" i="7"/>
  <c r="P95" i="7"/>
  <c r="P96" i="7"/>
  <c r="P97" i="7"/>
  <c r="P98" i="7"/>
  <c r="P99" i="7"/>
  <c r="P100" i="7"/>
  <c r="P101" i="7"/>
  <c r="P102" i="7"/>
  <c r="P103" i="7"/>
  <c r="P104" i="7"/>
  <c r="P105" i="7"/>
  <c r="P106" i="7"/>
  <c r="P107" i="7"/>
  <c r="P108" i="7"/>
  <c r="P109" i="7"/>
  <c r="P110" i="7"/>
  <c r="P111" i="7"/>
  <c r="P112" i="7"/>
  <c r="P113" i="7"/>
  <c r="P114" i="7"/>
  <c r="P115" i="7"/>
  <c r="P116" i="7"/>
  <c r="P117" i="7"/>
  <c r="P118" i="7"/>
  <c r="P119" i="7"/>
  <c r="P120" i="7"/>
  <c r="P121" i="7"/>
  <c r="P122" i="7"/>
  <c r="P123" i="7"/>
  <c r="P124" i="7"/>
  <c r="P125" i="7"/>
  <c r="P126" i="7"/>
  <c r="P127" i="7"/>
  <c r="P128" i="7"/>
  <c r="P129" i="7"/>
  <c r="P130" i="7"/>
  <c r="P131" i="7"/>
  <c r="P132" i="7"/>
  <c r="P133" i="7"/>
  <c r="P134" i="7"/>
  <c r="P135" i="7"/>
  <c r="P136" i="7"/>
  <c r="P137" i="7"/>
  <c r="P138" i="7"/>
  <c r="P139" i="7"/>
  <c r="P140" i="7"/>
  <c r="P141" i="7"/>
  <c r="P142" i="7"/>
  <c r="P143" i="7"/>
  <c r="P144" i="7"/>
  <c r="P145" i="7"/>
  <c r="P146" i="7"/>
  <c r="P147" i="7"/>
  <c r="P148" i="7"/>
  <c r="P149" i="7"/>
  <c r="P150" i="7"/>
  <c r="P151" i="7"/>
  <c r="P152" i="7"/>
  <c r="P153" i="7"/>
  <c r="P154" i="7"/>
  <c r="P155" i="7"/>
  <c r="P156" i="7"/>
  <c r="P157" i="7"/>
  <c r="P158" i="7"/>
  <c r="P159" i="7"/>
  <c r="P160" i="7"/>
  <c r="P161" i="7"/>
  <c r="P162" i="7"/>
  <c r="P163" i="7"/>
  <c r="P164" i="7"/>
  <c r="P165" i="7"/>
  <c r="P166" i="7"/>
  <c r="P167" i="7"/>
  <c r="P168" i="7"/>
  <c r="P169" i="7"/>
  <c r="P170" i="7"/>
  <c r="P171" i="7"/>
  <c r="P172" i="7"/>
  <c r="P173" i="7"/>
  <c r="P174" i="7"/>
  <c r="P175" i="7"/>
  <c r="P176" i="7"/>
  <c r="P177" i="7"/>
  <c r="P178" i="7"/>
  <c r="P179" i="7"/>
  <c r="P180" i="7"/>
  <c r="P181" i="7"/>
  <c r="P182" i="7"/>
  <c r="P183" i="7"/>
  <c r="P184" i="7"/>
  <c r="P185" i="7"/>
  <c r="P186" i="7"/>
  <c r="P187" i="7"/>
  <c r="P188" i="7"/>
  <c r="P189" i="7"/>
  <c r="P190" i="7"/>
  <c r="P191" i="7"/>
  <c r="P192" i="7"/>
  <c r="P193" i="7"/>
  <c r="P194" i="7"/>
  <c r="P195" i="7"/>
  <c r="P196" i="7"/>
  <c r="P197" i="7"/>
  <c r="P198" i="7"/>
  <c r="P199" i="7"/>
  <c r="P200" i="7"/>
  <c r="P201" i="7"/>
  <c r="P202" i="7"/>
  <c r="P203" i="7"/>
  <c r="P204" i="7"/>
  <c r="P205" i="7"/>
  <c r="P206" i="7"/>
  <c r="P207" i="7"/>
  <c r="P208" i="7"/>
  <c r="P209" i="7"/>
  <c r="P210" i="7"/>
  <c r="P211" i="7"/>
  <c r="P212" i="7"/>
  <c r="P213" i="7"/>
  <c r="P214" i="7"/>
  <c r="P215" i="7"/>
  <c r="P216" i="7"/>
  <c r="P217" i="7"/>
  <c r="P218" i="7"/>
  <c r="P219" i="7"/>
  <c r="P220" i="7"/>
  <c r="P221" i="7"/>
  <c r="P222" i="7"/>
  <c r="P223" i="7"/>
  <c r="P224" i="7"/>
  <c r="P225" i="7"/>
  <c r="P226" i="7"/>
  <c r="P227" i="7"/>
  <c r="P228" i="7"/>
  <c r="P229" i="7"/>
  <c r="P230" i="7"/>
  <c r="P231" i="7"/>
  <c r="P232" i="7"/>
  <c r="P233" i="7"/>
  <c r="P234" i="7"/>
  <c r="P235" i="7"/>
  <c r="P236" i="7"/>
  <c r="P237" i="7"/>
  <c r="P238" i="7"/>
  <c r="P239" i="7"/>
  <c r="P240" i="7"/>
  <c r="P241" i="7"/>
  <c r="P242" i="7"/>
  <c r="P243" i="7"/>
  <c r="P244" i="7"/>
  <c r="P245" i="7"/>
  <c r="P246" i="7"/>
  <c r="P247" i="7"/>
  <c r="P248" i="7"/>
  <c r="P249" i="7"/>
  <c r="P250" i="7"/>
  <c r="P251" i="7"/>
  <c r="P252" i="7"/>
  <c r="P253" i="7"/>
  <c r="P254" i="7"/>
  <c r="P255" i="7"/>
  <c r="P256" i="7"/>
  <c r="P257" i="7"/>
  <c r="P258" i="7"/>
  <c r="P259" i="7"/>
  <c r="P260" i="7"/>
  <c r="P261" i="7"/>
  <c r="P262" i="7"/>
  <c r="P263" i="7"/>
  <c r="P264" i="7"/>
  <c r="P265" i="7"/>
  <c r="P266" i="7"/>
  <c r="P267" i="7"/>
  <c r="P268" i="7"/>
  <c r="P269" i="7"/>
  <c r="P270" i="7"/>
  <c r="P271" i="7"/>
  <c r="P272" i="7"/>
  <c r="P273" i="7"/>
  <c r="P274" i="7"/>
  <c r="P275" i="7"/>
  <c r="P276" i="7"/>
  <c r="P277" i="7"/>
  <c r="P278" i="7"/>
  <c r="P279" i="7"/>
  <c r="P280" i="7"/>
  <c r="P281" i="7"/>
  <c r="P282" i="7"/>
  <c r="P283" i="7"/>
  <c r="P284" i="7"/>
  <c r="P285" i="7"/>
  <c r="P286" i="7"/>
  <c r="P287" i="7"/>
  <c r="P288" i="7"/>
  <c r="P289" i="7"/>
  <c r="P290" i="7"/>
  <c r="P291" i="7"/>
  <c r="P292" i="7"/>
  <c r="P293" i="7"/>
  <c r="P294" i="7"/>
  <c r="P295" i="7"/>
  <c r="P296" i="7"/>
  <c r="P297" i="7"/>
  <c r="P298" i="7"/>
  <c r="P299" i="7"/>
  <c r="P300" i="7"/>
  <c r="P301" i="7"/>
  <c r="P302" i="7"/>
  <c r="P303" i="7"/>
  <c r="P304" i="7"/>
  <c r="P305" i="7"/>
  <c r="P306" i="7"/>
  <c r="P307" i="7"/>
  <c r="P308" i="7"/>
  <c r="P309" i="7"/>
  <c r="P310" i="7"/>
  <c r="P311" i="7"/>
  <c r="P312" i="7"/>
  <c r="P313" i="7"/>
  <c r="P314" i="7"/>
  <c r="P315" i="7"/>
  <c r="P316" i="7"/>
  <c r="P317" i="7"/>
  <c r="P318" i="7"/>
  <c r="P319" i="7"/>
  <c r="P320" i="7"/>
  <c r="P321" i="7"/>
  <c r="P322" i="7"/>
  <c r="P323" i="7"/>
  <c r="P324" i="7"/>
  <c r="P325" i="7"/>
  <c r="P326" i="7"/>
  <c r="P327" i="7"/>
  <c r="P328" i="7"/>
  <c r="P329" i="7"/>
  <c r="P330" i="7"/>
  <c r="P331" i="7"/>
  <c r="P332" i="7"/>
  <c r="P333" i="7"/>
  <c r="P334" i="7"/>
  <c r="P335" i="7"/>
  <c r="P336" i="7"/>
  <c r="P337" i="7"/>
  <c r="P338" i="7"/>
  <c r="P339" i="7"/>
  <c r="P340" i="7"/>
  <c r="P341" i="7"/>
  <c r="P342" i="7"/>
  <c r="P343" i="7"/>
  <c r="P344" i="7"/>
  <c r="P345" i="7"/>
  <c r="P346" i="7"/>
  <c r="P347" i="7"/>
  <c r="P348" i="7"/>
  <c r="P349" i="7"/>
  <c r="P350" i="7"/>
  <c r="P351" i="7"/>
  <c r="P352" i="7"/>
  <c r="P353" i="7"/>
  <c r="P354" i="7"/>
  <c r="P355" i="7"/>
  <c r="P356" i="7"/>
  <c r="P357" i="7"/>
  <c r="P358" i="7"/>
  <c r="P359" i="7"/>
  <c r="P360" i="7"/>
  <c r="P361" i="7"/>
  <c r="P362" i="7"/>
  <c r="P363" i="7"/>
  <c r="P364" i="7"/>
  <c r="P365" i="7"/>
  <c r="P366" i="7"/>
  <c r="P367" i="7"/>
  <c r="P368" i="7"/>
  <c r="P369" i="7"/>
  <c r="P370" i="7"/>
  <c r="P371" i="7"/>
  <c r="P372" i="7"/>
  <c r="P373" i="7"/>
  <c r="P374" i="7"/>
  <c r="P375" i="7"/>
  <c r="P376" i="7"/>
  <c r="P377" i="7"/>
  <c r="P378" i="7"/>
  <c r="P379" i="7"/>
  <c r="P380" i="7"/>
  <c r="P381" i="7"/>
  <c r="P382" i="7"/>
  <c r="P383" i="7"/>
  <c r="P384" i="7"/>
  <c r="P385" i="7"/>
  <c r="P386" i="7"/>
  <c r="P387" i="7"/>
  <c r="P388" i="7"/>
  <c r="P389" i="7"/>
  <c r="P390" i="7"/>
  <c r="P391" i="7"/>
  <c r="P392" i="7"/>
  <c r="P393" i="7"/>
  <c r="P394" i="7"/>
  <c r="P395" i="7"/>
  <c r="P396" i="7"/>
  <c r="P397" i="7"/>
  <c r="P398" i="7"/>
  <c r="P399" i="7"/>
  <c r="P400" i="7"/>
  <c r="P401" i="7"/>
  <c r="P402" i="7"/>
  <c r="P403" i="7"/>
  <c r="P404" i="7"/>
  <c r="P405" i="7"/>
  <c r="P406" i="7"/>
  <c r="P407" i="7"/>
  <c r="P408" i="7"/>
  <c r="P409" i="7"/>
  <c r="P410" i="7"/>
  <c r="P411" i="7"/>
  <c r="P412" i="7"/>
  <c r="P413" i="7"/>
  <c r="P414" i="7"/>
  <c r="P415" i="7"/>
  <c r="P416" i="7"/>
  <c r="P417" i="7"/>
  <c r="P418" i="7"/>
  <c r="P419" i="7"/>
  <c r="P420" i="7"/>
  <c r="P421" i="7"/>
  <c r="P422" i="7"/>
  <c r="P423" i="7"/>
  <c r="P424" i="7"/>
  <c r="P425" i="7"/>
  <c r="P426" i="7"/>
  <c r="P427" i="7"/>
  <c r="P428" i="7"/>
  <c r="P429" i="7"/>
  <c r="P430" i="7"/>
  <c r="P431" i="7"/>
  <c r="P432" i="7"/>
  <c r="P433" i="7"/>
  <c r="P434" i="7"/>
  <c r="P435" i="7"/>
  <c r="P436" i="7"/>
  <c r="P437" i="7"/>
  <c r="P438" i="7"/>
  <c r="P439" i="7"/>
  <c r="P440" i="7"/>
  <c r="P441" i="7"/>
  <c r="P442" i="7"/>
  <c r="P443" i="7"/>
  <c r="P444" i="7"/>
  <c r="P445" i="7"/>
  <c r="P446" i="7"/>
  <c r="P447" i="7"/>
  <c r="P448" i="7"/>
  <c r="P449" i="7"/>
  <c r="P450" i="7"/>
  <c r="P451" i="7"/>
  <c r="P452" i="7"/>
  <c r="P453" i="7"/>
  <c r="P454" i="7"/>
  <c r="P455" i="7"/>
  <c r="P456" i="7"/>
  <c r="P457" i="7"/>
  <c r="P458" i="7"/>
  <c r="P459" i="7"/>
  <c r="P460" i="7"/>
  <c r="P461" i="7"/>
  <c r="P462" i="7"/>
  <c r="P463" i="7"/>
  <c r="P464" i="7"/>
  <c r="P465" i="7"/>
  <c r="P466" i="7"/>
  <c r="P467" i="7"/>
  <c r="P468" i="7"/>
  <c r="P469" i="7"/>
  <c r="P470" i="7"/>
  <c r="P471" i="7"/>
  <c r="P472" i="7"/>
  <c r="P473" i="7"/>
  <c r="P474" i="7"/>
  <c r="P475" i="7"/>
  <c r="P476" i="7"/>
  <c r="P477" i="7"/>
  <c r="P478" i="7"/>
  <c r="P479" i="7"/>
  <c r="P480" i="7"/>
  <c r="P481" i="7"/>
  <c r="P482" i="7"/>
  <c r="P483" i="7"/>
  <c r="P484" i="7"/>
  <c r="P485" i="7"/>
  <c r="P486" i="7"/>
  <c r="P487" i="7"/>
  <c r="P488" i="7"/>
  <c r="P489" i="7"/>
  <c r="P490" i="7"/>
  <c r="P491" i="7"/>
  <c r="P492" i="7"/>
  <c r="P493" i="7"/>
  <c r="P494" i="7"/>
  <c r="P495" i="7"/>
  <c r="P496" i="7"/>
  <c r="P497" i="7"/>
  <c r="P498" i="7"/>
  <c r="P499" i="7"/>
  <c r="P500" i="7"/>
  <c r="P501" i="7"/>
  <c r="M57" i="7" a="1"/>
  <c r="M58" i="7" a="1"/>
  <c r="M59" i="7" a="1"/>
  <c r="M60" i="7" a="1"/>
  <c r="M61" i="7" a="1"/>
  <c r="M62" i="7" a="1"/>
  <c r="M63" i="7" a="1"/>
  <c r="M64" i="7" a="1"/>
  <c r="M65" i="7" a="1"/>
  <c r="M66" i="7" a="1"/>
  <c r="M67" i="7" a="1"/>
  <c r="M68" i="7" a="1"/>
  <c r="M69" i="7" a="1"/>
  <c r="M70" i="7" a="1"/>
  <c r="M71" i="7" a="1"/>
  <c r="M72" i="7" a="1"/>
  <c r="M73" i="7" a="1"/>
  <c r="M74" i="7" a="1"/>
  <c r="M75" i="7" a="1"/>
  <c r="M76" i="7" a="1"/>
  <c r="M77" i="7" a="1"/>
  <c r="M78" i="7" a="1"/>
  <c r="M79" i="7" a="1"/>
  <c r="M80" i="7" a="1"/>
  <c r="M81" i="7" a="1"/>
  <c r="M82" i="7" a="1"/>
  <c r="M83" i="7" a="1"/>
  <c r="M84" i="7" a="1"/>
  <c r="M85" i="7" a="1"/>
  <c r="M86" i="7" a="1"/>
  <c r="M87" i="7" a="1"/>
  <c r="M88" i="7" a="1"/>
  <c r="M89" i="7" a="1"/>
  <c r="M90" i="7" a="1"/>
  <c r="M91" i="7" a="1"/>
  <c r="M92" i="7" a="1"/>
  <c r="M93" i="7" a="1"/>
  <c r="M94" i="7" a="1"/>
  <c r="M95" i="7" a="1"/>
  <c r="M96" i="7" a="1"/>
  <c r="M97" i="7" a="1"/>
  <c r="M98" i="7" a="1"/>
  <c r="M99" i="7" a="1"/>
  <c r="M100" i="7" a="1"/>
  <c r="M101" i="7" a="1"/>
  <c r="M102" i="7" a="1"/>
  <c r="M103" i="7" a="1"/>
  <c r="M104" i="7" a="1"/>
  <c r="M105" i="7" a="1"/>
  <c r="M106" i="7" a="1"/>
  <c r="M107" i="7" a="1"/>
  <c r="M108" i="7" a="1"/>
  <c r="M109" i="7" a="1"/>
  <c r="M110" i="7" a="1"/>
  <c r="M111" i="7" a="1"/>
  <c r="M112" i="7" a="1"/>
  <c r="M113" i="7" a="1"/>
  <c r="M114" i="7" a="1"/>
  <c r="M115" i="7" a="1"/>
  <c r="M116" i="7" a="1"/>
  <c r="M117" i="7" a="1"/>
  <c r="M118" i="7" a="1"/>
  <c r="M119" i="7" a="1"/>
  <c r="M120" i="7" a="1"/>
  <c r="M121" i="7" a="1"/>
  <c r="M122" i="7" a="1"/>
  <c r="M123" i="7" a="1"/>
  <c r="M124" i="7" a="1"/>
  <c r="M125" i="7" a="1"/>
  <c r="M126" i="7" a="1"/>
  <c r="M127" i="7" a="1"/>
  <c r="M128" i="7" a="1"/>
  <c r="M129" i="7" a="1"/>
  <c r="M130" i="7" a="1"/>
  <c r="M131" i="7" a="1"/>
  <c r="M132" i="7" a="1"/>
  <c r="M133" i="7" a="1"/>
  <c r="M134" i="7" a="1"/>
  <c r="M135" i="7" a="1"/>
  <c r="M136" i="7" a="1"/>
  <c r="M137" i="7" a="1"/>
  <c r="M138" i="7" a="1"/>
  <c r="M139" i="7" a="1"/>
  <c r="M140" i="7" a="1"/>
  <c r="M141" i="7" a="1"/>
  <c r="M142" i="7" a="1"/>
  <c r="M143" i="7" a="1"/>
  <c r="M144" i="7" a="1"/>
  <c r="M145" i="7" a="1"/>
  <c r="M146" i="7" a="1"/>
  <c r="M147" i="7" a="1"/>
  <c r="M148" i="7" a="1"/>
  <c r="M149" i="7" a="1"/>
  <c r="M150" i="7" a="1"/>
  <c r="M151" i="7" a="1"/>
  <c r="M152" i="7" a="1"/>
  <c r="M153" i="7" a="1"/>
  <c r="M154" i="7" a="1"/>
  <c r="M155" i="7" a="1"/>
  <c r="M156" i="7" a="1"/>
  <c r="M157" i="7" a="1"/>
  <c r="M158" i="7" a="1"/>
  <c r="M159" i="7" a="1"/>
  <c r="M160" i="7" a="1"/>
  <c r="M161" i="7" a="1"/>
  <c r="M162" i="7" a="1"/>
  <c r="M163" i="7" a="1"/>
  <c r="M164" i="7" a="1"/>
  <c r="M165" i="7" a="1"/>
  <c r="M166" i="7" a="1"/>
  <c r="M167" i="7" a="1"/>
  <c r="M168" i="7" a="1"/>
  <c r="M169" i="7" a="1"/>
  <c r="M170" i="7" a="1"/>
  <c r="M171" i="7" a="1"/>
  <c r="M172" i="7" a="1"/>
  <c r="M173" i="7" a="1"/>
  <c r="M174" i="7" a="1"/>
  <c r="M175" i="7" a="1"/>
  <c r="M176" i="7" a="1"/>
  <c r="M177" i="7" a="1"/>
  <c r="M178" i="7" a="1"/>
  <c r="M179" i="7" a="1"/>
  <c r="M180" i="7" a="1"/>
  <c r="M181" i="7" a="1"/>
  <c r="M182" i="7" a="1"/>
  <c r="M183" i="7" a="1"/>
  <c r="M184" i="7" a="1"/>
  <c r="M185" i="7" a="1"/>
  <c r="M186" i="7" a="1"/>
  <c r="M187" i="7" a="1"/>
  <c r="M188" i="7" a="1"/>
  <c r="M189" i="7" a="1"/>
  <c r="M190" i="7" a="1"/>
  <c r="M191" i="7" a="1"/>
  <c r="M192" i="7" a="1"/>
  <c r="M193" i="7" a="1"/>
  <c r="M194" i="7" a="1"/>
  <c r="M195" i="7" a="1"/>
  <c r="M196" i="7" a="1"/>
  <c r="M197" i="7" a="1"/>
  <c r="M198" i="7" a="1"/>
  <c r="M199" i="7" a="1"/>
  <c r="M200" i="7" a="1"/>
  <c r="M201" i="7" a="1"/>
  <c r="M202" i="7" a="1"/>
  <c r="M203" i="7" a="1"/>
  <c r="M204" i="7" a="1"/>
  <c r="M205" i="7" a="1"/>
  <c r="M206" i="7" a="1"/>
  <c r="M207" i="7" a="1"/>
  <c r="M208" i="7" a="1"/>
  <c r="M209" i="7" a="1"/>
  <c r="M210" i="7" a="1"/>
  <c r="M211" i="7" a="1"/>
  <c r="M212" i="7" a="1"/>
  <c r="M213" i="7" a="1"/>
  <c r="M214" i="7" a="1"/>
  <c r="M215" i="7" a="1"/>
  <c r="M216" i="7" a="1"/>
  <c r="M217" i="7" a="1"/>
  <c r="M218" i="7" a="1"/>
  <c r="M219" i="7" a="1"/>
  <c r="M220" i="7" a="1"/>
  <c r="M221" i="7" a="1"/>
  <c r="M222" i="7" a="1"/>
  <c r="M223" i="7" a="1"/>
  <c r="M224" i="7" a="1"/>
  <c r="M225" i="7" a="1"/>
  <c r="M226" i="7" a="1"/>
  <c r="M227" i="7" a="1"/>
  <c r="M228" i="7" a="1"/>
  <c r="M229" i="7" a="1"/>
  <c r="M230" i="7" a="1"/>
  <c r="M231" i="7" a="1"/>
  <c r="M232" i="7" a="1"/>
  <c r="M233" i="7" a="1"/>
  <c r="M234" i="7" a="1"/>
  <c r="M235" i="7" a="1"/>
  <c r="M236" i="7" a="1"/>
  <c r="M237" i="7" a="1"/>
  <c r="M238" i="7" a="1"/>
  <c r="M239" i="7" a="1"/>
  <c r="M240" i="7" a="1"/>
  <c r="M241" i="7" a="1"/>
  <c r="M242" i="7" a="1"/>
  <c r="M243" i="7" a="1"/>
  <c r="M244" i="7" a="1"/>
  <c r="M245" i="7" a="1"/>
  <c r="M246" i="7" a="1"/>
  <c r="M247" i="7" a="1"/>
  <c r="M248" i="7" a="1"/>
  <c r="M249" i="7" a="1"/>
  <c r="M250" i="7" a="1"/>
  <c r="M251" i="7" a="1"/>
  <c r="M252" i="7" a="1"/>
  <c r="M253" i="7" a="1"/>
  <c r="M254" i="7" a="1"/>
  <c r="M255" i="7" a="1"/>
  <c r="M256" i="7" a="1"/>
  <c r="M257" i="7" a="1"/>
  <c r="M258" i="7" a="1"/>
  <c r="M259" i="7" a="1"/>
  <c r="M260" i="7" a="1"/>
  <c r="M261" i="7" a="1"/>
  <c r="M262" i="7" a="1"/>
  <c r="M263" i="7" a="1"/>
  <c r="M264" i="7" a="1"/>
  <c r="M265" i="7" a="1"/>
  <c r="M266" i="7" a="1"/>
  <c r="M267" i="7" a="1"/>
  <c r="M268" i="7" a="1"/>
  <c r="M269" i="7" a="1"/>
  <c r="M270" i="7" a="1"/>
  <c r="M271" i="7" a="1"/>
  <c r="M272" i="7" a="1"/>
  <c r="M273" i="7" a="1"/>
  <c r="M274" i="7" a="1"/>
  <c r="M275" i="7" a="1"/>
  <c r="M276" i="7" a="1"/>
  <c r="M277" i="7" a="1"/>
  <c r="M278" i="7" a="1"/>
  <c r="M279" i="7" a="1"/>
  <c r="M280" i="7" a="1"/>
  <c r="M281" i="7" a="1"/>
  <c r="M282" i="7" a="1"/>
  <c r="M283" i="7" a="1"/>
  <c r="M284" i="7" a="1"/>
  <c r="M285" i="7" a="1"/>
  <c r="M286" i="7" a="1"/>
  <c r="M287" i="7" a="1"/>
  <c r="M288" i="7" a="1"/>
  <c r="M289" i="7" a="1"/>
  <c r="M290" i="7" a="1"/>
  <c r="M291" i="7" a="1"/>
  <c r="M292" i="7" a="1"/>
  <c r="M293" i="7" a="1"/>
  <c r="M294" i="7" a="1"/>
  <c r="M295" i="7" a="1"/>
  <c r="M296" i="7" a="1"/>
  <c r="M297" i="7" a="1"/>
  <c r="M298" i="7" a="1"/>
  <c r="M299" i="7" a="1"/>
  <c r="M300" i="7" a="1"/>
  <c r="M301" i="7" a="1"/>
  <c r="M302" i="7" a="1"/>
  <c r="M303" i="7" a="1"/>
  <c r="M304" i="7" a="1"/>
  <c r="M305" i="7" a="1"/>
  <c r="M306" i="7" a="1"/>
  <c r="M307" i="7" a="1"/>
  <c r="M308" i="7" a="1"/>
  <c r="M309" i="7" a="1"/>
  <c r="M310" i="7" a="1"/>
  <c r="M311" i="7" a="1"/>
  <c r="M312" i="7" a="1"/>
  <c r="M313" i="7" a="1"/>
  <c r="M314" i="7" a="1"/>
  <c r="M315" i="7" a="1"/>
  <c r="M316" i="7" a="1"/>
  <c r="M317" i="7" a="1"/>
  <c r="M318" i="7" a="1"/>
  <c r="M319" i="7" a="1"/>
  <c r="M320" i="7" a="1"/>
  <c r="M321" i="7" a="1"/>
  <c r="M322" i="7" a="1"/>
  <c r="M323" i="7" a="1"/>
  <c r="M324" i="7" a="1"/>
  <c r="M325" i="7" a="1"/>
  <c r="M326" i="7" a="1"/>
  <c r="M327" i="7" a="1"/>
  <c r="M328" i="7" a="1"/>
  <c r="M329" i="7" a="1"/>
  <c r="M330" i="7" a="1"/>
  <c r="M331" i="7" a="1"/>
  <c r="M332" i="7" a="1"/>
  <c r="M333" i="7" a="1"/>
  <c r="M334" i="7" a="1"/>
  <c r="M335" i="7" a="1"/>
  <c r="M336" i="7" a="1"/>
  <c r="M337" i="7" a="1"/>
  <c r="M338" i="7" a="1"/>
  <c r="M339" i="7" a="1"/>
  <c r="M340" i="7" a="1"/>
  <c r="M341" i="7" a="1"/>
  <c r="M342" i="7" a="1"/>
  <c r="M343" i="7" a="1"/>
  <c r="M344" i="7" a="1"/>
  <c r="M345" i="7" a="1"/>
  <c r="M346" i="7" a="1"/>
  <c r="M347" i="7" a="1"/>
  <c r="M348" i="7" a="1"/>
  <c r="M349" i="7" a="1"/>
  <c r="M350" i="7" a="1"/>
  <c r="M351" i="7" a="1"/>
  <c r="M352" i="7" a="1"/>
  <c r="M353" i="7" a="1"/>
  <c r="M354" i="7" a="1"/>
  <c r="M355" i="7" a="1"/>
  <c r="M356" i="7" a="1"/>
  <c r="M357" i="7" a="1"/>
  <c r="M358" i="7" a="1"/>
  <c r="M359" i="7" a="1"/>
  <c r="M360" i="7" a="1"/>
  <c r="M361" i="7" a="1"/>
  <c r="M362" i="7" a="1"/>
  <c r="M363" i="7" a="1"/>
  <c r="M364" i="7" a="1"/>
  <c r="M365" i="7" a="1"/>
  <c r="M366" i="7" a="1"/>
  <c r="M367" i="7" a="1"/>
  <c r="M368" i="7" a="1"/>
  <c r="M369" i="7" a="1"/>
  <c r="M370" i="7" a="1"/>
  <c r="M371" i="7" a="1"/>
  <c r="M372" i="7" a="1"/>
  <c r="M373" i="7" a="1"/>
  <c r="M374" i="7" a="1"/>
  <c r="M375" i="7" a="1"/>
  <c r="M376" i="7" a="1"/>
  <c r="M377" i="7" a="1"/>
  <c r="M378" i="7" a="1"/>
  <c r="M379" i="7" a="1"/>
  <c r="M380" i="7" a="1"/>
  <c r="M381" i="7" a="1"/>
  <c r="M382" i="7" a="1"/>
  <c r="M383" i="7" a="1"/>
  <c r="M384" i="7" a="1"/>
  <c r="M385" i="7" a="1"/>
  <c r="M386" i="7" a="1"/>
  <c r="M387" i="7" a="1"/>
  <c r="M388" i="7" a="1"/>
  <c r="M389" i="7" a="1"/>
  <c r="M390" i="7" a="1"/>
  <c r="M391" i="7" a="1"/>
  <c r="M392" i="7" a="1"/>
  <c r="M393" i="7" a="1"/>
  <c r="M394" i="7" a="1"/>
  <c r="M395" i="7" a="1"/>
  <c r="M396" i="7" a="1"/>
  <c r="M397" i="7" a="1"/>
  <c r="M398" i="7" a="1"/>
  <c r="M399" i="7" a="1"/>
  <c r="M400" i="7" a="1"/>
  <c r="M401" i="7" a="1"/>
  <c r="M402" i="7" a="1"/>
  <c r="M403" i="7" a="1"/>
  <c r="M404" i="7" a="1"/>
  <c r="M405" i="7" a="1"/>
  <c r="M406" i="7" a="1"/>
  <c r="M407" i="7" a="1"/>
  <c r="M408" i="7" a="1"/>
  <c r="M409" i="7" a="1"/>
  <c r="M410" i="7" a="1"/>
  <c r="M411" i="7" a="1"/>
  <c r="M412" i="7" a="1"/>
  <c r="M413" i="7" a="1"/>
  <c r="M414" i="7" a="1"/>
  <c r="M415" i="7" a="1"/>
  <c r="M416" i="7" a="1"/>
  <c r="M417" i="7" a="1"/>
  <c r="M418" i="7" a="1"/>
  <c r="M419" i="7" a="1"/>
  <c r="M420" i="7" a="1"/>
  <c r="M421" i="7" a="1"/>
  <c r="M422" i="7" a="1"/>
  <c r="M423" i="7" a="1"/>
  <c r="M424" i="7" a="1"/>
  <c r="M425" i="7" a="1"/>
  <c r="M426" i="7" a="1"/>
  <c r="M427" i="7" a="1"/>
  <c r="M428" i="7" a="1"/>
  <c r="M429" i="7" a="1"/>
  <c r="M430" i="7" a="1"/>
  <c r="M431" i="7" a="1"/>
  <c r="M432" i="7" a="1"/>
  <c r="M433" i="7" a="1"/>
  <c r="M434" i="7" a="1"/>
  <c r="M435" i="7" a="1"/>
  <c r="M436" i="7" a="1"/>
  <c r="M437" i="7" a="1"/>
  <c r="M438" i="7" a="1"/>
  <c r="M439" i="7" a="1"/>
  <c r="M440" i="7" a="1"/>
  <c r="M441" i="7" a="1"/>
  <c r="M442" i="7" a="1"/>
  <c r="M443" i="7" a="1"/>
  <c r="M444" i="7" a="1"/>
  <c r="M445" i="7" a="1"/>
  <c r="M446" i="7" a="1"/>
  <c r="M447" i="7" a="1"/>
  <c r="M448" i="7" a="1"/>
  <c r="M449" i="7" a="1"/>
  <c r="M450" i="7" a="1"/>
  <c r="M451" i="7" a="1"/>
  <c r="M452" i="7" a="1"/>
  <c r="M453" i="7" a="1"/>
  <c r="M454" i="7" a="1"/>
  <c r="M455" i="7" a="1"/>
  <c r="M456" i="7" a="1"/>
  <c r="M457" i="7" a="1"/>
  <c r="M458" i="7" a="1"/>
  <c r="M459" i="7" a="1"/>
  <c r="M460" i="7" a="1"/>
  <c r="M461" i="7" a="1"/>
  <c r="M462" i="7" a="1"/>
  <c r="M463" i="7" a="1"/>
  <c r="M464" i="7" a="1"/>
  <c r="M465" i="7" a="1"/>
  <c r="M466" i="7" a="1"/>
  <c r="M467" i="7" a="1"/>
  <c r="M468" i="7" a="1"/>
  <c r="M469" i="7" a="1"/>
  <c r="M470" i="7" a="1"/>
  <c r="M471" i="7" a="1"/>
  <c r="M472" i="7" a="1"/>
  <c r="M473" i="7" a="1"/>
  <c r="M474" i="7" a="1"/>
  <c r="M475" i="7" a="1"/>
  <c r="M476" i="7" a="1"/>
  <c r="M477" i="7" a="1"/>
  <c r="M478" i="7" a="1"/>
  <c r="M479" i="7" a="1"/>
  <c r="M480" i="7" a="1"/>
  <c r="M481" i="7" a="1"/>
  <c r="M482" i="7" a="1"/>
  <c r="M483" i="7" a="1"/>
  <c r="M484" i="7" a="1"/>
  <c r="M485" i="7" a="1"/>
  <c r="M486" i="7" a="1"/>
  <c r="M487" i="7" a="1"/>
  <c r="M488" i="7" a="1"/>
  <c r="M489" i="7" a="1"/>
  <c r="M490" i="7" a="1"/>
  <c r="M491" i="7" a="1"/>
  <c r="M492" i="7" a="1"/>
  <c r="M493" i="7" a="1"/>
  <c r="M494" i="7" a="1"/>
  <c r="M495" i="7" a="1"/>
  <c r="M496" i="7" a="1"/>
  <c r="M497" i="7" a="1"/>
  <c r="M498" i="7" a="1"/>
  <c r="M499" i="7" a="1"/>
  <c r="M500" i="7" a="1"/>
  <c r="M501" i="7" a="1"/>
  <c r="M3" i="7" a="1"/>
  <c r="M4" i="7" a="1"/>
  <c r="M5" i="7" a="1"/>
  <c r="M6" i="7" a="1"/>
  <c r="M7" i="7" a="1"/>
  <c r="M8" i="7" a="1"/>
  <c r="M9" i="7" a="1"/>
  <c r="M10" i="7" a="1"/>
  <c r="M11" i="7" a="1"/>
  <c r="M12" i="7" a="1"/>
  <c r="M13" i="7" a="1"/>
  <c r="M14" i="7" a="1"/>
  <c r="M15" i="7" a="1"/>
  <c r="M16" i="7" a="1"/>
  <c r="M17" i="7" a="1"/>
  <c r="M18" i="7" a="1"/>
  <c r="M19" i="7" a="1"/>
  <c r="M20" i="7" a="1"/>
  <c r="M21" i="7" a="1"/>
  <c r="M22" i="7" a="1"/>
  <c r="M23" i="7" a="1"/>
  <c r="M24" i="7" a="1"/>
  <c r="M25" i="7" a="1"/>
  <c r="M26" i="7" a="1"/>
  <c r="M27" i="7" a="1"/>
  <c r="M28" i="7" a="1"/>
  <c r="M29" i="7" a="1"/>
  <c r="M30" i="7" a="1"/>
  <c r="M31" i="7" a="1"/>
  <c r="M32" i="7" a="1"/>
  <c r="M33" i="7" a="1"/>
  <c r="M34" i="7" a="1"/>
  <c r="M35" i="7" a="1"/>
  <c r="M36" i="7" a="1"/>
  <c r="M37" i="7" a="1"/>
  <c r="M38" i="7" a="1"/>
  <c r="M39" i="7" a="1"/>
  <c r="M40" i="7" a="1"/>
  <c r="M41" i="7" a="1"/>
  <c r="M42" i="7" a="1"/>
  <c r="M43" i="7" a="1"/>
  <c r="M44" i="7" a="1"/>
  <c r="M45" i="7" a="1"/>
  <c r="M46" i="7" a="1"/>
  <c r="M47" i="7" a="1"/>
  <c r="M48" i="7" a="1"/>
  <c r="M49" i="7" a="1"/>
  <c r="M50" i="7" a="1"/>
  <c r="M51" i="7" a="1"/>
  <c r="M52" i="7" a="1"/>
  <c r="M53" i="7" a="1"/>
  <c r="M54" i="7" a="1"/>
  <c r="M55" i="7" a="1"/>
  <c r="M56" i="7" a="1"/>
  <c r="L3" i="7"/>
  <c r="L4" i="7"/>
  <c r="L5" i="7"/>
  <c r="L6" i="7"/>
  <c r="L7" i="7"/>
  <c r="L8" i="7"/>
  <c r="L9" i="7"/>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L114" i="7"/>
  <c r="L115" i="7"/>
  <c r="L116" i="7"/>
  <c r="L117" i="7"/>
  <c r="L118" i="7"/>
  <c r="L119" i="7"/>
  <c r="L120" i="7"/>
  <c r="L121" i="7"/>
  <c r="L122" i="7"/>
  <c r="L123" i="7"/>
  <c r="L124" i="7"/>
  <c r="L125" i="7"/>
  <c r="L126" i="7"/>
  <c r="L127" i="7"/>
  <c r="L128" i="7"/>
  <c r="L129" i="7"/>
  <c r="L130" i="7"/>
  <c r="L131" i="7"/>
  <c r="L132" i="7"/>
  <c r="L133" i="7"/>
  <c r="L134" i="7"/>
  <c r="L135" i="7"/>
  <c r="L136" i="7"/>
  <c r="L137" i="7"/>
  <c r="L138" i="7"/>
  <c r="L139" i="7"/>
  <c r="L140" i="7"/>
  <c r="L141" i="7"/>
  <c r="L142" i="7"/>
  <c r="L143" i="7"/>
  <c r="L144" i="7"/>
  <c r="L145" i="7"/>
  <c r="L146" i="7"/>
  <c r="L147" i="7"/>
  <c r="L148" i="7"/>
  <c r="L149" i="7"/>
  <c r="L150" i="7"/>
  <c r="L151" i="7"/>
  <c r="L152" i="7"/>
  <c r="L153" i="7"/>
  <c r="L154" i="7"/>
  <c r="L155" i="7"/>
  <c r="L156" i="7"/>
  <c r="L157" i="7"/>
  <c r="L158" i="7"/>
  <c r="L159" i="7"/>
  <c r="L160" i="7"/>
  <c r="L161" i="7"/>
  <c r="L162" i="7"/>
  <c r="L163" i="7"/>
  <c r="L164" i="7"/>
  <c r="L165" i="7"/>
  <c r="L166" i="7"/>
  <c r="L167" i="7"/>
  <c r="L168" i="7"/>
  <c r="L169" i="7"/>
  <c r="L170" i="7"/>
  <c r="L171" i="7"/>
  <c r="L172" i="7"/>
  <c r="L173" i="7"/>
  <c r="L174" i="7"/>
  <c r="L175" i="7"/>
  <c r="L176" i="7"/>
  <c r="L177" i="7"/>
  <c r="L178" i="7"/>
  <c r="L179" i="7"/>
  <c r="L180" i="7"/>
  <c r="L181" i="7"/>
  <c r="L182" i="7"/>
  <c r="L183" i="7"/>
  <c r="L184" i="7"/>
  <c r="L185" i="7"/>
  <c r="L186" i="7"/>
  <c r="L187" i="7"/>
  <c r="L188" i="7"/>
  <c r="L189" i="7"/>
  <c r="L190" i="7"/>
  <c r="L191" i="7"/>
  <c r="L192" i="7"/>
  <c r="L193" i="7"/>
  <c r="L194" i="7"/>
  <c r="L195" i="7"/>
  <c r="L196" i="7"/>
  <c r="L197" i="7"/>
  <c r="L198" i="7"/>
  <c r="L199" i="7"/>
  <c r="L200" i="7"/>
  <c r="L201" i="7"/>
  <c r="L202" i="7"/>
  <c r="L203" i="7"/>
  <c r="L204" i="7"/>
  <c r="L205" i="7"/>
  <c r="L206" i="7"/>
  <c r="L207" i="7"/>
  <c r="L208" i="7"/>
  <c r="L209" i="7"/>
  <c r="L210" i="7"/>
  <c r="L211" i="7"/>
  <c r="L212" i="7"/>
  <c r="L213" i="7"/>
  <c r="L214" i="7"/>
  <c r="L215" i="7"/>
  <c r="L216" i="7"/>
  <c r="L217" i="7"/>
  <c r="L218" i="7"/>
  <c r="L219" i="7"/>
  <c r="L220" i="7"/>
  <c r="L221" i="7"/>
  <c r="L222" i="7"/>
  <c r="L223" i="7"/>
  <c r="L224" i="7"/>
  <c r="L225" i="7"/>
  <c r="L226" i="7"/>
  <c r="L227" i="7"/>
  <c r="L228" i="7"/>
  <c r="L229" i="7"/>
  <c r="L230" i="7"/>
  <c r="L231" i="7"/>
  <c r="L232" i="7"/>
  <c r="L233" i="7"/>
  <c r="L234" i="7"/>
  <c r="L235" i="7"/>
  <c r="L236" i="7"/>
  <c r="L237" i="7"/>
  <c r="L238" i="7"/>
  <c r="L239" i="7"/>
  <c r="L240" i="7"/>
  <c r="L241" i="7"/>
  <c r="L242" i="7"/>
  <c r="L243" i="7"/>
  <c r="L244" i="7"/>
  <c r="L245" i="7"/>
  <c r="L246" i="7"/>
  <c r="L247" i="7"/>
  <c r="L248" i="7"/>
  <c r="L249" i="7"/>
  <c r="L250" i="7"/>
  <c r="L251" i="7"/>
  <c r="L252" i="7"/>
  <c r="L253" i="7"/>
  <c r="L254" i="7"/>
  <c r="L255" i="7"/>
  <c r="L256" i="7"/>
  <c r="L257" i="7"/>
  <c r="L258" i="7"/>
  <c r="L259" i="7"/>
  <c r="L260" i="7"/>
  <c r="L261" i="7"/>
  <c r="L262" i="7"/>
  <c r="L263" i="7"/>
  <c r="L264" i="7"/>
  <c r="L265" i="7"/>
  <c r="L266" i="7"/>
  <c r="L267" i="7"/>
  <c r="L268" i="7"/>
  <c r="L269" i="7"/>
  <c r="L270" i="7"/>
  <c r="L271" i="7"/>
  <c r="L272" i="7"/>
  <c r="L273" i="7"/>
  <c r="L274" i="7"/>
  <c r="L275" i="7"/>
  <c r="L276" i="7"/>
  <c r="L277" i="7"/>
  <c r="L278" i="7"/>
  <c r="L279" i="7"/>
  <c r="L280" i="7"/>
  <c r="L281" i="7"/>
  <c r="L282" i="7"/>
  <c r="L283" i="7"/>
  <c r="L284" i="7"/>
  <c r="L285" i="7"/>
  <c r="L286" i="7"/>
  <c r="L287" i="7"/>
  <c r="L288" i="7"/>
  <c r="L289" i="7"/>
  <c r="L290" i="7"/>
  <c r="L291" i="7"/>
  <c r="L292" i="7"/>
  <c r="L293" i="7"/>
  <c r="L294" i="7"/>
  <c r="L295" i="7"/>
  <c r="L296" i="7"/>
  <c r="L297" i="7"/>
  <c r="L298" i="7"/>
  <c r="L299" i="7"/>
  <c r="L300" i="7"/>
  <c r="L301" i="7"/>
  <c r="L302" i="7"/>
  <c r="L303" i="7"/>
  <c r="L304" i="7"/>
  <c r="L305" i="7"/>
  <c r="L306" i="7"/>
  <c r="L307" i="7"/>
  <c r="L308" i="7"/>
  <c r="L309" i="7"/>
  <c r="L310" i="7"/>
  <c r="L311" i="7"/>
  <c r="L312" i="7"/>
  <c r="L313" i="7"/>
  <c r="L314" i="7"/>
  <c r="L315" i="7"/>
  <c r="L316" i="7"/>
  <c r="L317" i="7"/>
  <c r="L318" i="7"/>
  <c r="L319" i="7"/>
  <c r="L320" i="7"/>
  <c r="L321" i="7"/>
  <c r="L322" i="7"/>
  <c r="L323" i="7"/>
  <c r="L324" i="7"/>
  <c r="L325" i="7"/>
  <c r="L326" i="7"/>
  <c r="L327" i="7"/>
  <c r="L328" i="7"/>
  <c r="L329" i="7"/>
  <c r="L330" i="7"/>
  <c r="L331" i="7"/>
  <c r="L332" i="7"/>
  <c r="L333" i="7"/>
  <c r="L334" i="7"/>
  <c r="L335" i="7"/>
  <c r="L336" i="7"/>
  <c r="L337" i="7"/>
  <c r="L338" i="7"/>
  <c r="L339" i="7"/>
  <c r="L340" i="7"/>
  <c r="L341" i="7"/>
  <c r="L342" i="7"/>
  <c r="L343" i="7"/>
  <c r="L344" i="7"/>
  <c r="L345" i="7"/>
  <c r="L346" i="7"/>
  <c r="L347" i="7"/>
  <c r="L348" i="7"/>
  <c r="L349" i="7"/>
  <c r="L350" i="7"/>
  <c r="L351" i="7"/>
  <c r="L352" i="7"/>
  <c r="L353" i="7"/>
  <c r="L354" i="7"/>
  <c r="L355" i="7"/>
  <c r="L356" i="7"/>
  <c r="L357" i="7"/>
  <c r="L358" i="7"/>
  <c r="L359" i="7"/>
  <c r="L360" i="7"/>
  <c r="L361" i="7"/>
  <c r="L362" i="7"/>
  <c r="L363" i="7"/>
  <c r="L364" i="7"/>
  <c r="L365" i="7"/>
  <c r="L366" i="7"/>
  <c r="L367" i="7"/>
  <c r="L368" i="7"/>
  <c r="L369" i="7"/>
  <c r="L370" i="7"/>
  <c r="L371" i="7"/>
  <c r="L372" i="7"/>
  <c r="L373" i="7"/>
  <c r="L374" i="7"/>
  <c r="L375" i="7"/>
  <c r="L376" i="7"/>
  <c r="L377" i="7"/>
  <c r="L378" i="7"/>
  <c r="L379" i="7"/>
  <c r="L380" i="7"/>
  <c r="L381" i="7"/>
  <c r="L382" i="7"/>
  <c r="L383" i="7"/>
  <c r="L384" i="7"/>
  <c r="L385" i="7"/>
  <c r="L386" i="7"/>
  <c r="L387" i="7"/>
  <c r="L388" i="7"/>
  <c r="L389" i="7"/>
  <c r="L390" i="7"/>
  <c r="L391" i="7"/>
  <c r="L392" i="7"/>
  <c r="L393" i="7"/>
  <c r="L394" i="7"/>
  <c r="L395" i="7"/>
  <c r="L396" i="7"/>
  <c r="L397" i="7"/>
  <c r="L398" i="7"/>
  <c r="L399" i="7"/>
  <c r="L400" i="7"/>
  <c r="L401" i="7"/>
  <c r="L402" i="7"/>
  <c r="L403" i="7"/>
  <c r="L404" i="7"/>
  <c r="L405" i="7"/>
  <c r="L406" i="7"/>
  <c r="L407" i="7"/>
  <c r="L408" i="7"/>
  <c r="L409" i="7"/>
  <c r="L410" i="7"/>
  <c r="L411" i="7"/>
  <c r="L412" i="7"/>
  <c r="L413" i="7"/>
  <c r="L414" i="7"/>
  <c r="L415" i="7"/>
  <c r="L416" i="7"/>
  <c r="L417" i="7"/>
  <c r="L418" i="7"/>
  <c r="L419" i="7"/>
  <c r="L420" i="7"/>
  <c r="L421" i="7"/>
  <c r="L422" i="7"/>
  <c r="L423" i="7"/>
  <c r="L424" i="7"/>
  <c r="L425" i="7"/>
  <c r="L426" i="7"/>
  <c r="L427" i="7"/>
  <c r="L428" i="7"/>
  <c r="L429" i="7"/>
  <c r="L430" i="7"/>
  <c r="L431" i="7"/>
  <c r="L432" i="7"/>
  <c r="L433" i="7"/>
  <c r="L434" i="7"/>
  <c r="L435" i="7"/>
  <c r="L436" i="7"/>
  <c r="L437" i="7"/>
  <c r="L438" i="7"/>
  <c r="L439" i="7"/>
  <c r="L440" i="7"/>
  <c r="L441" i="7"/>
  <c r="L442" i="7"/>
  <c r="L443" i="7"/>
  <c r="L444" i="7"/>
  <c r="L445" i="7"/>
  <c r="L446" i="7"/>
  <c r="L447" i="7"/>
  <c r="L448" i="7"/>
  <c r="L449" i="7"/>
  <c r="L450" i="7"/>
  <c r="L451" i="7"/>
  <c r="L452" i="7"/>
  <c r="L453" i="7"/>
  <c r="L454" i="7"/>
  <c r="L455" i="7"/>
  <c r="L456" i="7"/>
  <c r="L457" i="7"/>
  <c r="L458" i="7"/>
  <c r="L459" i="7"/>
  <c r="L460" i="7"/>
  <c r="L461" i="7"/>
  <c r="L462" i="7"/>
  <c r="L463" i="7"/>
  <c r="L464" i="7"/>
  <c r="L465" i="7"/>
  <c r="L466" i="7"/>
  <c r="L467" i="7"/>
  <c r="L468" i="7"/>
  <c r="L469" i="7"/>
  <c r="L470" i="7"/>
  <c r="L471" i="7"/>
  <c r="L472" i="7"/>
  <c r="L473" i="7"/>
  <c r="L474" i="7"/>
  <c r="L475" i="7"/>
  <c r="L476" i="7"/>
  <c r="L477" i="7"/>
  <c r="L478" i="7"/>
  <c r="L479" i="7"/>
  <c r="L480" i="7"/>
  <c r="L481" i="7"/>
  <c r="L482" i="7"/>
  <c r="L483" i="7"/>
  <c r="L484" i="7"/>
  <c r="L485" i="7"/>
  <c r="L486" i="7"/>
  <c r="L487" i="7"/>
  <c r="L488" i="7"/>
  <c r="L489" i="7"/>
  <c r="L490" i="7"/>
  <c r="L491" i="7"/>
  <c r="L492" i="7"/>
  <c r="L493" i="7"/>
  <c r="L494" i="7"/>
  <c r="L495" i="7"/>
  <c r="L496" i="7"/>
  <c r="L497" i="7"/>
  <c r="L498" i="7"/>
  <c r="L499" i="7"/>
  <c r="L500" i="7"/>
  <c r="L501" i="7"/>
  <c r="K3" i="7"/>
  <c r="K4" i="7"/>
  <c r="K5" i="7"/>
  <c r="K6" i="7"/>
  <c r="K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K59" i="7"/>
  <c r="K60" i="7"/>
  <c r="K61" i="7"/>
  <c r="K62" i="7"/>
  <c r="K63" i="7"/>
  <c r="K64" i="7"/>
  <c r="K65" i="7"/>
  <c r="K66" i="7"/>
  <c r="K67" i="7"/>
  <c r="K68" i="7"/>
  <c r="K69" i="7"/>
  <c r="K70" i="7"/>
  <c r="K71" i="7"/>
  <c r="K72" i="7"/>
  <c r="K73" i="7"/>
  <c r="K74" i="7"/>
  <c r="K75" i="7"/>
  <c r="K76" i="7"/>
  <c r="K77" i="7"/>
  <c r="K78" i="7"/>
  <c r="K79" i="7"/>
  <c r="K80" i="7"/>
  <c r="K81" i="7"/>
  <c r="K82" i="7"/>
  <c r="K83" i="7"/>
  <c r="K84" i="7"/>
  <c r="K85" i="7"/>
  <c r="K86" i="7"/>
  <c r="K87" i="7"/>
  <c r="K88" i="7"/>
  <c r="K89" i="7"/>
  <c r="K90" i="7"/>
  <c r="K91" i="7"/>
  <c r="K92" i="7"/>
  <c r="K93" i="7"/>
  <c r="K94" i="7"/>
  <c r="K95" i="7"/>
  <c r="K96" i="7"/>
  <c r="K97" i="7"/>
  <c r="K98" i="7"/>
  <c r="K99" i="7"/>
  <c r="K100" i="7"/>
  <c r="K101" i="7"/>
  <c r="K102" i="7"/>
  <c r="K103" i="7"/>
  <c r="K104" i="7"/>
  <c r="K105" i="7"/>
  <c r="K106" i="7"/>
  <c r="K107" i="7"/>
  <c r="K108" i="7"/>
  <c r="K109" i="7"/>
  <c r="K110" i="7"/>
  <c r="K111" i="7"/>
  <c r="K112" i="7"/>
  <c r="K113" i="7"/>
  <c r="K114" i="7"/>
  <c r="K115" i="7"/>
  <c r="K116" i="7"/>
  <c r="K117" i="7"/>
  <c r="K118" i="7"/>
  <c r="K119" i="7"/>
  <c r="K120" i="7"/>
  <c r="K121" i="7"/>
  <c r="K122" i="7"/>
  <c r="K123" i="7"/>
  <c r="K124" i="7"/>
  <c r="K125" i="7"/>
  <c r="K126" i="7"/>
  <c r="K127" i="7"/>
  <c r="K128" i="7"/>
  <c r="K129" i="7"/>
  <c r="K130" i="7"/>
  <c r="K131" i="7"/>
  <c r="K132" i="7"/>
  <c r="K133" i="7"/>
  <c r="K134" i="7"/>
  <c r="K135" i="7"/>
  <c r="K136" i="7"/>
  <c r="K137" i="7"/>
  <c r="K138" i="7"/>
  <c r="K139" i="7"/>
  <c r="K140" i="7"/>
  <c r="K141" i="7"/>
  <c r="K142" i="7"/>
  <c r="K143" i="7"/>
  <c r="K144" i="7"/>
  <c r="K145" i="7"/>
  <c r="K146" i="7"/>
  <c r="K147" i="7"/>
  <c r="K148" i="7"/>
  <c r="K149" i="7"/>
  <c r="K150" i="7"/>
  <c r="K151" i="7"/>
  <c r="K152" i="7"/>
  <c r="K153" i="7"/>
  <c r="K154" i="7"/>
  <c r="K155" i="7"/>
  <c r="K156" i="7"/>
  <c r="K157" i="7"/>
  <c r="K158" i="7"/>
  <c r="K159" i="7"/>
  <c r="K160" i="7"/>
  <c r="K161" i="7"/>
  <c r="K162" i="7"/>
  <c r="K163" i="7"/>
  <c r="K164" i="7"/>
  <c r="K165" i="7"/>
  <c r="K166" i="7"/>
  <c r="K167" i="7"/>
  <c r="K168" i="7"/>
  <c r="K169" i="7"/>
  <c r="K170" i="7"/>
  <c r="K171" i="7"/>
  <c r="K172" i="7"/>
  <c r="K173" i="7"/>
  <c r="K174" i="7"/>
  <c r="K175" i="7"/>
  <c r="K176" i="7"/>
  <c r="K177" i="7"/>
  <c r="K178" i="7"/>
  <c r="K179" i="7"/>
  <c r="K180" i="7"/>
  <c r="K181" i="7"/>
  <c r="K182" i="7"/>
  <c r="K183" i="7"/>
  <c r="K184" i="7"/>
  <c r="K185" i="7"/>
  <c r="K186" i="7"/>
  <c r="K187" i="7"/>
  <c r="K188" i="7"/>
  <c r="K189" i="7"/>
  <c r="K190" i="7"/>
  <c r="K191" i="7"/>
  <c r="K192" i="7"/>
  <c r="K193" i="7"/>
  <c r="K194" i="7"/>
  <c r="K195" i="7"/>
  <c r="K196" i="7"/>
  <c r="K197" i="7"/>
  <c r="K198" i="7"/>
  <c r="K199" i="7"/>
  <c r="K200" i="7"/>
  <c r="K201" i="7"/>
  <c r="K202" i="7"/>
  <c r="K203" i="7"/>
  <c r="K204" i="7"/>
  <c r="K205" i="7"/>
  <c r="K206" i="7"/>
  <c r="K207" i="7"/>
  <c r="K208" i="7"/>
  <c r="K209" i="7"/>
  <c r="K210" i="7"/>
  <c r="K211" i="7"/>
  <c r="K212" i="7"/>
  <c r="K213" i="7"/>
  <c r="K214" i="7"/>
  <c r="K215" i="7"/>
  <c r="K216" i="7"/>
  <c r="K217" i="7"/>
  <c r="K218" i="7"/>
  <c r="K219" i="7"/>
  <c r="K220" i="7"/>
  <c r="K221" i="7"/>
  <c r="K222" i="7"/>
  <c r="K223" i="7"/>
  <c r="K224" i="7"/>
  <c r="K225" i="7"/>
  <c r="K226" i="7"/>
  <c r="K227" i="7"/>
  <c r="K228" i="7"/>
  <c r="K229" i="7"/>
  <c r="K230" i="7"/>
  <c r="K231" i="7"/>
  <c r="K232" i="7"/>
  <c r="K233" i="7"/>
  <c r="K234" i="7"/>
  <c r="K235" i="7"/>
  <c r="K236" i="7"/>
  <c r="K237" i="7"/>
  <c r="K238" i="7"/>
  <c r="K239" i="7"/>
  <c r="K240" i="7"/>
  <c r="K241" i="7"/>
  <c r="K242" i="7"/>
  <c r="K243" i="7"/>
  <c r="K244" i="7"/>
  <c r="K245" i="7"/>
  <c r="K246" i="7"/>
  <c r="K247" i="7"/>
  <c r="K248" i="7"/>
  <c r="K249" i="7"/>
  <c r="K250" i="7"/>
  <c r="K251" i="7"/>
  <c r="K252" i="7"/>
  <c r="K253" i="7"/>
  <c r="K254" i="7"/>
  <c r="K255" i="7"/>
  <c r="K256" i="7"/>
  <c r="K257" i="7"/>
  <c r="K258" i="7"/>
  <c r="K259" i="7"/>
  <c r="K260" i="7"/>
  <c r="K261" i="7"/>
  <c r="K262" i="7"/>
  <c r="K263" i="7"/>
  <c r="K264" i="7"/>
  <c r="K265" i="7"/>
  <c r="K266" i="7"/>
  <c r="K267" i="7"/>
  <c r="K268" i="7"/>
  <c r="K269" i="7"/>
  <c r="K270" i="7"/>
  <c r="K271" i="7"/>
  <c r="K272" i="7"/>
  <c r="K273" i="7"/>
  <c r="K274" i="7"/>
  <c r="K275" i="7"/>
  <c r="K276" i="7"/>
  <c r="K277" i="7"/>
  <c r="K278" i="7"/>
  <c r="K279" i="7"/>
  <c r="K280" i="7"/>
  <c r="K281" i="7"/>
  <c r="K282" i="7"/>
  <c r="K283" i="7"/>
  <c r="K284" i="7"/>
  <c r="K285" i="7"/>
  <c r="K286" i="7"/>
  <c r="K287" i="7"/>
  <c r="K288" i="7"/>
  <c r="K289" i="7"/>
  <c r="K290" i="7"/>
  <c r="K291" i="7"/>
  <c r="K292" i="7"/>
  <c r="K293" i="7"/>
  <c r="K294" i="7"/>
  <c r="K295" i="7"/>
  <c r="K296" i="7"/>
  <c r="K297" i="7"/>
  <c r="K298" i="7"/>
  <c r="K299" i="7"/>
  <c r="K300" i="7"/>
  <c r="K301" i="7"/>
  <c r="K302" i="7"/>
  <c r="K303" i="7"/>
  <c r="K304" i="7"/>
  <c r="K305" i="7"/>
  <c r="K306" i="7"/>
  <c r="K307" i="7"/>
  <c r="K308" i="7"/>
  <c r="K309" i="7"/>
  <c r="K310" i="7"/>
  <c r="K311" i="7"/>
  <c r="K312" i="7"/>
  <c r="K313" i="7"/>
  <c r="K314" i="7"/>
  <c r="K315" i="7"/>
  <c r="K316" i="7"/>
  <c r="K317" i="7"/>
  <c r="K318" i="7"/>
  <c r="K319" i="7"/>
  <c r="K320" i="7"/>
  <c r="K321" i="7"/>
  <c r="K322" i="7"/>
  <c r="K323" i="7"/>
  <c r="K324" i="7"/>
  <c r="K325" i="7"/>
  <c r="K326" i="7"/>
  <c r="K327" i="7"/>
  <c r="K328" i="7"/>
  <c r="K329" i="7"/>
  <c r="K330" i="7"/>
  <c r="K331" i="7"/>
  <c r="K332" i="7"/>
  <c r="K333" i="7"/>
  <c r="K334" i="7"/>
  <c r="K335" i="7"/>
  <c r="K336" i="7"/>
  <c r="K337" i="7"/>
  <c r="K338" i="7"/>
  <c r="K339" i="7"/>
  <c r="K340" i="7"/>
  <c r="K341" i="7"/>
  <c r="K342" i="7"/>
  <c r="K343" i="7"/>
  <c r="K344" i="7"/>
  <c r="K345" i="7"/>
  <c r="K346" i="7"/>
  <c r="K347" i="7"/>
  <c r="K348" i="7"/>
  <c r="K349" i="7"/>
  <c r="K350" i="7"/>
  <c r="K351" i="7"/>
  <c r="K352" i="7"/>
  <c r="K353" i="7"/>
  <c r="K354" i="7"/>
  <c r="K355" i="7"/>
  <c r="K356" i="7"/>
  <c r="K357" i="7"/>
  <c r="K358" i="7"/>
  <c r="K359" i="7"/>
  <c r="K360" i="7"/>
  <c r="K361" i="7"/>
  <c r="K362" i="7"/>
  <c r="K363" i="7"/>
  <c r="K364" i="7"/>
  <c r="K365" i="7"/>
  <c r="K366" i="7"/>
  <c r="K367" i="7"/>
  <c r="K368" i="7"/>
  <c r="K369" i="7"/>
  <c r="K370" i="7"/>
  <c r="K371" i="7"/>
  <c r="K372" i="7"/>
  <c r="K373" i="7"/>
  <c r="K374" i="7"/>
  <c r="K375" i="7"/>
  <c r="K376" i="7"/>
  <c r="K377" i="7"/>
  <c r="K378" i="7"/>
  <c r="K379" i="7"/>
  <c r="K380" i="7"/>
  <c r="K381" i="7"/>
  <c r="K382" i="7"/>
  <c r="K383" i="7"/>
  <c r="K384" i="7"/>
  <c r="K385" i="7"/>
  <c r="K386" i="7"/>
  <c r="K387" i="7"/>
  <c r="K388" i="7"/>
  <c r="K389" i="7"/>
  <c r="K390" i="7"/>
  <c r="K391" i="7"/>
  <c r="K392" i="7"/>
  <c r="K393" i="7"/>
  <c r="K394" i="7"/>
  <c r="K395" i="7"/>
  <c r="K396" i="7"/>
  <c r="K397" i="7"/>
  <c r="K398" i="7"/>
  <c r="K399" i="7"/>
  <c r="K400" i="7"/>
  <c r="K401" i="7"/>
  <c r="K402" i="7"/>
  <c r="K403" i="7"/>
  <c r="K404" i="7"/>
  <c r="K405" i="7"/>
  <c r="K406" i="7"/>
  <c r="K407" i="7"/>
  <c r="K408" i="7"/>
  <c r="K409" i="7"/>
  <c r="K410" i="7"/>
  <c r="K411" i="7"/>
  <c r="K412" i="7"/>
  <c r="K413" i="7"/>
  <c r="K414" i="7"/>
  <c r="K415" i="7"/>
  <c r="K416" i="7"/>
  <c r="K417" i="7"/>
  <c r="K418" i="7"/>
  <c r="K419" i="7"/>
  <c r="K420" i="7"/>
  <c r="K421" i="7"/>
  <c r="K422" i="7"/>
  <c r="K423" i="7"/>
  <c r="K424" i="7"/>
  <c r="K425" i="7"/>
  <c r="K426" i="7"/>
  <c r="K427" i="7"/>
  <c r="K428" i="7"/>
  <c r="K429" i="7"/>
  <c r="K430" i="7"/>
  <c r="K431" i="7"/>
  <c r="K432" i="7"/>
  <c r="K433" i="7"/>
  <c r="K434" i="7"/>
  <c r="K435" i="7"/>
  <c r="K436" i="7"/>
  <c r="K437" i="7"/>
  <c r="K438" i="7"/>
  <c r="K439" i="7"/>
  <c r="K440" i="7"/>
  <c r="K441" i="7"/>
  <c r="K442" i="7"/>
  <c r="K443" i="7"/>
  <c r="K444" i="7"/>
  <c r="K445" i="7"/>
  <c r="K446" i="7"/>
  <c r="K447" i="7"/>
  <c r="K448" i="7"/>
  <c r="K449" i="7"/>
  <c r="K450" i="7"/>
  <c r="K451" i="7"/>
  <c r="K452" i="7"/>
  <c r="K453" i="7"/>
  <c r="K454" i="7"/>
  <c r="K455" i="7"/>
  <c r="K456" i="7"/>
  <c r="K457" i="7"/>
  <c r="K458" i="7"/>
  <c r="K459" i="7"/>
  <c r="K460" i="7"/>
  <c r="K461" i="7"/>
  <c r="K462" i="7"/>
  <c r="K463" i="7"/>
  <c r="K464" i="7"/>
  <c r="K465" i="7"/>
  <c r="K466" i="7"/>
  <c r="K467" i="7"/>
  <c r="K468" i="7"/>
  <c r="K469" i="7"/>
  <c r="K470" i="7"/>
  <c r="K471" i="7"/>
  <c r="K472" i="7"/>
  <c r="K473" i="7"/>
  <c r="K474" i="7"/>
  <c r="K475" i="7"/>
  <c r="K476" i="7"/>
  <c r="K477" i="7"/>
  <c r="K478" i="7"/>
  <c r="K479" i="7"/>
  <c r="K480" i="7"/>
  <c r="K481" i="7"/>
  <c r="K482" i="7"/>
  <c r="K483" i="7"/>
  <c r="K484" i="7"/>
  <c r="K485" i="7"/>
  <c r="K486" i="7"/>
  <c r="K487" i="7"/>
  <c r="K488" i="7"/>
  <c r="K489" i="7"/>
  <c r="K490" i="7"/>
  <c r="K491" i="7"/>
  <c r="K492" i="7"/>
  <c r="K493" i="7"/>
  <c r="K494" i="7"/>
  <c r="K495" i="7"/>
  <c r="K496" i="7"/>
  <c r="K497" i="7"/>
  <c r="K498" i="7"/>
  <c r="K499" i="7"/>
  <c r="K500" i="7"/>
  <c r="K501" i="7"/>
  <c r="K2" i="7"/>
  <c r="J2" i="7"/>
  <c r="J3" i="7"/>
  <c r="J4" i="7"/>
  <c r="J5" i="7"/>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82" i="7"/>
  <c r="J83" i="7"/>
  <c r="J84" i="7"/>
  <c r="J85" i="7"/>
  <c r="J86" i="7"/>
  <c r="J87" i="7"/>
  <c r="J88" i="7"/>
  <c r="J89" i="7"/>
  <c r="J90" i="7"/>
  <c r="J91" i="7"/>
  <c r="J92" i="7"/>
  <c r="J93" i="7"/>
  <c r="J94" i="7"/>
  <c r="J95" i="7"/>
  <c r="J96" i="7"/>
  <c r="J97" i="7"/>
  <c r="J98" i="7"/>
  <c r="J99" i="7"/>
  <c r="J100" i="7"/>
  <c r="J101" i="7"/>
  <c r="J102" i="7"/>
  <c r="J103" i="7"/>
  <c r="J104" i="7"/>
  <c r="J105" i="7"/>
  <c r="J106" i="7"/>
  <c r="J107" i="7"/>
  <c r="J108" i="7"/>
  <c r="J109" i="7"/>
  <c r="J110" i="7"/>
  <c r="J111" i="7"/>
  <c r="J112" i="7"/>
  <c r="J113" i="7"/>
  <c r="J114" i="7"/>
  <c r="J115" i="7"/>
  <c r="J116" i="7"/>
  <c r="J117" i="7"/>
  <c r="J118" i="7"/>
  <c r="J119" i="7"/>
  <c r="J120" i="7"/>
  <c r="J121" i="7"/>
  <c r="J122" i="7"/>
  <c r="J123" i="7"/>
  <c r="J124" i="7"/>
  <c r="J125" i="7"/>
  <c r="J126" i="7"/>
  <c r="J127" i="7"/>
  <c r="J128" i="7"/>
  <c r="J129" i="7"/>
  <c r="J130" i="7"/>
  <c r="J131" i="7"/>
  <c r="J132" i="7"/>
  <c r="J133" i="7"/>
  <c r="J134" i="7"/>
  <c r="J135" i="7"/>
  <c r="J136" i="7"/>
  <c r="J137" i="7"/>
  <c r="J138" i="7"/>
  <c r="J139" i="7"/>
  <c r="J140" i="7"/>
  <c r="J141" i="7"/>
  <c r="J142" i="7"/>
  <c r="J143" i="7"/>
  <c r="J144" i="7"/>
  <c r="J145" i="7"/>
  <c r="J146" i="7"/>
  <c r="J147" i="7"/>
  <c r="J148" i="7"/>
  <c r="J149" i="7"/>
  <c r="J150" i="7"/>
  <c r="J151" i="7"/>
  <c r="J152" i="7"/>
  <c r="J153" i="7"/>
  <c r="J154" i="7"/>
  <c r="J155" i="7"/>
  <c r="J156" i="7"/>
  <c r="J157" i="7"/>
  <c r="J158" i="7"/>
  <c r="J159" i="7"/>
  <c r="J160" i="7"/>
  <c r="J161" i="7"/>
  <c r="J162" i="7"/>
  <c r="J163" i="7"/>
  <c r="J164" i="7"/>
  <c r="J165" i="7"/>
  <c r="J166" i="7"/>
  <c r="J167" i="7"/>
  <c r="J168" i="7"/>
  <c r="J169" i="7"/>
  <c r="J170" i="7"/>
  <c r="J171" i="7"/>
  <c r="J172" i="7"/>
  <c r="J173" i="7"/>
  <c r="J174" i="7"/>
  <c r="J175" i="7"/>
  <c r="J176" i="7"/>
  <c r="J177" i="7"/>
  <c r="J178" i="7"/>
  <c r="J179" i="7"/>
  <c r="J180" i="7"/>
  <c r="J181" i="7"/>
  <c r="J182" i="7"/>
  <c r="J183" i="7"/>
  <c r="J184" i="7"/>
  <c r="J185" i="7"/>
  <c r="J186" i="7"/>
  <c r="J187" i="7"/>
  <c r="J188" i="7"/>
  <c r="J189" i="7"/>
  <c r="J190" i="7"/>
  <c r="J191" i="7"/>
  <c r="J192" i="7"/>
  <c r="J193" i="7"/>
  <c r="J194" i="7"/>
  <c r="J195" i="7"/>
  <c r="J196" i="7"/>
  <c r="J197" i="7"/>
  <c r="J198" i="7"/>
  <c r="J199" i="7"/>
  <c r="J200" i="7"/>
  <c r="J201" i="7"/>
  <c r="J202" i="7"/>
  <c r="J203" i="7"/>
  <c r="J204" i="7"/>
  <c r="J205" i="7"/>
  <c r="J206" i="7"/>
  <c r="J207" i="7"/>
  <c r="J208" i="7"/>
  <c r="J209" i="7"/>
  <c r="J210" i="7"/>
  <c r="J211" i="7"/>
  <c r="J212" i="7"/>
  <c r="J213" i="7"/>
  <c r="J214" i="7"/>
  <c r="J215" i="7"/>
  <c r="J216" i="7"/>
  <c r="J217" i="7"/>
  <c r="J218" i="7"/>
  <c r="J219" i="7"/>
  <c r="J220" i="7"/>
  <c r="J221" i="7"/>
  <c r="J222" i="7"/>
  <c r="J223" i="7"/>
  <c r="J224" i="7"/>
  <c r="J225" i="7"/>
  <c r="J226" i="7"/>
  <c r="J227" i="7"/>
  <c r="J228" i="7"/>
  <c r="J229" i="7"/>
  <c r="J230" i="7"/>
  <c r="J231" i="7"/>
  <c r="J232" i="7"/>
  <c r="J233" i="7"/>
  <c r="J234" i="7"/>
  <c r="J235" i="7"/>
  <c r="J236" i="7"/>
  <c r="J237" i="7"/>
  <c r="J238" i="7"/>
  <c r="J239" i="7"/>
  <c r="J240" i="7"/>
  <c r="J241" i="7"/>
  <c r="J242" i="7"/>
  <c r="J243" i="7"/>
  <c r="J244" i="7"/>
  <c r="J245" i="7"/>
  <c r="J246" i="7"/>
  <c r="J247" i="7"/>
  <c r="J248" i="7"/>
  <c r="J249" i="7"/>
  <c r="J250" i="7"/>
  <c r="J251" i="7"/>
  <c r="J252" i="7"/>
  <c r="J253" i="7"/>
  <c r="J254" i="7"/>
  <c r="J255" i="7"/>
  <c r="J256" i="7"/>
  <c r="J257" i="7"/>
  <c r="J258" i="7"/>
  <c r="J259" i="7"/>
  <c r="J260" i="7"/>
  <c r="J261" i="7"/>
  <c r="J262" i="7"/>
  <c r="J263" i="7"/>
  <c r="J264" i="7"/>
  <c r="J265" i="7"/>
  <c r="J266" i="7"/>
  <c r="J267" i="7"/>
  <c r="J268" i="7"/>
  <c r="J269" i="7"/>
  <c r="J270" i="7"/>
  <c r="J271" i="7"/>
  <c r="J272" i="7"/>
  <c r="J273" i="7"/>
  <c r="J274" i="7"/>
  <c r="J275" i="7"/>
  <c r="J276" i="7"/>
  <c r="J277" i="7"/>
  <c r="J278" i="7"/>
  <c r="J279" i="7"/>
  <c r="J280" i="7"/>
  <c r="J281" i="7"/>
  <c r="J282" i="7"/>
  <c r="J283" i="7"/>
  <c r="J284" i="7"/>
  <c r="J285" i="7"/>
  <c r="J286" i="7"/>
  <c r="J287" i="7"/>
  <c r="J288" i="7"/>
  <c r="J289" i="7"/>
  <c r="J290" i="7"/>
  <c r="J291" i="7"/>
  <c r="J292" i="7"/>
  <c r="J293" i="7"/>
  <c r="J294" i="7"/>
  <c r="J295" i="7"/>
  <c r="J296" i="7"/>
  <c r="J297" i="7"/>
  <c r="J298" i="7"/>
  <c r="J299" i="7"/>
  <c r="J300" i="7"/>
  <c r="J301" i="7"/>
  <c r="J302" i="7"/>
  <c r="J303" i="7"/>
  <c r="J304" i="7"/>
  <c r="J305" i="7"/>
  <c r="J306" i="7"/>
  <c r="J307" i="7"/>
  <c r="J308" i="7"/>
  <c r="J309" i="7"/>
  <c r="J310" i="7"/>
  <c r="J311" i="7"/>
  <c r="J312" i="7"/>
  <c r="J313" i="7"/>
  <c r="J314" i="7"/>
  <c r="J315" i="7"/>
  <c r="J316" i="7"/>
  <c r="J317" i="7"/>
  <c r="J318" i="7"/>
  <c r="J319" i="7"/>
  <c r="J320" i="7"/>
  <c r="J321" i="7"/>
  <c r="J322" i="7"/>
  <c r="J323" i="7"/>
  <c r="J324" i="7"/>
  <c r="J325" i="7"/>
  <c r="J326" i="7"/>
  <c r="J327" i="7"/>
  <c r="J328" i="7"/>
  <c r="J329" i="7"/>
  <c r="J330" i="7"/>
  <c r="J331" i="7"/>
  <c r="J332" i="7"/>
  <c r="J333" i="7"/>
  <c r="J334" i="7"/>
  <c r="J335" i="7"/>
  <c r="J336" i="7"/>
  <c r="J337" i="7"/>
  <c r="J338" i="7"/>
  <c r="J339" i="7"/>
  <c r="J340" i="7"/>
  <c r="J341" i="7"/>
  <c r="J342" i="7"/>
  <c r="J343" i="7"/>
  <c r="J344" i="7"/>
  <c r="J345" i="7"/>
  <c r="J346" i="7"/>
  <c r="J347" i="7"/>
  <c r="J348" i="7"/>
  <c r="J349" i="7"/>
  <c r="J350" i="7"/>
  <c r="J351" i="7"/>
  <c r="J352" i="7"/>
  <c r="J353" i="7"/>
  <c r="J354" i="7"/>
  <c r="J355" i="7"/>
  <c r="J356" i="7"/>
  <c r="J357" i="7"/>
  <c r="J358" i="7"/>
  <c r="J359" i="7"/>
  <c r="J360" i="7"/>
  <c r="J361" i="7"/>
  <c r="J362" i="7"/>
  <c r="J363" i="7"/>
  <c r="J364" i="7"/>
  <c r="J365" i="7"/>
  <c r="J366" i="7"/>
  <c r="J367" i="7"/>
  <c r="J368" i="7"/>
  <c r="J369" i="7"/>
  <c r="J370" i="7"/>
  <c r="J371" i="7"/>
  <c r="J372" i="7"/>
  <c r="J373" i="7"/>
  <c r="J374" i="7"/>
  <c r="J375" i="7"/>
  <c r="J376" i="7"/>
  <c r="J377" i="7"/>
  <c r="J378" i="7"/>
  <c r="J379" i="7"/>
  <c r="J380" i="7"/>
  <c r="J381" i="7"/>
  <c r="J382" i="7"/>
  <c r="J383" i="7"/>
  <c r="J384" i="7"/>
  <c r="J385" i="7"/>
  <c r="J386" i="7"/>
  <c r="J387" i="7"/>
  <c r="J388" i="7"/>
  <c r="J389" i="7"/>
  <c r="J390" i="7"/>
  <c r="J391" i="7"/>
  <c r="J392" i="7"/>
  <c r="J393" i="7"/>
  <c r="J394" i="7"/>
  <c r="J395" i="7"/>
  <c r="J396" i="7"/>
  <c r="J397" i="7"/>
  <c r="J398" i="7"/>
  <c r="J399" i="7"/>
  <c r="J400" i="7"/>
  <c r="J401" i="7"/>
  <c r="J402" i="7"/>
  <c r="J403" i="7"/>
  <c r="J404" i="7"/>
  <c r="J405" i="7"/>
  <c r="J406" i="7"/>
  <c r="J407" i="7"/>
  <c r="J408" i="7"/>
  <c r="J409" i="7"/>
  <c r="J410" i="7"/>
  <c r="J411" i="7"/>
  <c r="J412" i="7"/>
  <c r="J413" i="7"/>
  <c r="J414" i="7"/>
  <c r="J415" i="7"/>
  <c r="J416" i="7"/>
  <c r="J417" i="7"/>
  <c r="J418" i="7"/>
  <c r="J419" i="7"/>
  <c r="J420" i="7"/>
  <c r="J421" i="7"/>
  <c r="J422" i="7"/>
  <c r="J423" i="7"/>
  <c r="J424" i="7"/>
  <c r="J425" i="7"/>
  <c r="J426" i="7"/>
  <c r="J427" i="7"/>
  <c r="J428" i="7"/>
  <c r="J429" i="7"/>
  <c r="J430" i="7"/>
  <c r="J431" i="7"/>
  <c r="J432" i="7"/>
  <c r="J433" i="7"/>
  <c r="J434" i="7"/>
  <c r="J435" i="7"/>
  <c r="J436" i="7"/>
  <c r="J437" i="7"/>
  <c r="J438" i="7"/>
  <c r="J439" i="7"/>
  <c r="J440" i="7"/>
  <c r="J441" i="7"/>
  <c r="J442" i="7"/>
  <c r="J443" i="7"/>
  <c r="J444" i="7"/>
  <c r="J445" i="7"/>
  <c r="J446" i="7"/>
  <c r="J447" i="7"/>
  <c r="J448" i="7"/>
  <c r="J449" i="7"/>
  <c r="J450" i="7"/>
  <c r="J451" i="7"/>
  <c r="J452" i="7"/>
  <c r="J453" i="7"/>
  <c r="J454" i="7"/>
  <c r="J455" i="7"/>
  <c r="J456" i="7"/>
  <c r="J457" i="7"/>
  <c r="J458" i="7"/>
  <c r="J459" i="7"/>
  <c r="J460" i="7"/>
  <c r="J461" i="7"/>
  <c r="J462" i="7"/>
  <c r="J463" i="7"/>
  <c r="J464" i="7"/>
  <c r="J465" i="7"/>
  <c r="J466" i="7"/>
  <c r="J467" i="7"/>
  <c r="J468" i="7"/>
  <c r="J469" i="7"/>
  <c r="J470" i="7"/>
  <c r="J471" i="7"/>
  <c r="J472" i="7"/>
  <c r="J473" i="7"/>
  <c r="J474" i="7"/>
  <c r="J475" i="7"/>
  <c r="J476" i="7"/>
  <c r="J477" i="7"/>
  <c r="J478" i="7"/>
  <c r="J479" i="7"/>
  <c r="J480" i="7"/>
  <c r="J481" i="7"/>
  <c r="J482" i="7"/>
  <c r="J483" i="7"/>
  <c r="J484" i="7"/>
  <c r="J485" i="7"/>
  <c r="J486" i="7"/>
  <c r="J487" i="7"/>
  <c r="J488" i="7"/>
  <c r="J489" i="7"/>
  <c r="J490" i="7"/>
  <c r="J491" i="7"/>
  <c r="J492" i="7"/>
  <c r="J493" i="7"/>
  <c r="J494" i="7"/>
  <c r="J495" i="7"/>
  <c r="J496" i="7"/>
  <c r="J497" i="7"/>
  <c r="J498" i="7"/>
  <c r="J499" i="7"/>
  <c r="J500" i="7"/>
  <c r="J501" i="7"/>
  <c r="L2" i="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<sst xmlns="http://schemas.openxmlformats.org/spreadsheetml/2006/main" count="38184" uniqueCount="8518">
  <si>
    <t>SKU Code</t>
  </si>
  <si>
    <t>Mouse</t>
  </si>
  <si>
    <t>Pcs</t>
  </si>
  <si>
    <t>Item Name</t>
  </si>
  <si>
    <t>Category</t>
  </si>
  <si>
    <t>Unit</t>
  </si>
  <si>
    <t>Supplier ID</t>
  </si>
  <si>
    <t>Supplier Name</t>
  </si>
  <si>
    <t>Unit Cost (IDR)</t>
  </si>
  <si>
    <t>Initial Stock</t>
  </si>
  <si>
    <t>Minimum Stock</t>
  </si>
  <si>
    <t>Reorder Point</t>
  </si>
  <si>
    <t>Warehouse Location</t>
  </si>
  <si>
    <t>Lead Time (Days)</t>
  </si>
  <si>
    <t>SKU0001</t>
  </si>
  <si>
    <t>Keyboard</t>
  </si>
  <si>
    <t>Computer Accessories</t>
  </si>
  <si>
    <t>SUP004</t>
  </si>
  <si>
    <t>CV Prima Logistik</t>
  </si>
  <si>
    <t>A-09-02</t>
  </si>
  <si>
    <t>SKU0002</t>
  </si>
  <si>
    <t>HDMI Cable</t>
  </si>
  <si>
    <t>SUP001</t>
  </si>
  <si>
    <t>PT Sumber Teknologi Nusantara</t>
  </si>
  <si>
    <t>A-06-02</t>
  </si>
  <si>
    <t>SKU0003</t>
  </si>
  <si>
    <t>Webcam</t>
  </si>
  <si>
    <t>E-06-02</t>
  </si>
  <si>
    <t>SKU0004</t>
  </si>
  <si>
    <t>Laptop Stand</t>
  </si>
  <si>
    <t>E-09-02</t>
  </si>
  <si>
    <t>SKU0005</t>
  </si>
  <si>
    <t>SUP006</t>
  </si>
  <si>
    <t>CV Berkah Jaya</t>
  </si>
  <si>
    <t>A-07-02</t>
  </si>
  <si>
    <t>SKU0006</t>
  </si>
  <si>
    <t>SUP005</t>
  </si>
  <si>
    <t>PT Cipta Sarana Niaga</t>
  </si>
  <si>
    <t>A-03-02</t>
  </si>
  <si>
    <t>SKU0007</t>
  </si>
  <si>
    <t>SUP009</t>
  </si>
  <si>
    <t>PT Indo Elektrik</t>
  </si>
  <si>
    <t>B-09-02</t>
  </si>
  <si>
    <t>SKU0008</t>
  </si>
  <si>
    <t>Mouse Pad</t>
  </si>
  <si>
    <t>E-03-01</t>
  </si>
  <si>
    <t>SKU0009</t>
  </si>
  <si>
    <t>Headset</t>
  </si>
  <si>
    <t>SUP007</t>
  </si>
  <si>
    <t>PT Global Office Supply</t>
  </si>
  <si>
    <t>B-08-02</t>
  </si>
  <si>
    <t>SKU0010</t>
  </si>
  <si>
    <t>E-05-02</t>
  </si>
  <si>
    <t>SKU0011</t>
  </si>
  <si>
    <t>Adapter</t>
  </si>
  <si>
    <t>SUP008</t>
  </si>
  <si>
    <t>CV Karya Mandiri</t>
  </si>
  <si>
    <t>C-05-01</t>
  </si>
  <si>
    <t>SKU0012</t>
  </si>
  <si>
    <t>B-05-02</t>
  </si>
  <si>
    <t>SKU0013</t>
  </si>
  <si>
    <t>SUP010</t>
  </si>
  <si>
    <t>PT Solusi Komputer</t>
  </si>
  <si>
    <t>SKU0014</t>
  </si>
  <si>
    <t>A-10-01</t>
  </si>
  <si>
    <t>SKU0015</t>
  </si>
  <si>
    <t>USB Hub</t>
  </si>
  <si>
    <t>E-08-02</t>
  </si>
  <si>
    <t>SKU0016</t>
  </si>
  <si>
    <t>D-02-02</t>
  </si>
  <si>
    <t>SKU0017</t>
  </si>
  <si>
    <t>D-09-01</t>
  </si>
  <si>
    <t>SKU0018</t>
  </si>
  <si>
    <t>D-06-01</t>
  </si>
  <si>
    <t>SKU0019</t>
  </si>
  <si>
    <t>E-10-01</t>
  </si>
  <si>
    <t>SKU0020</t>
  </si>
  <si>
    <t>E-07-01</t>
  </si>
  <si>
    <t>SKU0021</t>
  </si>
  <si>
    <t>E-01-02</t>
  </si>
  <si>
    <t>SKU0022</t>
  </si>
  <si>
    <t>SUP003</t>
  </si>
  <si>
    <t>PT Sentosa Distribusi</t>
  </si>
  <si>
    <t>D-05-02</t>
  </si>
  <si>
    <t>SKU0023</t>
  </si>
  <si>
    <t>SUP002</t>
  </si>
  <si>
    <t>CV Mitra Perkasa</t>
  </si>
  <si>
    <t>C-04-01</t>
  </si>
  <si>
    <t>SKU0024</t>
  </si>
  <si>
    <t>E-07-02</t>
  </si>
  <si>
    <t>SKU0025</t>
  </si>
  <si>
    <t>SKU0026</t>
  </si>
  <si>
    <t>SKU0027</t>
  </si>
  <si>
    <t>D-04-01</t>
  </si>
  <si>
    <t>SKU0028</t>
  </si>
  <si>
    <t>D-08-02</t>
  </si>
  <si>
    <t>SKU0029</t>
  </si>
  <si>
    <t>SKU0030</t>
  </si>
  <si>
    <t>E-03-02</t>
  </si>
  <si>
    <t>SKU0031</t>
  </si>
  <si>
    <t>B-06-02</t>
  </si>
  <si>
    <t>SKU0032</t>
  </si>
  <si>
    <t>C-03-02</t>
  </si>
  <si>
    <t>SKU0033</t>
  </si>
  <si>
    <t>A-04-02</t>
  </si>
  <si>
    <t>SKU0034</t>
  </si>
  <si>
    <t>C-09-02</t>
  </si>
  <si>
    <t>SKU0035</t>
  </si>
  <si>
    <t>C-09-01</t>
  </si>
  <si>
    <t>SKU0036</t>
  </si>
  <si>
    <t>E-09-01</t>
  </si>
  <si>
    <t>SKU0037</t>
  </si>
  <si>
    <t>SKU0038</t>
  </si>
  <si>
    <t>B-09-01</t>
  </si>
  <si>
    <t>SKU0039</t>
  </si>
  <si>
    <t>SKU0040</t>
  </si>
  <si>
    <t>SKU0041</t>
  </si>
  <si>
    <t>D-03-02</t>
  </si>
  <si>
    <t>SKU0042</t>
  </si>
  <si>
    <t>C-06-02</t>
  </si>
  <si>
    <t>SKU0043</t>
  </si>
  <si>
    <t>A-06-01</t>
  </si>
  <si>
    <t>SKU0044</t>
  </si>
  <si>
    <t>SKU0045</t>
  </si>
  <si>
    <t>C-10-01</t>
  </si>
  <si>
    <t>SKU0046</t>
  </si>
  <si>
    <t>A-05-02</t>
  </si>
  <si>
    <t>SKU0047</t>
  </si>
  <si>
    <t>SKU0048</t>
  </si>
  <si>
    <t>D-10-01</t>
  </si>
  <si>
    <t>SKU0049</t>
  </si>
  <si>
    <t>SKU0050</t>
  </si>
  <si>
    <t>SKU0051</t>
  </si>
  <si>
    <t>D-03-01</t>
  </si>
  <si>
    <t>SKU0052</t>
  </si>
  <si>
    <t>SKU0053</t>
  </si>
  <si>
    <t>SKU0054</t>
  </si>
  <si>
    <t>SKU0055</t>
  </si>
  <si>
    <t>SKU0056</t>
  </si>
  <si>
    <t>SKU0057</t>
  </si>
  <si>
    <t>B-06-01</t>
  </si>
  <si>
    <t>SKU0058</t>
  </si>
  <si>
    <t>C-07-01</t>
  </si>
  <si>
    <t>SKU0059</t>
  </si>
  <si>
    <t>A-03-01</t>
  </si>
  <si>
    <t>SKU0060</t>
  </si>
  <si>
    <t>SKU0061</t>
  </si>
  <si>
    <t>A-05-01</t>
  </si>
  <si>
    <t>SKU0062</t>
  </si>
  <si>
    <t>A-02-02</t>
  </si>
  <si>
    <t>SKU0063</t>
  </si>
  <si>
    <t>SKU0064</t>
  </si>
  <si>
    <t>C-05-02</t>
  </si>
  <si>
    <t>SKU0065</t>
  </si>
  <si>
    <t>SKU0066</t>
  </si>
  <si>
    <t>D-10-02</t>
  </si>
  <si>
    <t>SKU0067</t>
  </si>
  <si>
    <t>SKU0068</t>
  </si>
  <si>
    <t>B-03-01</t>
  </si>
  <si>
    <t>SKU0069</t>
  </si>
  <si>
    <t>SKU0070</t>
  </si>
  <si>
    <t>D-09-02</t>
  </si>
  <si>
    <t>SKU0071</t>
  </si>
  <si>
    <t>USB Cable</t>
  </si>
  <si>
    <t>D-01-01</t>
  </si>
  <si>
    <t>SKU0072</t>
  </si>
  <si>
    <t>C-02-01</t>
  </si>
  <si>
    <t>SKU0073</t>
  </si>
  <si>
    <t>SKU0074</t>
  </si>
  <si>
    <t>SKU0075</t>
  </si>
  <si>
    <t>SKU0076</t>
  </si>
  <si>
    <t>E-10-02</t>
  </si>
  <si>
    <t>SKU0077</t>
  </si>
  <si>
    <t>A-04-01</t>
  </si>
  <si>
    <t>SKU0078</t>
  </si>
  <si>
    <t>C-10-02</t>
  </si>
  <si>
    <t>SKU0079</t>
  </si>
  <si>
    <t>C-08-01</t>
  </si>
  <si>
    <t>SKU0080</t>
  </si>
  <si>
    <t>SKU0081</t>
  </si>
  <si>
    <t>SKU0082</t>
  </si>
  <si>
    <t>C-01-01</t>
  </si>
  <si>
    <t>SKU0083</t>
  </si>
  <si>
    <t>E-06-01</t>
  </si>
  <si>
    <t>SKU0084</t>
  </si>
  <si>
    <t>C-07-02</t>
  </si>
  <si>
    <t>SKU0085</t>
  </si>
  <si>
    <t>SKU0086</t>
  </si>
  <si>
    <t>SKU0087</t>
  </si>
  <si>
    <t>D-02-01</t>
  </si>
  <si>
    <t>SKU0088</t>
  </si>
  <si>
    <t>SKU0089</t>
  </si>
  <si>
    <t>SKU0090</t>
  </si>
  <si>
    <t>B-02-02</t>
  </si>
  <si>
    <t>SKU0091</t>
  </si>
  <si>
    <t>C-02-02</t>
  </si>
  <si>
    <t>SKU0092</t>
  </si>
  <si>
    <t>SKU0093</t>
  </si>
  <si>
    <t>SKU0094</t>
  </si>
  <si>
    <t>SKU0095</t>
  </si>
  <si>
    <t>SKU0096</t>
  </si>
  <si>
    <t>B-10-02</t>
  </si>
  <si>
    <t>SKU0097</t>
  </si>
  <si>
    <t>C-06-01</t>
  </si>
  <si>
    <t>SKU0098</t>
  </si>
  <si>
    <t>SKU0099</t>
  </si>
  <si>
    <t>C-03-01</t>
  </si>
  <si>
    <t>SKU0100</t>
  </si>
  <si>
    <t>A-01-02</t>
  </si>
  <si>
    <t>SKU0101</t>
  </si>
  <si>
    <t>Graphics Card</t>
  </si>
  <si>
    <t>Computer Hardware</t>
  </si>
  <si>
    <t>SKU0102</t>
  </si>
  <si>
    <t>Processor</t>
  </si>
  <si>
    <t>SKU0103</t>
  </si>
  <si>
    <t>SKU0104</t>
  </si>
  <si>
    <t>Power Supply</t>
  </si>
  <si>
    <t>SKU0105</t>
  </si>
  <si>
    <t>Motherboard</t>
  </si>
  <si>
    <t>B-04-02</t>
  </si>
  <si>
    <t>SKU0106</t>
  </si>
  <si>
    <t>D-06-02</t>
  </si>
  <si>
    <t>SKU0107</t>
  </si>
  <si>
    <t>CPU Cooler</t>
  </si>
  <si>
    <t>SKU0108</t>
  </si>
  <si>
    <t>RAM 16GB</t>
  </si>
  <si>
    <t>SKU0109</t>
  </si>
  <si>
    <t>SSD 512GB</t>
  </si>
  <si>
    <t>SKU0110</t>
  </si>
  <si>
    <t>SKU0111</t>
  </si>
  <si>
    <t>B-07-01</t>
  </si>
  <si>
    <t>SKU0112</t>
  </si>
  <si>
    <t>SKU0113</t>
  </si>
  <si>
    <t>SKU0114</t>
  </si>
  <si>
    <t>PC Case</t>
  </si>
  <si>
    <t>SKU0115</t>
  </si>
  <si>
    <t>SKU0116</t>
  </si>
  <si>
    <t>SKU0117</t>
  </si>
  <si>
    <t>SKU0118</t>
  </si>
  <si>
    <t>SKU0119</t>
  </si>
  <si>
    <t>SSD 256GB</t>
  </si>
  <si>
    <t>SKU0120</t>
  </si>
  <si>
    <t>B-05-01</t>
  </si>
  <si>
    <t>SKU0121</t>
  </si>
  <si>
    <t>SKU0122</t>
  </si>
  <si>
    <t>SKU0123</t>
  </si>
  <si>
    <t>B-02-01</t>
  </si>
  <si>
    <t>SKU0124</t>
  </si>
  <si>
    <t>SKU0125</t>
  </si>
  <si>
    <t>SKU0126</t>
  </si>
  <si>
    <t>E-02-01</t>
  </si>
  <si>
    <t>SKU0127</t>
  </si>
  <si>
    <t>SKU0128</t>
  </si>
  <si>
    <t>SKU0129</t>
  </si>
  <si>
    <t>SKU0130</t>
  </si>
  <si>
    <t>SKU0131</t>
  </si>
  <si>
    <t>SKU0132</t>
  </si>
  <si>
    <t>D-08-01</t>
  </si>
  <si>
    <t>SKU0133</t>
  </si>
  <si>
    <t>C-01-02</t>
  </si>
  <si>
    <t>SKU0134</t>
  </si>
  <si>
    <t>RAM 8GB</t>
  </si>
  <si>
    <t>SKU0135</t>
  </si>
  <si>
    <t>SKU0136</t>
  </si>
  <si>
    <t>SKU0137</t>
  </si>
  <si>
    <t>E-01-01</t>
  </si>
  <si>
    <t>SKU0138</t>
  </si>
  <si>
    <t>SKU0139</t>
  </si>
  <si>
    <t>SKU0140</t>
  </si>
  <si>
    <t>SKU0141</t>
  </si>
  <si>
    <t>SKU0142</t>
  </si>
  <si>
    <t>SKU0143</t>
  </si>
  <si>
    <t>SKU0144</t>
  </si>
  <si>
    <t>SKU0145</t>
  </si>
  <si>
    <t>D-05-01</t>
  </si>
  <si>
    <t>SKU0146</t>
  </si>
  <si>
    <t>SKU0147</t>
  </si>
  <si>
    <t>SKU0148</t>
  </si>
  <si>
    <t>SKU0149</t>
  </si>
  <si>
    <t>A-07-01</t>
  </si>
  <si>
    <t>SKU0150</t>
  </si>
  <si>
    <t>SKU0151</t>
  </si>
  <si>
    <t>SKU0152</t>
  </si>
  <si>
    <t>SKU0153</t>
  </si>
  <si>
    <t>SKU0154</t>
  </si>
  <si>
    <t>SKU0155</t>
  </si>
  <si>
    <t>SKU0156</t>
  </si>
  <si>
    <t>D-07-01</t>
  </si>
  <si>
    <t>SKU0157</t>
  </si>
  <si>
    <t>E-04-02</t>
  </si>
  <si>
    <t>SKU0158</t>
  </si>
  <si>
    <t>SKU0159</t>
  </si>
  <si>
    <t>B-01-01</t>
  </si>
  <si>
    <t>SKU0160</t>
  </si>
  <si>
    <t>E-05-01</t>
  </si>
  <si>
    <t>SKU0161</t>
  </si>
  <si>
    <t>SKU0162</t>
  </si>
  <si>
    <t>A-02-01</t>
  </si>
  <si>
    <t>SKU0163</t>
  </si>
  <si>
    <t>SKU0164</t>
  </si>
  <si>
    <t>SKU0165</t>
  </si>
  <si>
    <t>SKU0166</t>
  </si>
  <si>
    <t>SKU0167</t>
  </si>
  <si>
    <t>SKU0168</t>
  </si>
  <si>
    <t>SKU0169</t>
  </si>
  <si>
    <t>E-04-01</t>
  </si>
  <si>
    <t>SKU0170</t>
  </si>
  <si>
    <t>SKU0171</t>
  </si>
  <si>
    <t>SKU0172</t>
  </si>
  <si>
    <t>SKU0173</t>
  </si>
  <si>
    <t>E-02-02</t>
  </si>
  <si>
    <t>SKU0174</t>
  </si>
  <si>
    <t>A-08-01</t>
  </si>
  <si>
    <t>SKU0175</t>
  </si>
  <si>
    <t>C-04-02</t>
  </si>
  <si>
    <t>SKU0176</t>
  </si>
  <si>
    <t>SKU0177</t>
  </si>
  <si>
    <t>SKU0178</t>
  </si>
  <si>
    <t>SKU0179</t>
  </si>
  <si>
    <t>SKU0180</t>
  </si>
  <si>
    <t>SKU0181</t>
  </si>
  <si>
    <t>SKU0182</t>
  </si>
  <si>
    <t>SKU0183</t>
  </si>
  <si>
    <t>SKU0184</t>
  </si>
  <si>
    <t>D-04-02</t>
  </si>
  <si>
    <t>SKU0185</t>
  </si>
  <si>
    <t>SKU0186</t>
  </si>
  <si>
    <t>B-10-01</t>
  </si>
  <si>
    <t>SKU0187</t>
  </si>
  <si>
    <t>SKU0188</t>
  </si>
  <si>
    <t>A-09-01</t>
  </si>
  <si>
    <t>SKU0189</t>
  </si>
  <si>
    <t>SKU0190</t>
  </si>
  <si>
    <t>SKU0191</t>
  </si>
  <si>
    <t>SKU0192</t>
  </si>
  <si>
    <t>SKU0193</t>
  </si>
  <si>
    <t>SKU0194</t>
  </si>
  <si>
    <t>SKU0195</t>
  </si>
  <si>
    <t>SKU0196</t>
  </si>
  <si>
    <t>SKU0197</t>
  </si>
  <si>
    <t>SKU0198</t>
  </si>
  <si>
    <t>SKU0199</t>
  </si>
  <si>
    <t>SKU0200</t>
  </si>
  <si>
    <t>SKU0201</t>
  </si>
  <si>
    <t>A4 Paper</t>
  </si>
  <si>
    <t>Office Supplies</t>
  </si>
  <si>
    <t>Ream</t>
  </si>
  <si>
    <t>SKU0202</t>
  </si>
  <si>
    <t>SKU0203</t>
  </si>
  <si>
    <t>Folder</t>
  </si>
  <si>
    <t>SKU0204</t>
  </si>
  <si>
    <t>Toner Cartridge</t>
  </si>
  <si>
    <t>SKU0205</t>
  </si>
  <si>
    <t>SKU0206</t>
  </si>
  <si>
    <t>Sticky Notes</t>
  </si>
  <si>
    <t>Pack</t>
  </si>
  <si>
    <t>SKU0207</t>
  </si>
  <si>
    <t>Marker</t>
  </si>
  <si>
    <t>Box</t>
  </si>
  <si>
    <t>SKU0208</t>
  </si>
  <si>
    <t>Staples</t>
  </si>
  <si>
    <t>A-01-01</t>
  </si>
  <si>
    <t>SKU0209</t>
  </si>
  <si>
    <t>SKU0210</t>
  </si>
  <si>
    <t>Ballpoint Pen</t>
  </si>
  <si>
    <t>SKU0211</t>
  </si>
  <si>
    <t>Stapler</t>
  </si>
  <si>
    <t>SKU0212</t>
  </si>
  <si>
    <t>D-07-02</t>
  </si>
  <si>
    <t>SKU0213</t>
  </si>
  <si>
    <t>SKU0214</t>
  </si>
  <si>
    <t>SKU0215</t>
  </si>
  <si>
    <t>SKU0216</t>
  </si>
  <si>
    <t>SKU0217</t>
  </si>
  <si>
    <t>SKU0218</t>
  </si>
  <si>
    <t>SKU0219</t>
  </si>
  <si>
    <t>SKU0220</t>
  </si>
  <si>
    <t>SKU0221</t>
  </si>
  <si>
    <t>Notebook</t>
  </si>
  <si>
    <t>SKU0222</t>
  </si>
  <si>
    <t>SKU0223</t>
  </si>
  <si>
    <t>SKU0224</t>
  </si>
  <si>
    <t>Printer Ink</t>
  </si>
  <si>
    <t>Bottle</t>
  </si>
  <si>
    <t>SKU0225</t>
  </si>
  <si>
    <t>SKU0226</t>
  </si>
  <si>
    <t>SKU0227</t>
  </si>
  <si>
    <t>SKU0228</t>
  </si>
  <si>
    <t>SKU0229</t>
  </si>
  <si>
    <t>SKU0230</t>
  </si>
  <si>
    <t>SKU0231</t>
  </si>
  <si>
    <t>SKU0232</t>
  </si>
  <si>
    <t>SKU0233</t>
  </si>
  <si>
    <t>SKU0234</t>
  </si>
  <si>
    <t>SKU0235</t>
  </si>
  <si>
    <t>SKU0236</t>
  </si>
  <si>
    <t>SKU0237</t>
  </si>
  <si>
    <t>B-01-02</t>
  </si>
  <si>
    <t>SKU0238</t>
  </si>
  <si>
    <t>SKU0239</t>
  </si>
  <si>
    <t>SKU0240</t>
  </si>
  <si>
    <t>SKU0241</t>
  </si>
  <si>
    <t>SKU0242</t>
  </si>
  <si>
    <t>SKU0243</t>
  </si>
  <si>
    <t>SKU0244</t>
  </si>
  <si>
    <t>SKU0245</t>
  </si>
  <si>
    <t>SKU0246</t>
  </si>
  <si>
    <t>SKU0247</t>
  </si>
  <si>
    <t>SKU0248</t>
  </si>
  <si>
    <t>SKU0249</t>
  </si>
  <si>
    <t>A-08-02</t>
  </si>
  <si>
    <t>SKU0250</t>
  </si>
  <si>
    <t>SKU0251</t>
  </si>
  <si>
    <t>SKU0252</t>
  </si>
  <si>
    <t>SKU0253</t>
  </si>
  <si>
    <t>SKU0254</t>
  </si>
  <si>
    <t>SKU0255</t>
  </si>
  <si>
    <t>SKU0256</t>
  </si>
  <si>
    <t>SKU0257</t>
  </si>
  <si>
    <t>SKU0258</t>
  </si>
  <si>
    <t>SKU0259</t>
  </si>
  <si>
    <t>SKU0260</t>
  </si>
  <si>
    <t>SKU0261</t>
  </si>
  <si>
    <t>B-08-01</t>
  </si>
  <si>
    <t>SKU0262</t>
  </si>
  <si>
    <t>SKU0263</t>
  </si>
  <si>
    <t>SKU0264</t>
  </si>
  <si>
    <t>SKU0265</t>
  </si>
  <si>
    <t>SKU0266</t>
  </si>
  <si>
    <t>SKU0267</t>
  </si>
  <si>
    <t>SKU0268</t>
  </si>
  <si>
    <t>SKU0269</t>
  </si>
  <si>
    <t>SKU0270</t>
  </si>
  <si>
    <t>SKU0271</t>
  </si>
  <si>
    <t>SKU0272</t>
  </si>
  <si>
    <t>SKU0273</t>
  </si>
  <si>
    <t>SKU0274</t>
  </si>
  <si>
    <t>SKU0275</t>
  </si>
  <si>
    <t>SKU0276</t>
  </si>
  <si>
    <t>SKU0277</t>
  </si>
  <si>
    <t>B-03-02</t>
  </si>
  <si>
    <t>SKU0278</t>
  </si>
  <si>
    <t>SKU0279</t>
  </si>
  <si>
    <t>SKU0280</t>
  </si>
  <si>
    <t>SKU0281</t>
  </si>
  <si>
    <t>SKU0282</t>
  </si>
  <si>
    <t>SKU0283</t>
  </si>
  <si>
    <t>SKU0284</t>
  </si>
  <si>
    <t>SKU0285</t>
  </si>
  <si>
    <t>SKU0286</t>
  </si>
  <si>
    <t>SKU0287</t>
  </si>
  <si>
    <t>SKU0288</t>
  </si>
  <si>
    <t>SKU0289</t>
  </si>
  <si>
    <t>SKU0290</t>
  </si>
  <si>
    <t>SKU0291</t>
  </si>
  <si>
    <t>B-04-01</t>
  </si>
  <si>
    <t>SKU0292</t>
  </si>
  <si>
    <t>SKU0293</t>
  </si>
  <si>
    <t>SKU0294</t>
  </si>
  <si>
    <t>SKU0295</t>
  </si>
  <si>
    <t>SKU0296</t>
  </si>
  <si>
    <t>SKU0297</t>
  </si>
  <si>
    <t>SKU0298</t>
  </si>
  <si>
    <t>SKU0299</t>
  </si>
  <si>
    <t>B-07-02</t>
  </si>
  <si>
    <t>SKU0300</t>
  </si>
  <si>
    <t>SKU0301</t>
  </si>
  <si>
    <t>Label Sticker</t>
  </si>
  <si>
    <t>Packaging Materials</t>
  </si>
  <si>
    <t>Roll</t>
  </si>
  <si>
    <t>SKU0302</t>
  </si>
  <si>
    <t>Poly Mailer</t>
  </si>
  <si>
    <t>SKU0303</t>
  </si>
  <si>
    <t>SKU0304</t>
  </si>
  <si>
    <t>Cardboard Box</t>
  </si>
  <si>
    <t>SKU0305</t>
  </si>
  <si>
    <t>Foam Sheet</t>
  </si>
  <si>
    <t>Sheet</t>
  </si>
  <si>
    <t>SKU0306</t>
  </si>
  <si>
    <t>Packing Tape</t>
  </si>
  <si>
    <t>SKU0307</t>
  </si>
  <si>
    <t>Pallet</t>
  </si>
  <si>
    <t>SKU0308</t>
  </si>
  <si>
    <t>SKU0309</t>
  </si>
  <si>
    <t>Strapping Band</t>
  </si>
  <si>
    <t>SKU0310</t>
  </si>
  <si>
    <t>SKU0311</t>
  </si>
  <si>
    <t>SKU0312</t>
  </si>
  <si>
    <t>Stretch Film</t>
  </si>
  <si>
    <t>SKU0313</t>
  </si>
  <si>
    <t>Ziplock Bag</t>
  </si>
  <si>
    <t>SKU0314</t>
  </si>
  <si>
    <t>SKU0315</t>
  </si>
  <si>
    <t>SKU0316</t>
  </si>
  <si>
    <t>SKU0317</t>
  </si>
  <si>
    <t>SKU0318</t>
  </si>
  <si>
    <t>SKU0319</t>
  </si>
  <si>
    <t>SKU0320</t>
  </si>
  <si>
    <t>SKU0321</t>
  </si>
  <si>
    <t>SKU0322</t>
  </si>
  <si>
    <t>SKU0323</t>
  </si>
  <si>
    <t>SKU0324</t>
  </si>
  <si>
    <t>Bubble Wrap</t>
  </si>
  <si>
    <t>SKU0325</t>
  </si>
  <si>
    <t>SKU0326</t>
  </si>
  <si>
    <t>SKU0327</t>
  </si>
  <si>
    <t>SKU0328</t>
  </si>
  <si>
    <t>SKU0329</t>
  </si>
  <si>
    <t>SKU0330</t>
  </si>
  <si>
    <t>SKU0331</t>
  </si>
  <si>
    <t>SKU0332</t>
  </si>
  <si>
    <t>SKU0333</t>
  </si>
  <si>
    <t>D-01-02</t>
  </si>
  <si>
    <t>SKU0334</t>
  </si>
  <si>
    <t>SKU0335</t>
  </si>
  <si>
    <t>SKU0336</t>
  </si>
  <si>
    <t>SKU0337</t>
  </si>
  <si>
    <t>SKU0338</t>
  </si>
  <si>
    <t>SKU0339</t>
  </si>
  <si>
    <t>SKU0340</t>
  </si>
  <si>
    <t>SKU0341</t>
  </si>
  <si>
    <t>SKU0342</t>
  </si>
  <si>
    <t>SKU0343</t>
  </si>
  <si>
    <t>SKU0344</t>
  </si>
  <si>
    <t>SKU0345</t>
  </si>
  <si>
    <t>SKU0346</t>
  </si>
  <si>
    <t>SKU0347</t>
  </si>
  <si>
    <t>SKU0348</t>
  </si>
  <si>
    <t>SKU0349</t>
  </si>
  <si>
    <t>SKU0350</t>
  </si>
  <si>
    <t>SKU0351</t>
  </si>
  <si>
    <t>SKU0352</t>
  </si>
  <si>
    <t>SKU0353</t>
  </si>
  <si>
    <t>SKU0354</t>
  </si>
  <si>
    <t>SKU0355</t>
  </si>
  <si>
    <t>SKU0356</t>
  </si>
  <si>
    <t>SKU0357</t>
  </si>
  <si>
    <t>SKU0358</t>
  </si>
  <si>
    <t>SKU0359</t>
  </si>
  <si>
    <t>SKU0360</t>
  </si>
  <si>
    <t>SKU0361</t>
  </si>
  <si>
    <t>SKU0362</t>
  </si>
  <si>
    <t>SKU0363</t>
  </si>
  <si>
    <t>SKU0364</t>
  </si>
  <si>
    <t>SKU0365</t>
  </si>
  <si>
    <t>SKU0366</t>
  </si>
  <si>
    <t>SKU0367</t>
  </si>
  <si>
    <t>SKU0368</t>
  </si>
  <si>
    <t>SKU0369</t>
  </si>
  <si>
    <t>SKU0370</t>
  </si>
  <si>
    <t>SKU0371</t>
  </si>
  <si>
    <t>SKU0372</t>
  </si>
  <si>
    <t>SKU0373</t>
  </si>
  <si>
    <t>SKU0374</t>
  </si>
  <si>
    <t>SKU0375</t>
  </si>
  <si>
    <t>SKU0376</t>
  </si>
  <si>
    <t>SKU0377</t>
  </si>
  <si>
    <t>SKU0378</t>
  </si>
  <si>
    <t>SKU0379</t>
  </si>
  <si>
    <t>SKU0380</t>
  </si>
  <si>
    <t>SKU0381</t>
  </si>
  <si>
    <t>SKU0382</t>
  </si>
  <si>
    <t>SKU0383</t>
  </si>
  <si>
    <t>SKU0384</t>
  </si>
  <si>
    <t>SKU0385</t>
  </si>
  <si>
    <t>SKU0386</t>
  </si>
  <si>
    <t>SKU0387</t>
  </si>
  <si>
    <t>SKU0388</t>
  </si>
  <si>
    <t>SKU0389</t>
  </si>
  <si>
    <t>SKU0390</t>
  </si>
  <si>
    <t>SKU0391</t>
  </si>
  <si>
    <t>SKU0392</t>
  </si>
  <si>
    <t>SKU0393</t>
  </si>
  <si>
    <t>SKU0394</t>
  </si>
  <si>
    <t>E-08-01</t>
  </si>
  <si>
    <t>SKU0395</t>
  </si>
  <si>
    <t>SKU0396</t>
  </si>
  <si>
    <t>SKU0397</t>
  </si>
  <si>
    <t>SKU0398</t>
  </si>
  <si>
    <t>SKU0399</t>
  </si>
  <si>
    <t>SKU0400</t>
  </si>
  <si>
    <t>SKU0401</t>
  </si>
  <si>
    <t>Power Strip</t>
  </si>
  <si>
    <t>Electrical Supplies</t>
  </si>
  <si>
    <t>SKU0402</t>
  </si>
  <si>
    <t>Cable Tie</t>
  </si>
  <si>
    <t>SKU0403</t>
  </si>
  <si>
    <t>Plug Adapter</t>
  </si>
  <si>
    <t>SKU0404</t>
  </si>
  <si>
    <t>Electrical Tape</t>
  </si>
  <si>
    <t>SKU0405</t>
  </si>
  <si>
    <t>SKU0406</t>
  </si>
  <si>
    <t>SKU0407</t>
  </si>
  <si>
    <t>SKU0408</t>
  </si>
  <si>
    <t>Network Cable</t>
  </si>
  <si>
    <t>Meter</t>
  </si>
  <si>
    <t>SKU0409</t>
  </si>
  <si>
    <t>Battery AA</t>
  </si>
  <si>
    <t>SKU0410</t>
  </si>
  <si>
    <t>Extension Cable</t>
  </si>
  <si>
    <t>SKU0411</t>
  </si>
  <si>
    <t>SKU0412</t>
  </si>
  <si>
    <t>Circuit Breaker</t>
  </si>
  <si>
    <t>SKU0413</t>
  </si>
  <si>
    <t>SKU0414</t>
  </si>
  <si>
    <t>SKU0415</t>
  </si>
  <si>
    <t>SKU0416</t>
  </si>
  <si>
    <t>SKU0417</t>
  </si>
  <si>
    <t>SKU0418</t>
  </si>
  <si>
    <t>SKU0419</t>
  </si>
  <si>
    <t>SKU0420</t>
  </si>
  <si>
    <t>SKU0421</t>
  </si>
  <si>
    <t>LED Bulb</t>
  </si>
  <si>
    <t>SKU0422</t>
  </si>
  <si>
    <t>SKU0423</t>
  </si>
  <si>
    <t>SKU0424</t>
  </si>
  <si>
    <t>SKU0425</t>
  </si>
  <si>
    <t>SKU0426</t>
  </si>
  <si>
    <t>SKU0427</t>
  </si>
  <si>
    <t>SKU0428</t>
  </si>
  <si>
    <t>SKU0429</t>
  </si>
  <si>
    <t>SKU0430</t>
  </si>
  <si>
    <t>SKU0431</t>
  </si>
  <si>
    <t>SKU0432</t>
  </si>
  <si>
    <t>SKU0433</t>
  </si>
  <si>
    <t>SKU0434</t>
  </si>
  <si>
    <t>SKU0435</t>
  </si>
  <si>
    <t>SKU0436</t>
  </si>
  <si>
    <t>SKU0437</t>
  </si>
  <si>
    <t>Battery AAA</t>
  </si>
  <si>
    <t>SKU0438</t>
  </si>
  <si>
    <t>SKU0439</t>
  </si>
  <si>
    <t>SKU0440</t>
  </si>
  <si>
    <t>SKU0441</t>
  </si>
  <si>
    <t>SKU0442</t>
  </si>
  <si>
    <t>SKU0443</t>
  </si>
  <si>
    <t>SKU0444</t>
  </si>
  <si>
    <t>SKU0445</t>
  </si>
  <si>
    <t>SKU0446</t>
  </si>
  <si>
    <t>SKU0447</t>
  </si>
  <si>
    <t>SKU0448</t>
  </si>
  <si>
    <t>SKU0449</t>
  </si>
  <si>
    <t>SKU0450</t>
  </si>
  <si>
    <t>SKU0451</t>
  </si>
  <si>
    <t>SKU0452</t>
  </si>
  <si>
    <t>SKU0453</t>
  </si>
  <si>
    <t>SKU0454</t>
  </si>
  <si>
    <t>SKU0455</t>
  </si>
  <si>
    <t>SKU0456</t>
  </si>
  <si>
    <t>SKU0457</t>
  </si>
  <si>
    <t>SKU0458</t>
  </si>
  <si>
    <t>SKU0459</t>
  </si>
  <si>
    <t>SKU0460</t>
  </si>
  <si>
    <t>SKU0461</t>
  </si>
  <si>
    <t>SKU0462</t>
  </si>
  <si>
    <t>SKU0463</t>
  </si>
  <si>
    <t>SKU0464</t>
  </si>
  <si>
    <t>SKU0465</t>
  </si>
  <si>
    <t>SKU0466</t>
  </si>
  <si>
    <t>SKU0467</t>
  </si>
  <si>
    <t>SKU0468</t>
  </si>
  <si>
    <t>SKU0469</t>
  </si>
  <si>
    <t>SKU0470</t>
  </si>
  <si>
    <t>SKU0471</t>
  </si>
  <si>
    <t>SKU0472</t>
  </si>
  <si>
    <t>SKU0473</t>
  </si>
  <si>
    <t>SKU0474</t>
  </si>
  <si>
    <t>SKU0475</t>
  </si>
  <si>
    <t>SKU0476</t>
  </si>
  <si>
    <t>SKU0477</t>
  </si>
  <si>
    <t>SKU0478</t>
  </si>
  <si>
    <t>SKU0479</t>
  </si>
  <si>
    <t>SKU0480</t>
  </si>
  <si>
    <t>SKU0481</t>
  </si>
  <si>
    <t>SKU0482</t>
  </si>
  <si>
    <t>SKU0483</t>
  </si>
  <si>
    <t>SKU0484</t>
  </si>
  <si>
    <t>A-10-02</t>
  </si>
  <si>
    <t>SKU0485</t>
  </si>
  <si>
    <t>SKU0486</t>
  </si>
  <si>
    <t>SKU0487</t>
  </si>
  <si>
    <t>SKU0488</t>
  </si>
  <si>
    <t>SKU0489</t>
  </si>
  <si>
    <t>SKU0490</t>
  </si>
  <si>
    <t>SKU0491</t>
  </si>
  <si>
    <t>SKU0492</t>
  </si>
  <si>
    <t>SKU0493</t>
  </si>
  <si>
    <t>SKU0494</t>
  </si>
  <si>
    <t>SKU0495</t>
  </si>
  <si>
    <t>SKU0496</t>
  </si>
  <si>
    <t>SKU0497</t>
  </si>
  <si>
    <t>SKU0498</t>
  </si>
  <si>
    <t>SKU0499</t>
  </si>
  <si>
    <t>SKU0500</t>
  </si>
  <si>
    <t>Transaction ID</t>
  </si>
  <si>
    <t>Date</t>
  </si>
  <si>
    <t>Quantity In</t>
  </si>
  <si>
    <t>IN00200</t>
  </si>
  <si>
    <t>IN01763</t>
  </si>
  <si>
    <t>IN00394</t>
  </si>
  <si>
    <t>IN01762</t>
  </si>
  <si>
    <t>IN01637</t>
  </si>
  <si>
    <t>IN00315</t>
  </si>
  <si>
    <t>IN00150</t>
  </si>
  <si>
    <t>IN01710</t>
  </si>
  <si>
    <t>IN01364</t>
  </si>
  <si>
    <t>IN00335</t>
  </si>
  <si>
    <t>IN00039</t>
  </si>
  <si>
    <t>IN01675</t>
  </si>
  <si>
    <t>IN01738</t>
  </si>
  <si>
    <t>IN01484</t>
  </si>
  <si>
    <t>IN01658</t>
  </si>
  <si>
    <t>IN00241</t>
  </si>
  <si>
    <t>IN01733</t>
  </si>
  <si>
    <t>IN00264</t>
  </si>
  <si>
    <t>IN00312</t>
  </si>
  <si>
    <t>IN01564</t>
  </si>
  <si>
    <t>IN01125</t>
  </si>
  <si>
    <t>IN00350</t>
  </si>
  <si>
    <t>IN01141</t>
  </si>
  <si>
    <t>IN00298</t>
  </si>
  <si>
    <t>IN00057</t>
  </si>
  <si>
    <t>IN00818</t>
  </si>
  <si>
    <t>IN01104</t>
  </si>
  <si>
    <t>IN01594</t>
  </si>
  <si>
    <t>IN00382</t>
  </si>
  <si>
    <t>IN00383</t>
  </si>
  <si>
    <t>IN00649</t>
  </si>
  <si>
    <t>IN01148</t>
  </si>
  <si>
    <t>IN01232</t>
  </si>
  <si>
    <t>IN00888</t>
  </si>
  <si>
    <t>IN00864</t>
  </si>
  <si>
    <t>IN01669</t>
  </si>
  <si>
    <t>IN01111</t>
  </si>
  <si>
    <t>IN00140</t>
  </si>
  <si>
    <t>IN00844</t>
  </si>
  <si>
    <t>IN00137</t>
  </si>
  <si>
    <t>IN01640</t>
  </si>
  <si>
    <t>IN01634</t>
  </si>
  <si>
    <t>IN01526</t>
  </si>
  <si>
    <t>IN01617</t>
  </si>
  <si>
    <t>IN00809</t>
  </si>
  <si>
    <t>IN00708</t>
  </si>
  <si>
    <t>IN00421</t>
  </si>
  <si>
    <t>IN00790</t>
  </si>
  <si>
    <t>IN00765</t>
  </si>
  <si>
    <t>IN00094</t>
  </si>
  <si>
    <t>IN01666</t>
  </si>
  <si>
    <t>IN01497</t>
  </si>
  <si>
    <t>IN01586</t>
  </si>
  <si>
    <t>IN01230</t>
  </si>
  <si>
    <t>IN01769</t>
  </si>
  <si>
    <t>IN00500</t>
  </si>
  <si>
    <t>IN01074</t>
  </si>
  <si>
    <t>IN01752</t>
  </si>
  <si>
    <t>IN01774</t>
  </si>
  <si>
    <t>IN01075</t>
  </si>
  <si>
    <t>IN00488</t>
  </si>
  <si>
    <t>IN00588</t>
  </si>
  <si>
    <t>IN01160</t>
  </si>
  <si>
    <t>IN01090</t>
  </si>
  <si>
    <t>IN00566</t>
  </si>
  <si>
    <t>IN01259</t>
  </si>
  <si>
    <t>IN00991</t>
  </si>
  <si>
    <t>IN00987</t>
  </si>
  <si>
    <t>IN00652</t>
  </si>
  <si>
    <t>IN00982</t>
  </si>
  <si>
    <t>IN01245</t>
  </si>
  <si>
    <t>IN01170</t>
  </si>
  <si>
    <t>IN00111</t>
  </si>
  <si>
    <t>IN00426</t>
  </si>
  <si>
    <t>IN01144</t>
  </si>
  <si>
    <t>IN00761</t>
  </si>
  <si>
    <t>IN00280</t>
  </si>
  <si>
    <t>IN00816</t>
  </si>
  <si>
    <t>IN00293</t>
  </si>
  <si>
    <t>IN00973</t>
  </si>
  <si>
    <t>IN01036</t>
  </si>
  <si>
    <t>IN00260</t>
  </si>
  <si>
    <t>IN00408</t>
  </si>
  <si>
    <t>IN01504</t>
  </si>
  <si>
    <t>IN00968</t>
  </si>
  <si>
    <t>IN01220</t>
  </si>
  <si>
    <t>IN01224</t>
  </si>
  <si>
    <t>IN01479</t>
  </si>
  <si>
    <t>IN00857</t>
  </si>
  <si>
    <t>IN00225</t>
  </si>
  <si>
    <t>IN01434</t>
  </si>
  <si>
    <t>IN01289</t>
  </si>
  <si>
    <t>IN01584</t>
  </si>
  <si>
    <t>IN00177</t>
  </si>
  <si>
    <t>IN01381</t>
  </si>
  <si>
    <t>IN00313</t>
  </si>
  <si>
    <t>IN01293</t>
  </si>
  <si>
    <t>IN00513</t>
  </si>
  <si>
    <t>IN00396</t>
  </si>
  <si>
    <t>IN00063</t>
  </si>
  <si>
    <t>IN00048</t>
  </si>
  <si>
    <t>IN01652</t>
  </si>
  <si>
    <t>IN00673</t>
  </si>
  <si>
    <t>IN00447</t>
  </si>
  <si>
    <t>IN00572</t>
  </si>
  <si>
    <t>IN00571</t>
  </si>
  <si>
    <t>IN00565</t>
  </si>
  <si>
    <t>IN00562</t>
  </si>
  <si>
    <t>IN00444</t>
  </si>
  <si>
    <t>IN00537</t>
  </si>
  <si>
    <t>IN00505</t>
  </si>
  <si>
    <t>IN00029</t>
  </si>
  <si>
    <t>IN00725</t>
  </si>
  <si>
    <t>IN01785</t>
  </si>
  <si>
    <t>IN00534</t>
  </si>
  <si>
    <t>IN00509</t>
  </si>
  <si>
    <t>IN00088</t>
  </si>
  <si>
    <t>IN00477</t>
  </si>
  <si>
    <t>IN01016</t>
  </si>
  <si>
    <t>IN00998</t>
  </si>
  <si>
    <t>IN00215</t>
  </si>
  <si>
    <t>IN01455</t>
  </si>
  <si>
    <t>IN01453</t>
  </si>
  <si>
    <t>IN00154</t>
  </si>
  <si>
    <t>IN01450</t>
  </si>
  <si>
    <t>IN00860</t>
  </si>
  <si>
    <t>IN00457</t>
  </si>
  <si>
    <t>IN00203</t>
  </si>
  <si>
    <t>IN01088</t>
  </si>
  <si>
    <t>IN00958</t>
  </si>
  <si>
    <t>IN00944</t>
  </si>
  <si>
    <t>IN00911</t>
  </si>
  <si>
    <t>IN01416</t>
  </si>
  <si>
    <t>IN01358</t>
  </si>
  <si>
    <t>IN01359</t>
  </si>
  <si>
    <t>IN00179</t>
  </si>
  <si>
    <t>IN01679</t>
  </si>
  <si>
    <t>IN00624</t>
  </si>
  <si>
    <t>IN01480</t>
  </si>
  <si>
    <t>IN01043</t>
  </si>
  <si>
    <t>IN00797</t>
  </si>
  <si>
    <t>IN00118</t>
  </si>
  <si>
    <t>IN00120</t>
  </si>
  <si>
    <t>IN00707</t>
  </si>
  <si>
    <t>IN00092</t>
  </si>
  <si>
    <t>IN01759</t>
  </si>
  <si>
    <t>IN01241</t>
  </si>
  <si>
    <t>IN01211</t>
  </si>
  <si>
    <t>IN01757</t>
  </si>
  <si>
    <t>IN01030</t>
  </si>
  <si>
    <t>IN01398</t>
  </si>
  <si>
    <t>IN00405</t>
  </si>
  <si>
    <t>IN01590</t>
  </si>
  <si>
    <t>IN00004</t>
  </si>
  <si>
    <t>IN01131</t>
  </si>
  <si>
    <t>IN01706</t>
  </si>
  <si>
    <t>IN00009</t>
  </si>
  <si>
    <t>IN00664</t>
  </si>
  <si>
    <t>IN01693</t>
  </si>
  <si>
    <t>IN00227</t>
  </si>
  <si>
    <t>IN00034</t>
  </si>
  <si>
    <t>IN00267</t>
  </si>
  <si>
    <t>IN01132</t>
  </si>
  <si>
    <t>IN00959</t>
  </si>
  <si>
    <t>IN01127</t>
  </si>
  <si>
    <t>IN01310</t>
  </si>
  <si>
    <t>IN01186</t>
  </si>
  <si>
    <t>IN00250</t>
  </si>
  <si>
    <t>IN00658</t>
  </si>
  <si>
    <t>IN01712</t>
  </si>
  <si>
    <t>IN01118</t>
  </si>
  <si>
    <t>IN01214</t>
  </si>
  <si>
    <t>IN01715</t>
  </si>
  <si>
    <t>IN00229</t>
  </si>
  <si>
    <t>IN00748</t>
  </si>
  <si>
    <t>IN00132</t>
  </si>
  <si>
    <t>IN00388</t>
  </si>
  <si>
    <t>IN01535</t>
  </si>
  <si>
    <t>IN00106</t>
  </si>
  <si>
    <t>IN00881</t>
  </si>
  <si>
    <t>IN00753</t>
  </si>
  <si>
    <t>IN00422</t>
  </si>
  <si>
    <t>IN00166</t>
  </si>
  <si>
    <t>IN01415</t>
  </si>
  <si>
    <t>IN00743</t>
  </si>
  <si>
    <t>IN01510</t>
  </si>
  <si>
    <t>IN00450</t>
  </si>
  <si>
    <t>IN00433</t>
  </si>
  <si>
    <t>IN00677</t>
  </si>
  <si>
    <t>IN00833</t>
  </si>
  <si>
    <t>IN00226</t>
  </si>
  <si>
    <t>IN00115</t>
  </si>
  <si>
    <t>IN01281</t>
  </si>
  <si>
    <t>IN00695</t>
  </si>
  <si>
    <t>IN01197</t>
  </si>
  <si>
    <t>IN00409</t>
  </si>
  <si>
    <t>IN01630</t>
  </si>
  <si>
    <t>IN01727</t>
  </si>
  <si>
    <t>IN01525</t>
  </si>
  <si>
    <t>IN01181</t>
  </si>
  <si>
    <t>IN01049</t>
  </si>
  <si>
    <t>IN00318</t>
  </si>
  <si>
    <t>IN01106</t>
  </si>
  <si>
    <t>IN00699</t>
  </si>
  <si>
    <t>IN01038</t>
  </si>
  <si>
    <t>IN00237</t>
  </si>
  <si>
    <t>IN01511</t>
  </si>
  <si>
    <t>IN00072</t>
  </si>
  <si>
    <t>IN01234</t>
  </si>
  <si>
    <t>IN01092</t>
  </si>
  <si>
    <t>IN00892</t>
  </si>
  <si>
    <t>IN00003</t>
  </si>
  <si>
    <t>IN01406</t>
  </si>
  <si>
    <t>IN00378</t>
  </si>
  <si>
    <t>IN01407</t>
  </si>
  <si>
    <t>IN00907</t>
  </si>
  <si>
    <t>IN01408</t>
  </si>
  <si>
    <t>IN01296</t>
  </si>
  <si>
    <t>IN00747</t>
  </si>
  <si>
    <t>IN01335</t>
  </si>
  <si>
    <t>IN00296</t>
  </si>
  <si>
    <t>IN00913</t>
  </si>
  <si>
    <t>IN00386</t>
  </si>
  <si>
    <t>IN01758</t>
  </si>
  <si>
    <t>IN00511</t>
  </si>
  <si>
    <t>IN00438</t>
  </si>
  <si>
    <t>IN01547</t>
  </si>
  <si>
    <t>IN01608</t>
  </si>
  <si>
    <t>IN01565</t>
  </si>
  <si>
    <t>IN00077</t>
  </si>
  <si>
    <t>IN00427</t>
  </si>
  <si>
    <t>IN00248</t>
  </si>
  <si>
    <t>IN01048</t>
  </si>
  <si>
    <t>IN01514</t>
  </si>
  <si>
    <t>IN01130</t>
  </si>
  <si>
    <t>IN01773</t>
  </si>
  <si>
    <t>IN01622</t>
  </si>
  <si>
    <t>IN00006</t>
  </si>
  <si>
    <t>IN00256</t>
  </si>
  <si>
    <t>IN01136</t>
  </si>
  <si>
    <t>IN00104</t>
  </si>
  <si>
    <t>IN00535</t>
  </si>
  <si>
    <t>IN01394</t>
  </si>
  <si>
    <t>IN01744</t>
  </si>
  <si>
    <t>IN00843</t>
  </si>
  <si>
    <t>IN00348</t>
  </si>
  <si>
    <t>IN01459</t>
  </si>
  <si>
    <t>IN00049</t>
  </si>
  <si>
    <t>IN00974</t>
  </si>
  <si>
    <t>IN00392</t>
  </si>
  <si>
    <t>IN01462</t>
  </si>
  <si>
    <t>IN00353</t>
  </si>
  <si>
    <t>IN00053</t>
  </si>
  <si>
    <t>IN00964</t>
  </si>
  <si>
    <t>IN01424</t>
  </si>
  <si>
    <t>IN00183</t>
  </si>
  <si>
    <t>IN00181</t>
  </si>
  <si>
    <t>IN01689</t>
  </si>
  <si>
    <t>IN01695</t>
  </si>
  <si>
    <t>IN01464</t>
  </si>
  <si>
    <t>IN01701</t>
  </si>
  <si>
    <t>IN00954</t>
  </si>
  <si>
    <t>IN00228</t>
  </si>
  <si>
    <t>IN01395</t>
  </si>
  <si>
    <t>IN01236</t>
  </si>
  <si>
    <t>IN01017</t>
  </si>
  <si>
    <t>IN00701</t>
  </si>
  <si>
    <t>IN01257</t>
  </si>
  <si>
    <t>IN01228</t>
  </si>
  <si>
    <t>IN00146</t>
  </si>
  <si>
    <t>IN01020</t>
  </si>
  <si>
    <t>IN00334</t>
  </si>
  <si>
    <t>IN00891</t>
  </si>
  <si>
    <t>IN00703</t>
  </si>
  <si>
    <t>IN00897</t>
  </si>
  <si>
    <t>IN00939</t>
  </si>
  <si>
    <t>IN00690</t>
  </si>
  <si>
    <t>IN00357</t>
  </si>
  <si>
    <t>IN01013</t>
  </si>
  <si>
    <t>IN00454</t>
  </si>
  <si>
    <t>IN00655</t>
  </si>
  <si>
    <t>IN00322</t>
  </si>
  <si>
    <t>IN00853</t>
  </si>
  <si>
    <t>IN00770</t>
  </si>
  <si>
    <t>IN01080</t>
  </si>
  <si>
    <t>IN01058</t>
  </si>
  <si>
    <t>IN00546</t>
  </si>
  <si>
    <t>IN00639</t>
  </si>
  <si>
    <t>IN00325</t>
  </si>
  <si>
    <t>IN00849</t>
  </si>
  <si>
    <t>IN00001</t>
  </si>
  <si>
    <t>IN01654</t>
  </si>
  <si>
    <t>IN00060</t>
  </si>
  <si>
    <t>IN00223</t>
  </si>
  <si>
    <t>IN01698</t>
  </si>
  <si>
    <t>IN01538</t>
  </si>
  <si>
    <t>IN01705</t>
  </si>
  <si>
    <t>IN00119</t>
  </si>
  <si>
    <t>IN01717</t>
  </si>
  <si>
    <t>IN01361</t>
  </si>
  <si>
    <t>IN01509</t>
  </si>
  <si>
    <t>IN01319</t>
  </si>
  <si>
    <t>IN00198</t>
  </si>
  <si>
    <t>IN01527</t>
  </si>
  <si>
    <t>IN01133</t>
  </si>
  <si>
    <t>IN00156</t>
  </si>
  <si>
    <t>IN01445</t>
  </si>
  <si>
    <t>IN01439</t>
  </si>
  <si>
    <t>IN01427</t>
  </si>
  <si>
    <t>IN01766</t>
  </si>
  <si>
    <t>IN01642</t>
  </si>
  <si>
    <t>IN01374</t>
  </si>
  <si>
    <t>IN00715</t>
  </si>
  <si>
    <t>IN00930</t>
  </si>
  <si>
    <t>IN01598</t>
  </si>
  <si>
    <t>IN00732</t>
  </si>
  <si>
    <t>IN00100</t>
  </si>
  <si>
    <t>IN01561</t>
  </si>
  <si>
    <t>IN01543</t>
  </si>
  <si>
    <t>IN01466</t>
  </si>
  <si>
    <t>IN00114</t>
  </si>
  <si>
    <t>IN01401</t>
  </si>
  <si>
    <t>IN00986</t>
  </si>
  <si>
    <t>IN00812</t>
  </si>
  <si>
    <t>IN01519</t>
  </si>
  <si>
    <t>IN00131</t>
  </si>
  <si>
    <t>IN00157</t>
  </si>
  <si>
    <t>IN00852</t>
  </si>
  <si>
    <t>IN01400</t>
  </si>
  <si>
    <t>IN01021</t>
  </si>
  <si>
    <t>IN00257</t>
  </si>
  <si>
    <t>IN01681</t>
  </si>
  <si>
    <t>IN01797</t>
  </si>
  <si>
    <t>IN00295</t>
  </si>
  <si>
    <t>IN01777</t>
  </si>
  <si>
    <t>IN00275</t>
  </si>
  <si>
    <t>IN00554</t>
  </si>
  <si>
    <t>IN01753</t>
  </si>
  <si>
    <t>IN00580</t>
  </si>
  <si>
    <t>IN00584</t>
  </si>
  <si>
    <t>IN00696</t>
  </si>
  <si>
    <t>IN00601</t>
  </si>
  <si>
    <t>IN00630</t>
  </si>
  <si>
    <t>IN00631</t>
  </si>
  <si>
    <t>IN01168</t>
  </si>
  <si>
    <t>IN01213</t>
  </si>
  <si>
    <t>IN00249</t>
  </si>
  <si>
    <t>IN00528</t>
  </si>
  <si>
    <t>IN01054</t>
  </si>
  <si>
    <t>IN01691</t>
  </si>
  <si>
    <t>IN01200</t>
  </si>
  <si>
    <t>IN00804</t>
  </si>
  <si>
    <t>IN00894</t>
  </si>
  <si>
    <t>IN00533</t>
  </si>
  <si>
    <t>IN01389</t>
  </si>
  <si>
    <t>IN00682</t>
  </si>
  <si>
    <t>IN00015</t>
  </si>
  <si>
    <t>IN00880</t>
  </si>
  <si>
    <t>IN01682</t>
  </si>
  <si>
    <t>IN00391</t>
  </si>
  <si>
    <t>IN00497</t>
  </si>
  <si>
    <t>IN00636</t>
  </si>
  <si>
    <t>IN00559</t>
  </si>
  <si>
    <t>IN00491</t>
  </si>
  <si>
    <t>IN00468</t>
  </si>
  <si>
    <t>IN01507</t>
  </si>
  <si>
    <t>IN01734</t>
  </si>
  <si>
    <t>IN01699</t>
  </si>
  <si>
    <t>IN00820</t>
  </si>
  <si>
    <t>IN01719</t>
  </si>
  <si>
    <t>IN01534</t>
  </si>
  <si>
    <t>IN01449</t>
  </si>
  <si>
    <t>IN01357</t>
  </si>
  <si>
    <t>IN00289</t>
  </si>
  <si>
    <t>IN01494</t>
  </si>
  <si>
    <t>IN01355</t>
  </si>
  <si>
    <t>IN01171</t>
  </si>
  <si>
    <t>IN01059</t>
  </si>
  <si>
    <t>IN01061</t>
  </si>
  <si>
    <t>IN01272</t>
  </si>
  <si>
    <t>IN01280</t>
  </si>
  <si>
    <t>IN01081</t>
  </si>
  <si>
    <t>IN00971</t>
  </si>
  <si>
    <t>IN00201</t>
  </si>
  <si>
    <t>IN01341</t>
  </si>
  <si>
    <t>IN00214</t>
  </si>
  <si>
    <t>IN00370</t>
  </si>
  <si>
    <t>IN00113</t>
  </si>
  <si>
    <t>IN01542</t>
  </si>
  <si>
    <t>IN01385</t>
  </si>
  <si>
    <t>IN00096</t>
  </si>
  <si>
    <t>IN00806</t>
  </si>
  <si>
    <t>IN00983</t>
  </si>
  <si>
    <t>IN01354</t>
  </si>
  <si>
    <t>IN00265</t>
  </si>
  <si>
    <t>IN01558</t>
  </si>
  <si>
    <t>IN01618</t>
  </si>
  <si>
    <t>IN00942</t>
  </si>
  <si>
    <t>IN00314</t>
  </si>
  <si>
    <t>IN01098</t>
  </si>
  <si>
    <t>IN00704</t>
  </si>
  <si>
    <t>IN01153</t>
  </si>
  <si>
    <t>IN00042</t>
  </si>
  <si>
    <t>IN01057</t>
  </si>
  <si>
    <t>IN01778</t>
  </si>
  <si>
    <t>IN00362</t>
  </si>
  <si>
    <t>IN00365</t>
  </si>
  <si>
    <t>IN01665</t>
  </si>
  <si>
    <t>IN00012</t>
  </si>
  <si>
    <t>IN01493</t>
  </si>
  <si>
    <t>IN01071</t>
  </si>
  <si>
    <t>IN01475</t>
  </si>
  <si>
    <t>IN01795</t>
  </si>
  <si>
    <t>IN00277</t>
  </si>
  <si>
    <t>IN01229</t>
  </si>
  <si>
    <t>IN00760</t>
  </si>
  <si>
    <t>IN01258</t>
  </si>
  <si>
    <t>IN01579</t>
  </si>
  <si>
    <t>IN01185</t>
  </si>
  <si>
    <t>IN00231</t>
  </si>
  <si>
    <t>IN00739</t>
  </si>
  <si>
    <t>IN01605</t>
  </si>
  <si>
    <t>IN01105</t>
  </si>
  <si>
    <t>IN01655</t>
  </si>
  <si>
    <t>IN00337</t>
  </si>
  <si>
    <t>IN00927</t>
  </si>
  <si>
    <t>IN01587</t>
  </si>
  <si>
    <t>IN00610</t>
  </si>
  <si>
    <t>IN01788</t>
  </si>
  <si>
    <t>IN01157</t>
  </si>
  <si>
    <t>IN00507</t>
  </si>
  <si>
    <t>IN00960</t>
  </si>
  <si>
    <t>IN00014</t>
  </si>
  <si>
    <t>IN01491</t>
  </si>
  <si>
    <t>IN00851</t>
  </si>
  <si>
    <t>IN00552</t>
  </si>
  <si>
    <t>IN01305</t>
  </si>
  <si>
    <t>IN00587</t>
  </si>
  <si>
    <t>IN00021</t>
  </si>
  <si>
    <t>IN01209</t>
  </si>
  <si>
    <t>IN00582</t>
  </si>
  <si>
    <t>IN00032</t>
  </si>
  <si>
    <t>IN00936</t>
  </si>
  <si>
    <t>IN00684</t>
  </si>
  <si>
    <t>IN01430</t>
  </si>
  <si>
    <t>IN01163</t>
  </si>
  <si>
    <t>IN01536</t>
  </si>
  <si>
    <t>IN00980</t>
  </si>
  <si>
    <t>IN00217</t>
  </si>
  <si>
    <t>IN00792</t>
  </si>
  <si>
    <t>IN00676</t>
  </si>
  <si>
    <t>IN00466</t>
  </si>
  <si>
    <t>IN01190</t>
  </si>
  <si>
    <t>IN00317</t>
  </si>
  <si>
    <t>IN00574</t>
  </si>
  <si>
    <t>IN01178</t>
  </si>
  <si>
    <t>IN01150</t>
  </si>
  <si>
    <t>IN00288</t>
  </si>
  <si>
    <t>IN01086</t>
  </si>
  <si>
    <t>IN00297</t>
  </si>
  <si>
    <t>IN00583</t>
  </si>
  <si>
    <t>IN01601</t>
  </si>
  <si>
    <t>IN00091</t>
  </si>
  <si>
    <t>IN00837</t>
  </si>
  <si>
    <t>IN01307</t>
  </si>
  <si>
    <t>IN01297</t>
  </si>
  <si>
    <t>IN00819</t>
  </si>
  <si>
    <t>IN01286</t>
  </si>
  <si>
    <t>IN00462</t>
  </si>
  <si>
    <t>IN00801</t>
  </si>
  <si>
    <t>IN01275</t>
  </si>
  <si>
    <t>IN01008</t>
  </si>
  <si>
    <t>IN01110</t>
  </si>
  <si>
    <t>IN00398</t>
  </si>
  <si>
    <t>IN01550</t>
  </si>
  <si>
    <t>IN00823</t>
  </si>
  <si>
    <t>IN00128</t>
  </si>
  <si>
    <t>IN01663</t>
  </si>
  <si>
    <t>IN00712</t>
  </si>
  <si>
    <t>IN00185</t>
  </si>
  <si>
    <t>IN00333</t>
  </si>
  <si>
    <t>IN01426</t>
  </si>
  <si>
    <t>IN01646</t>
  </si>
  <si>
    <t>IN00879</t>
  </si>
  <si>
    <t>IN01321</t>
  </si>
  <si>
    <t>IN01217</t>
  </si>
  <si>
    <t>IN01677</t>
  </si>
  <si>
    <t>IN00905</t>
  </si>
  <si>
    <t>IN01345</t>
  </si>
  <si>
    <t>IN00541</t>
  </si>
  <si>
    <t>IN01328</t>
  </si>
  <si>
    <t>IN00547</t>
  </si>
  <si>
    <t>IN00961</t>
  </si>
  <si>
    <t>IN00949</t>
  </si>
  <si>
    <t>IN01050</t>
  </si>
  <si>
    <t>IN00813</t>
  </si>
  <si>
    <t>IN01301</t>
  </si>
  <si>
    <t>IN00689</t>
  </si>
  <si>
    <t>IN01688</t>
  </si>
  <si>
    <t>IN01210</t>
  </si>
  <si>
    <t>IN01215</t>
  </si>
  <si>
    <t>IN01056</t>
  </si>
  <si>
    <t>IN01709</t>
  </si>
  <si>
    <t>IN01764</t>
  </si>
  <si>
    <t>IN00705</t>
  </si>
  <si>
    <t>IN01255</t>
  </si>
  <si>
    <t>IN00603</t>
  </si>
  <si>
    <t>IN00750</t>
  </si>
  <si>
    <t>IN01549</t>
  </si>
  <si>
    <t>IN01165</t>
  </si>
  <si>
    <t>IN01760</t>
  </si>
  <si>
    <t>IN00714</t>
  </si>
  <si>
    <t>IN00926</t>
  </si>
  <si>
    <t>IN01800</t>
  </si>
  <si>
    <t>IN00243</t>
  </si>
  <si>
    <t>IN00071</t>
  </si>
  <si>
    <t>IN00059</t>
  </si>
  <si>
    <t>IN00279</t>
  </si>
  <si>
    <t>IN01196</t>
  </si>
  <si>
    <t>IN01003</t>
  </si>
  <si>
    <t>IN01477</t>
  </si>
  <si>
    <t>IN01161</t>
  </si>
  <si>
    <t>IN01478</t>
  </si>
  <si>
    <t>IN01154</t>
  </si>
  <si>
    <t>IN01742</t>
  </si>
  <si>
    <t>IN00838</t>
  </si>
  <si>
    <t>IN01761</t>
  </si>
  <si>
    <t>IN00827</t>
  </si>
  <si>
    <t>IN00025</t>
  </si>
  <si>
    <t>IN00136</t>
  </si>
  <si>
    <t>IN01506</t>
  </si>
  <si>
    <t>IN00305</t>
  </si>
  <si>
    <t>IN00309</t>
  </si>
  <si>
    <t>IN01069</t>
  </si>
  <si>
    <t>IN01530</t>
  </si>
  <si>
    <t>IN01614</t>
  </si>
  <si>
    <t>IN00326</t>
  </si>
  <si>
    <t>IN01611</t>
  </si>
  <si>
    <t>IN00586</t>
  </si>
  <si>
    <t>IN00617</t>
  </si>
  <si>
    <t>IN00245</t>
  </si>
  <si>
    <t>IN00969</t>
  </si>
  <si>
    <t>IN00807</t>
  </si>
  <si>
    <t>IN00153</t>
  </si>
  <si>
    <t>IN01708</t>
  </si>
  <si>
    <t>IN01334</t>
  </si>
  <si>
    <t>IN00711</t>
  </si>
  <si>
    <t>IN01718</t>
  </si>
  <si>
    <t>IN00173</t>
  </si>
  <si>
    <t>IN00724</t>
  </si>
  <si>
    <t>IN01725</t>
  </si>
  <si>
    <t>IN00030</t>
  </si>
  <si>
    <t>IN00219</t>
  </si>
  <si>
    <t>IN00924</t>
  </si>
  <si>
    <t>IN00098</t>
  </si>
  <si>
    <t>IN00239</t>
  </si>
  <si>
    <t>IN00064</t>
  </si>
  <si>
    <t>IN00723</t>
  </si>
  <si>
    <t>IN00068</t>
  </si>
  <si>
    <t>IN01616</t>
  </si>
  <si>
    <t>IN00253</t>
  </si>
  <si>
    <t>IN00883</t>
  </si>
  <si>
    <t>IN01244</t>
  </si>
  <si>
    <t>IN00884</t>
  </si>
  <si>
    <t>IN00366</t>
  </si>
  <si>
    <t>IN00371</t>
  </si>
  <si>
    <t>IN01726</t>
  </si>
  <si>
    <t>IN01222</t>
  </si>
  <si>
    <t>IN01548</t>
  </si>
  <si>
    <t>IN00172</t>
  </si>
  <si>
    <t>IN00709</t>
  </si>
  <si>
    <t>IN01628</t>
  </si>
  <si>
    <t>IN00563</t>
  </si>
  <si>
    <t>IN00933</t>
  </si>
  <si>
    <t>IN00222</t>
  </si>
  <si>
    <t>IN01767</t>
  </si>
  <si>
    <t>IN01686</t>
  </si>
  <si>
    <t>IN01268</t>
  </si>
  <si>
    <t>IN01276</t>
  </si>
  <si>
    <t>IN01102</t>
  </si>
  <si>
    <t>IN00055</t>
  </si>
  <si>
    <t>IN00740</t>
  </si>
  <si>
    <t>IN01629</t>
  </si>
  <si>
    <t>IN01498</t>
  </si>
  <si>
    <t>IN00026</t>
  </si>
  <si>
    <t>IN00512</t>
  </si>
  <si>
    <t>IN00934</t>
  </si>
  <si>
    <t>IN01739</t>
  </si>
  <si>
    <t>IN00928</t>
  </si>
  <si>
    <t>IN00941</t>
  </si>
  <si>
    <t>IN00354</t>
  </si>
  <si>
    <t>IN00909</t>
  </si>
  <si>
    <t>IN00904</t>
  </si>
  <si>
    <t>IN00379</t>
  </si>
  <si>
    <t>IN00855</t>
  </si>
  <si>
    <t>IN01632</t>
  </si>
  <si>
    <t>IN00817</t>
  </si>
  <si>
    <t>IN00419</t>
  </si>
  <si>
    <t>IN00795</t>
  </si>
  <si>
    <t>IN00757</t>
  </si>
  <si>
    <t>IN01685</t>
  </si>
  <si>
    <t>IN00448</t>
  </si>
  <si>
    <t>IN00920</t>
  </si>
  <si>
    <t>IN00945</t>
  </si>
  <si>
    <t>IN00043</t>
  </si>
  <si>
    <t>IN00232</t>
  </si>
  <si>
    <t>IN00147</t>
  </si>
  <si>
    <t>IN00328</t>
  </si>
  <si>
    <t>IN00213</t>
  </si>
  <si>
    <t>IN00110</t>
  </si>
  <si>
    <t>IN01515</t>
  </si>
  <si>
    <t>IN01011</t>
  </si>
  <si>
    <t>IN00207</t>
  </si>
  <si>
    <t>IN01014</t>
  </si>
  <si>
    <t>IN00282</t>
  </si>
  <si>
    <t>IN01386</t>
  </si>
  <si>
    <t>IN00273</t>
  </si>
  <si>
    <t>IN00044</t>
  </si>
  <si>
    <t>IN01485</t>
  </si>
  <si>
    <t>IN01375</t>
  </si>
  <si>
    <t>IN01052</t>
  </si>
  <si>
    <t>IN01664</t>
  </si>
  <si>
    <t>IN00799</t>
  </si>
  <si>
    <t>IN01728</t>
  </si>
  <si>
    <t>IN01188</t>
  </si>
  <si>
    <t>IN00645</t>
  </si>
  <si>
    <t>IN01172</t>
  </si>
  <si>
    <t>IN01454</t>
  </si>
  <si>
    <t>IN01724</t>
  </si>
  <si>
    <t>IN01235</t>
  </si>
  <si>
    <t>IN01177</t>
  </si>
  <si>
    <t>IN01684</t>
  </si>
  <si>
    <t>IN00742</t>
  </si>
  <si>
    <t>IN00212</t>
  </si>
  <si>
    <t>IN00716</t>
  </si>
  <si>
    <t>IN01393</t>
  </si>
  <si>
    <t>IN01703</t>
  </si>
  <si>
    <t>IN00464</t>
  </si>
  <si>
    <t>IN01457</t>
  </si>
  <si>
    <t>IN01643</t>
  </si>
  <si>
    <t>IN00940</t>
  </si>
  <si>
    <t>IN01033</t>
  </si>
  <si>
    <t>IN00895</t>
  </si>
  <si>
    <t>IN00107</t>
  </si>
  <si>
    <t>IN00887</t>
  </si>
  <si>
    <t>IN00886</t>
  </si>
  <si>
    <t>IN00344</t>
  </si>
  <si>
    <t>IN00479</t>
  </si>
  <si>
    <t>IN00319</t>
  </si>
  <si>
    <t>IN00487</t>
  </si>
  <si>
    <t>IN01582</t>
  </si>
  <si>
    <t>IN00576</t>
  </si>
  <si>
    <t>IN00397</t>
  </si>
  <si>
    <t>IN01124</t>
  </si>
  <si>
    <t>IN00407</t>
  </si>
  <si>
    <t>IN00082</t>
  </si>
  <si>
    <t>IN01702</t>
  </si>
  <si>
    <t>IN01409</t>
  </si>
  <si>
    <t>IN01571</t>
  </si>
  <si>
    <t>IN01309</t>
  </si>
  <si>
    <t>IN01304</t>
  </si>
  <si>
    <t>IN01566</t>
  </si>
  <si>
    <t>IN00358</t>
  </si>
  <si>
    <t>IN00729</t>
  </si>
  <si>
    <t>IN00953</t>
  </si>
  <si>
    <t>IN01607</t>
  </si>
  <si>
    <t>IN01267</t>
  </si>
  <si>
    <t>IN01419</t>
  </si>
  <si>
    <t>IN00514</t>
  </si>
  <si>
    <t>IN00220</t>
  </si>
  <si>
    <t>IN00758</t>
  </si>
  <si>
    <t>IN00155</t>
  </si>
  <si>
    <t>IN01046</t>
  </si>
  <si>
    <t>IN00779</t>
  </si>
  <si>
    <t>IN00882</t>
  </si>
  <si>
    <t>IN00856</t>
  </si>
  <si>
    <t>IN00800</t>
  </si>
  <si>
    <t>IN01023</t>
  </si>
  <si>
    <t>IN00360</t>
  </si>
  <si>
    <t>IN00515</t>
  </si>
  <si>
    <t>IN01771</t>
  </si>
  <si>
    <t>IN00471</t>
  </si>
  <si>
    <t>IN00607</t>
  </si>
  <si>
    <t>IN00536</t>
  </si>
  <si>
    <t>IN00549</t>
  </si>
  <si>
    <t>IN00083</t>
  </si>
  <si>
    <t>IN01602</t>
  </si>
  <si>
    <t>IN00038</t>
  </si>
  <si>
    <t>IN01082</t>
  </si>
  <si>
    <t>IN01376</t>
  </si>
  <si>
    <t>IN00579</t>
  </si>
  <si>
    <t>IN00845</t>
  </si>
  <si>
    <t>IN00889</t>
  </si>
  <si>
    <t>IN01060</t>
  </si>
  <si>
    <t>IN01062</t>
  </si>
  <si>
    <t>IN01179</t>
  </si>
  <si>
    <t>IN01694</t>
  </si>
  <si>
    <t>IN00467</t>
  </si>
  <si>
    <t>IN00870</t>
  </si>
  <si>
    <t>IN00035</t>
  </si>
  <si>
    <t>IN01207</t>
  </si>
  <si>
    <t>IN00395</t>
  </si>
  <si>
    <t>IN01283</t>
  </si>
  <si>
    <t>IN00861</t>
  </si>
  <si>
    <t>IN00445</t>
  </si>
  <si>
    <t>IN00455</t>
  </si>
  <si>
    <t>IN00592</t>
  </si>
  <si>
    <t>IN00789</t>
  </si>
  <si>
    <t>IN01711</t>
  </si>
  <si>
    <t>IN01128</t>
  </si>
  <si>
    <t>IN01748</t>
  </si>
  <si>
    <t>IN01242</t>
  </si>
  <si>
    <t>IN00585</t>
  </si>
  <si>
    <t>IN00116</t>
  </si>
  <si>
    <t>IN01193</t>
  </si>
  <si>
    <t>IN00756</t>
  </si>
  <si>
    <t>IN01690</t>
  </si>
  <si>
    <t>IN00449</t>
  </si>
  <si>
    <t>IN01299</t>
  </si>
  <si>
    <t>IN01382</t>
  </si>
  <si>
    <t>IN01083</t>
  </si>
  <si>
    <t>IN01337</t>
  </si>
  <si>
    <t>IN00568</t>
  </si>
  <si>
    <t>IN01636</t>
  </si>
  <si>
    <t>IN00763</t>
  </si>
  <si>
    <t>IN00519</t>
  </si>
  <si>
    <t>IN01134</t>
  </si>
  <si>
    <t>IN01339</t>
  </si>
  <si>
    <t>IN01659</t>
  </si>
  <si>
    <t>IN01657</t>
  </si>
  <si>
    <t>IN00830</t>
  </si>
  <si>
    <t>IN01085</t>
  </si>
  <si>
    <t>IN00802</t>
  </si>
  <si>
    <t>IN00521</t>
  </si>
  <si>
    <t>IN00252</t>
  </si>
  <si>
    <t>IN01552</t>
  </si>
  <si>
    <t>IN00773</t>
  </si>
  <si>
    <t>IN01545</t>
  </si>
  <si>
    <t>IN00109</t>
  </si>
  <si>
    <t>IN01624</t>
  </si>
  <si>
    <t>IN00040</t>
  </si>
  <si>
    <t>IN01750</t>
  </si>
  <si>
    <t>IN00446</t>
  </si>
  <si>
    <t>IN01266</t>
  </si>
  <si>
    <t>IN00330</t>
  </si>
  <si>
    <t>IN01369</t>
  </si>
  <si>
    <t>IN01270</t>
  </si>
  <si>
    <t>IN00270</t>
  </si>
  <si>
    <t>IN01212</t>
  </si>
  <si>
    <t>IN01621</t>
  </si>
  <si>
    <t>IN00999</t>
  </si>
  <si>
    <t>IN01047</t>
  </si>
  <si>
    <t>IN00230</t>
  </si>
  <si>
    <t>IN00159</t>
  </si>
  <si>
    <t>IN01392</t>
  </si>
  <si>
    <t>IN00567</t>
  </si>
  <si>
    <t>IN01435</t>
  </si>
  <si>
    <t>IN00862</t>
  </si>
  <si>
    <t>IN01029</t>
  </si>
  <si>
    <t>IN00361</t>
  </si>
  <si>
    <t>IN01638</t>
  </si>
  <si>
    <t>IN00937</t>
  </si>
  <si>
    <t>IN00908</t>
  </si>
  <si>
    <t>IN00324</t>
  </si>
  <si>
    <t>IN00031</t>
  </si>
  <si>
    <t>IN00525</t>
  </si>
  <si>
    <t>IN01204</t>
  </si>
  <si>
    <t>IN00251</t>
  </si>
  <si>
    <t>IN00355</t>
  </si>
  <si>
    <t>IN00011</t>
  </si>
  <si>
    <t>IN00081</t>
  </si>
  <si>
    <t>IN00679</t>
  </si>
  <si>
    <t>IN01333</t>
  </si>
  <si>
    <t>IN01714</t>
  </si>
  <si>
    <t>IN00193</t>
  </si>
  <si>
    <t>IN00439</t>
  </si>
  <si>
    <t>IN01346</t>
  </si>
  <si>
    <t>IN00459</t>
  </si>
  <si>
    <t>IN00278</t>
  </si>
  <si>
    <t>IN00551</t>
  </si>
  <si>
    <t>IN00719</t>
  </si>
  <si>
    <t>IN00687</t>
  </si>
  <si>
    <t>IN00659</t>
  </si>
  <si>
    <t>IN00041</t>
  </si>
  <si>
    <t>IN01700</t>
  </si>
  <si>
    <t>IN01064</t>
  </si>
  <si>
    <t>IN00440</t>
  </si>
  <si>
    <t>IN00873</t>
  </si>
  <si>
    <t>IN00169</t>
  </si>
  <si>
    <t>IN00266</t>
  </si>
  <si>
    <t>IN01251</t>
  </si>
  <si>
    <t>IN00373</t>
  </si>
  <si>
    <t>IN01383</t>
  </si>
  <si>
    <t>IN01399</t>
  </si>
  <si>
    <t>IN00274</t>
  </si>
  <si>
    <t>IN00548</t>
  </si>
  <si>
    <t>IN00304</t>
  </si>
  <si>
    <t>IN00826</t>
  </si>
  <si>
    <t>IN00023</t>
  </si>
  <si>
    <t>IN00626</t>
  </si>
  <si>
    <t>IN01440</t>
  </si>
  <si>
    <t>IN01425</t>
  </si>
  <si>
    <t>IN01604</t>
  </si>
  <si>
    <t>IN01671</t>
  </si>
  <si>
    <t>IN00590</t>
  </si>
  <si>
    <t>IN01317</t>
  </si>
  <si>
    <t>IN00327</t>
  </si>
  <si>
    <t>IN00377</t>
  </si>
  <si>
    <t>IN01035</t>
  </si>
  <si>
    <t>IN01721</t>
  </si>
  <si>
    <t>IN01158</t>
  </si>
  <si>
    <t>IN00486</t>
  </si>
  <si>
    <t>IN01239</t>
  </si>
  <si>
    <t>IN01042</t>
  </si>
  <si>
    <t>IN00746</t>
  </si>
  <si>
    <t>IN01633</t>
  </si>
  <si>
    <t>IN01417</t>
  </si>
  <si>
    <t>IN01180</t>
  </si>
  <si>
    <t>IN00738</t>
  </si>
  <si>
    <t>IN01263</t>
  </si>
  <si>
    <t>IN01429</t>
  </si>
  <si>
    <t>IN01169</t>
  </si>
  <si>
    <t>IN00922</t>
  </si>
  <si>
    <t>IN01176</t>
  </si>
  <si>
    <t>IN01278</t>
  </si>
  <si>
    <t>IN00606</t>
  </si>
  <si>
    <t>IN01024</t>
  </si>
  <si>
    <t>IN00967</t>
  </si>
  <si>
    <t>IN01123</t>
  </si>
  <si>
    <t>IN01322</t>
  </si>
  <si>
    <t>IN01316</t>
  </si>
  <si>
    <t>IN00762</t>
  </si>
  <si>
    <t>IN01315</t>
  </si>
  <si>
    <t>IN01189</t>
  </si>
  <si>
    <t>IN00343</t>
  </si>
  <si>
    <t>IN00254</t>
  </si>
  <si>
    <t>IN00299</t>
  </si>
  <si>
    <t>IN01572</t>
  </si>
  <si>
    <t>IN00810</t>
  </si>
  <si>
    <t>IN01113</t>
  </si>
  <si>
    <t>IN01641</t>
  </si>
  <si>
    <t>IN01546</t>
  </si>
  <si>
    <t>IN01166</t>
  </si>
  <si>
    <t>IN01722</t>
  </si>
  <si>
    <t>IN01567</t>
  </si>
  <si>
    <t>IN00301</t>
  </si>
  <si>
    <t>IN00062</t>
  </si>
  <si>
    <t>IN00674</t>
  </si>
  <si>
    <t>IN00666</t>
  </si>
  <si>
    <t>IN00164</t>
  </si>
  <si>
    <t>IN01066</t>
  </si>
  <si>
    <t>IN00788</t>
  </si>
  <si>
    <t>IN01108</t>
  </si>
  <si>
    <t>IN01650</t>
  </si>
  <si>
    <t>IN00191</t>
  </si>
  <si>
    <t>IN00402</t>
  </si>
  <si>
    <t>IN00611</t>
  </si>
  <si>
    <t>IN00310</t>
  </si>
  <si>
    <t>IN00581</t>
  </si>
  <si>
    <t>IN00141</t>
  </si>
  <si>
    <t>IN00349</t>
  </si>
  <si>
    <t>IN00669</t>
  </si>
  <si>
    <t>IN01600</t>
  </si>
  <si>
    <t>IN00074</t>
  </si>
  <si>
    <t>IN00931</t>
  </si>
  <si>
    <t>IN00013</t>
  </si>
  <si>
    <t>IN00050</t>
  </si>
  <si>
    <t>IN00046</t>
  </si>
  <si>
    <t>IN00435</t>
  </si>
  <si>
    <t>IN00637</t>
  </si>
  <si>
    <t>IN00307</t>
  </si>
  <si>
    <t>IN00067</t>
  </si>
  <si>
    <t>IN01264</t>
  </si>
  <si>
    <t>IN00850</t>
  </si>
  <si>
    <t>IN00097</t>
  </si>
  <si>
    <t>IN00017</t>
  </si>
  <si>
    <t>IN00102</t>
  </si>
  <si>
    <t>IN01577</t>
  </si>
  <si>
    <t>IN01576</t>
  </si>
  <si>
    <t>IN01137</t>
  </si>
  <si>
    <t>IN01292</t>
  </si>
  <si>
    <t>IN01330</t>
  </si>
  <si>
    <t>IN01084</t>
  </si>
  <si>
    <t>IN00287</t>
  </si>
  <si>
    <t>IN00538</t>
  </si>
  <si>
    <t>IN01775</t>
  </si>
  <si>
    <t>IN00609</t>
  </si>
  <si>
    <t>IN00918</t>
  </si>
  <si>
    <t>IN01218</t>
  </si>
  <si>
    <t>IN00367</t>
  </si>
  <si>
    <t>IN00005</t>
  </si>
  <si>
    <t>IN01782</t>
  </si>
  <si>
    <t>IN00460</t>
  </si>
  <si>
    <t>IN00994</t>
  </si>
  <si>
    <t>IN00912</t>
  </si>
  <si>
    <t>IN00233</t>
  </si>
  <si>
    <t>IN01540</t>
  </si>
  <si>
    <t>IN01205</t>
  </si>
  <si>
    <t>IN00316</t>
  </si>
  <si>
    <t>IN00661</t>
  </si>
  <si>
    <t>IN00836</t>
  </si>
  <si>
    <t>IN01194</t>
  </si>
  <si>
    <t>IN00080</t>
  </si>
  <si>
    <t>IN01099</t>
  </si>
  <si>
    <t>IN00320</t>
  </si>
  <si>
    <t>IN01448</t>
  </si>
  <si>
    <t>IN01544</t>
  </si>
  <si>
    <t>IN00489</t>
  </si>
  <si>
    <t>IN01195</t>
  </si>
  <si>
    <t>IN01580</t>
  </si>
  <si>
    <t>IN00599</t>
  </si>
  <si>
    <t>IN01755</t>
  </si>
  <si>
    <t>IN01588</t>
  </si>
  <si>
    <t>IN00875</t>
  </si>
  <si>
    <t>IN01348</t>
  </si>
  <si>
    <t>IN00667</t>
  </si>
  <si>
    <t>IN00977</t>
  </si>
  <si>
    <t>IN01032</t>
  </si>
  <si>
    <t>IN01349</t>
  </si>
  <si>
    <t>IN00008</t>
  </si>
  <si>
    <t>IN01287</t>
  </si>
  <si>
    <t>IN01340</t>
  </si>
  <si>
    <t>IN01537</t>
  </si>
  <si>
    <t>IN00099</t>
  </si>
  <si>
    <t>IN00506</t>
  </si>
  <si>
    <t>IN00187</t>
  </si>
  <si>
    <t>IN01022</t>
  </si>
  <si>
    <t>IN00143</t>
  </si>
  <si>
    <t>IN00161</t>
  </si>
  <si>
    <t>IN00498</t>
  </si>
  <si>
    <t>IN01592</t>
  </si>
  <si>
    <t>IN00593</t>
  </si>
  <si>
    <t>IN01009</t>
  </si>
  <si>
    <t>IN01589</t>
  </si>
  <si>
    <t>IN00615</t>
  </si>
  <si>
    <t>IN00285</t>
  </si>
  <si>
    <t>IN00832</t>
  </si>
  <si>
    <t>IN00752</t>
  </si>
  <si>
    <t>IN00206</t>
  </si>
  <si>
    <t>IN00078</t>
  </si>
  <si>
    <t>IN00076</t>
  </si>
  <si>
    <t>IN01730</t>
  </si>
  <si>
    <t>IN01522</t>
  </si>
  <si>
    <t>IN01308</t>
  </si>
  <si>
    <t>IN00148</t>
  </si>
  <si>
    <t>IN00424</t>
  </si>
  <si>
    <t>IN01670</t>
  </si>
  <si>
    <t>IN01469</t>
  </si>
  <si>
    <t>IN00016</t>
  </si>
  <si>
    <t>IN00194</t>
  </si>
  <si>
    <t>IN00781</t>
  </si>
  <si>
    <t>IN00087</t>
  </si>
  <si>
    <t>IN01122</t>
  </si>
  <si>
    <t>IN00917</t>
  </si>
  <si>
    <t>IN00121</t>
  </si>
  <si>
    <t>IN00531</t>
  </si>
  <si>
    <t>IN00086</t>
  </si>
  <si>
    <t>IN00657</t>
  </si>
  <si>
    <t>IN01121</t>
  </si>
  <si>
    <t>IN01129</t>
  </si>
  <si>
    <t>IN00458</t>
  </si>
  <si>
    <t>IN01324</t>
  </si>
  <si>
    <t>IN01100</t>
  </si>
  <si>
    <t>IN00406</t>
  </si>
  <si>
    <t>IN01562</t>
  </si>
  <si>
    <t>IN00778</t>
  </si>
  <si>
    <t>IN01749</t>
  </si>
  <si>
    <t>IN01518</t>
  </si>
  <si>
    <t>IN00461</t>
  </si>
  <si>
    <t>IN00036</t>
  </si>
  <si>
    <t>IN01751</t>
  </si>
  <si>
    <t>IN01532</t>
  </si>
  <si>
    <t>IN01202</t>
  </si>
  <si>
    <t>IN01145</t>
  </si>
  <si>
    <t>IN00604</t>
  </si>
  <si>
    <t>IN01360</t>
  </si>
  <si>
    <t>IN01139</t>
  </si>
  <si>
    <t>IN00972</t>
  </si>
  <si>
    <t>IN00921</t>
  </si>
  <si>
    <t>IN01585</t>
  </si>
  <si>
    <t>IN01250</t>
  </si>
  <si>
    <t>IN00868</t>
  </si>
  <si>
    <t>IN00668</t>
  </si>
  <si>
    <t>IN00614</t>
  </si>
  <si>
    <t>IN00963</t>
  </si>
  <si>
    <t>IN01262</t>
  </si>
  <si>
    <t>IN01026</t>
  </si>
  <si>
    <t>IN00735</t>
  </si>
  <si>
    <t>IN01405</t>
  </si>
  <si>
    <t>IN01625</t>
  </si>
  <si>
    <t>IN01078</t>
  </si>
  <si>
    <t>IN01041</t>
  </si>
  <si>
    <t>IN00859</t>
  </si>
  <si>
    <t>IN00885</t>
  </si>
  <si>
    <t>IN01487</t>
  </si>
  <si>
    <t>IN00323</t>
  </si>
  <si>
    <t>IN00124</t>
  </si>
  <si>
    <t>IN00158</t>
  </si>
  <si>
    <t>IN01183</t>
  </si>
  <si>
    <t>IN00284</t>
  </si>
  <si>
    <t>IN00575</t>
  </si>
  <si>
    <t>IN01473</t>
  </si>
  <si>
    <t>IN01517</t>
  </si>
  <si>
    <t>IN00255</t>
  </si>
  <si>
    <t>IN01135</t>
  </si>
  <si>
    <t>IN01159</t>
  </si>
  <si>
    <t>IN01794</t>
  </si>
  <si>
    <t>IN01320</t>
  </si>
  <si>
    <t>IN01414</t>
  </si>
  <si>
    <t>IN00660</t>
  </si>
  <si>
    <t>IN00472</t>
  </si>
  <si>
    <t>IN01279</t>
  </si>
  <si>
    <t>IN00364</t>
  </si>
  <si>
    <t>IN00663</t>
  </si>
  <si>
    <t>IN00643</t>
  </si>
  <si>
    <t>IN00095</t>
  </si>
  <si>
    <t>IN01692</t>
  </si>
  <si>
    <t>IN00903</t>
  </si>
  <si>
    <t>IN00204</t>
  </si>
  <si>
    <t>IN00413</t>
  </si>
  <si>
    <t>IN00965</t>
  </si>
  <si>
    <t>IN00993</t>
  </si>
  <si>
    <t>IN00678</t>
  </si>
  <si>
    <t>IN00697</t>
  </si>
  <si>
    <t>IN00045</t>
  </si>
  <si>
    <t>IN00443</t>
  </si>
  <si>
    <t>IN00633</t>
  </si>
  <si>
    <t>IN01327</t>
  </si>
  <si>
    <t>IN00347</t>
  </si>
  <si>
    <t>IN00393</t>
  </si>
  <si>
    <t>IN01736</t>
  </si>
  <si>
    <t>IN01667</t>
  </si>
  <si>
    <t>IN00831</t>
  </si>
  <si>
    <t>IN00828</t>
  </si>
  <si>
    <t>IN00529</t>
  </si>
  <si>
    <t>IN00863</t>
  </si>
  <si>
    <t>IN00787</t>
  </si>
  <si>
    <t>IN01403</t>
  </si>
  <si>
    <t>IN00808</t>
  </si>
  <si>
    <t>IN01404</t>
  </si>
  <si>
    <t>IN00075</t>
  </si>
  <si>
    <t>IN00478</t>
  </si>
  <si>
    <t>IN01732</t>
  </si>
  <si>
    <t>IN00625</t>
  </si>
  <si>
    <t>IN00846</t>
  </si>
  <si>
    <t>IN01095</t>
  </si>
  <si>
    <t>IN01631</t>
  </si>
  <si>
    <t>IN01673</t>
  </si>
  <si>
    <t>IN00103</t>
  </si>
  <si>
    <t>IN00160</t>
  </si>
  <si>
    <t>IN01363</t>
  </si>
  <si>
    <t>IN00672</t>
  </si>
  <si>
    <t>IN01578</t>
  </si>
  <si>
    <t>IN00718</t>
  </si>
  <si>
    <t>IN01713</t>
  </si>
  <si>
    <t>IN00970</t>
  </si>
  <si>
    <t>IN01696</t>
  </si>
  <si>
    <t>IN00174</t>
  </si>
  <si>
    <t>IN00955</t>
  </si>
  <si>
    <t>IN00093</t>
  </si>
  <si>
    <t>IN00722</t>
  </si>
  <si>
    <t>IN01253</t>
  </si>
  <si>
    <t>IN00508</t>
  </si>
  <si>
    <t>IN00759</t>
  </si>
  <si>
    <t>IN01596</t>
  </si>
  <si>
    <t>IN00733</t>
  </si>
  <si>
    <t>IN01342</t>
  </si>
  <si>
    <t>IN00186</t>
  </si>
  <si>
    <t>IN00766</t>
  </si>
  <si>
    <t>IN00640</t>
  </si>
  <si>
    <t>IN01096</t>
  </si>
  <si>
    <t>IN01502</t>
  </si>
  <si>
    <t>IN00291</t>
  </si>
  <si>
    <t>IN01490</t>
  </si>
  <si>
    <t>IN00127</t>
  </si>
  <si>
    <t>IN01089</t>
  </si>
  <si>
    <t>IN00047</t>
  </si>
  <si>
    <t>IN01716</t>
  </si>
  <si>
    <t>IN00294</t>
  </si>
  <si>
    <t>IN01331</t>
  </si>
  <si>
    <t>IN00269</t>
  </si>
  <si>
    <t>IN00784</t>
  </si>
  <si>
    <t>IN00815</t>
  </si>
  <si>
    <t>IN01501</t>
  </si>
  <si>
    <t>IN00504</t>
  </si>
  <si>
    <t>IN01006</t>
  </si>
  <si>
    <t>IN00899</t>
  </si>
  <si>
    <t>IN00915</t>
  </si>
  <si>
    <t>IN00620</t>
  </si>
  <si>
    <t>IN01452</t>
  </si>
  <si>
    <t>IN01783</t>
  </si>
  <si>
    <t>IN00368</t>
  </si>
  <si>
    <t>IN00623</t>
  </si>
  <si>
    <t>IN01612</t>
  </si>
  <si>
    <t>IN00628</t>
  </si>
  <si>
    <t>IN00539</t>
  </si>
  <si>
    <t>IN01583</t>
  </si>
  <si>
    <t>IN00404</t>
  </si>
  <si>
    <t>IN01436</t>
  </si>
  <si>
    <t>IN01206</t>
  </si>
  <si>
    <t>IN00594</t>
  </si>
  <si>
    <t>IN01446</t>
  </si>
  <si>
    <t>IN00589</t>
  </si>
  <si>
    <t>IN01000</t>
  </si>
  <si>
    <t>IN01442</t>
  </si>
  <si>
    <t>IN00727</t>
  </si>
  <si>
    <t>IN01184</t>
  </si>
  <si>
    <t>IN00618</t>
  </si>
  <si>
    <t>IN00530</t>
  </si>
  <si>
    <t>IN00686</t>
  </si>
  <si>
    <t>IN01603</t>
  </si>
  <si>
    <t>IN00997</t>
  </si>
  <si>
    <t>IN00694</t>
  </si>
  <si>
    <t>IN00165</t>
  </si>
  <si>
    <t>IN00352</t>
  </si>
  <si>
    <t>IN00946</t>
  </si>
  <si>
    <t>IN01687</t>
  </si>
  <si>
    <t>IN01271</t>
  </si>
  <si>
    <t>IN00345</t>
  </si>
  <si>
    <t>IN00600</t>
  </si>
  <si>
    <t>IN00430</t>
  </si>
  <si>
    <t>IN00665</t>
  </si>
  <si>
    <t>IN01326</t>
  </si>
  <si>
    <t>IN01365</t>
  </si>
  <si>
    <t>IN00171</t>
  </si>
  <si>
    <t>IN01288</t>
  </si>
  <si>
    <t>IN00866</t>
  </si>
  <si>
    <t>IN00776</t>
  </si>
  <si>
    <t>IN01735</t>
  </si>
  <si>
    <t>IN00877</t>
  </si>
  <si>
    <t>IN00149</t>
  </si>
  <si>
    <t>IN00412</t>
  </si>
  <si>
    <t>IN01311</t>
  </si>
  <si>
    <t>IN01396</t>
  </si>
  <si>
    <t>IN01302</t>
  </si>
  <si>
    <t>IN01314</t>
  </si>
  <si>
    <t>IN00028</t>
  </si>
  <si>
    <t>IN01520</t>
  </si>
  <si>
    <t>IN01053</t>
  </si>
  <si>
    <t>IN01458</t>
  </si>
  <si>
    <t>IN01609</t>
  </si>
  <si>
    <t>IN00842</t>
  </si>
  <si>
    <t>IN00175</t>
  </si>
  <si>
    <t>IN01770</t>
  </si>
  <si>
    <t>IN01444</t>
  </si>
  <si>
    <t>IN00205</t>
  </si>
  <si>
    <t>IN00190</t>
  </si>
  <si>
    <t>IN00263</t>
  </si>
  <si>
    <t>IN00550</t>
  </si>
  <si>
    <t>IN01174</t>
  </si>
  <si>
    <t>IN01248</t>
  </si>
  <si>
    <t>IN00211</t>
  </si>
  <si>
    <t>IN01410</t>
  </si>
  <si>
    <t>IN00259</t>
  </si>
  <si>
    <t>IN00152</t>
  </si>
  <si>
    <t>IN01187</t>
  </si>
  <si>
    <t>IN00178</t>
  </si>
  <si>
    <t>IN01306</t>
  </si>
  <si>
    <t>IN00236</t>
  </si>
  <si>
    <t>IN00483</t>
  </si>
  <si>
    <t>IN01645</t>
  </si>
  <si>
    <t>IN00821</t>
  </si>
  <si>
    <t>IN00306</t>
  </si>
  <si>
    <t>IN00847</t>
  </si>
  <si>
    <t>IN01505</t>
  </si>
  <si>
    <t>IN01116</t>
  </si>
  <si>
    <t>IN00867</t>
  </si>
  <si>
    <t>IN00321</t>
  </si>
  <si>
    <t>IN00616</t>
  </si>
  <si>
    <t>IN01142</t>
  </si>
  <si>
    <t>IN00276</t>
  </si>
  <si>
    <t>IN00744</t>
  </si>
  <si>
    <t>IN00281</t>
  </si>
  <si>
    <t>IN00950</t>
  </si>
  <si>
    <t>IN01765</t>
  </si>
  <si>
    <t>IN01149</t>
  </si>
  <si>
    <t>IN01740</t>
  </si>
  <si>
    <t>IN01012</t>
  </si>
  <si>
    <t>IN00605</t>
  </si>
  <si>
    <t>IN00372</t>
  </si>
  <si>
    <t>IN00835</t>
  </si>
  <si>
    <t>IN01079</t>
  </si>
  <si>
    <t>IN00474</t>
  </si>
  <si>
    <t>IN00635</t>
  </si>
  <si>
    <t>IN00090</t>
  </si>
  <si>
    <t>IN00622</t>
  </si>
  <si>
    <t>IN00018</t>
  </si>
  <si>
    <t>IN00380</t>
  </si>
  <si>
    <t>IN01027</t>
  </si>
  <si>
    <t>IN00543</t>
  </si>
  <si>
    <t>IN00168</t>
  </si>
  <si>
    <t>IN01051</t>
  </si>
  <si>
    <t>IN01639</t>
  </si>
  <si>
    <t>IN00540</t>
  </si>
  <si>
    <t>IN00484</t>
  </si>
  <si>
    <t>IN00108</t>
  </si>
  <si>
    <t>IN00224</t>
  </si>
  <si>
    <t>IN00923</t>
  </si>
  <si>
    <t>IN00418</t>
  </si>
  <si>
    <t>IN00189</t>
  </si>
  <si>
    <t>IN01371</t>
  </si>
  <si>
    <t>IN00721</t>
  </si>
  <si>
    <t>IN00726</t>
  </si>
  <si>
    <t>IN01378</t>
  </si>
  <si>
    <t>IN01175</t>
  </si>
  <si>
    <t>IN01140</t>
  </si>
  <si>
    <t>IN00642</t>
  </si>
  <si>
    <t>IN00434</t>
  </si>
  <si>
    <t>IN01683</t>
  </si>
  <si>
    <t>IN00564</t>
  </si>
  <si>
    <t>IN01512</t>
  </si>
  <si>
    <t>IN01313</t>
  </si>
  <si>
    <t>IN00650</t>
  </si>
  <si>
    <t>IN00129</t>
  </si>
  <si>
    <t>IN00570</t>
  </si>
  <si>
    <t>IN00341</t>
  </si>
  <si>
    <t>IN01119</t>
  </si>
  <si>
    <t>IN00764</t>
  </si>
  <si>
    <t>IN00602</t>
  </si>
  <si>
    <t>IN00381</t>
  </si>
  <si>
    <t>IN00442</t>
  </si>
  <si>
    <t>IN00644</t>
  </si>
  <si>
    <t>IN01798</t>
  </si>
  <si>
    <t>IN01391</t>
  </si>
  <si>
    <t>IN00066</t>
  </si>
  <si>
    <t>IN00775</t>
  </si>
  <si>
    <t>IN01380</t>
  </si>
  <si>
    <t>IN01418</t>
  </si>
  <si>
    <t>IN00869</t>
  </si>
  <si>
    <t>IN00745</t>
  </si>
  <si>
    <t>IN00374</t>
  </si>
  <si>
    <t>IN01413</t>
  </si>
  <si>
    <t>IN00619</t>
  </si>
  <si>
    <t>IN00218</t>
  </si>
  <si>
    <t>IN00848</t>
  </si>
  <si>
    <t>IN00662</t>
  </si>
  <si>
    <t>IN01668</t>
  </si>
  <si>
    <t>IN00555</t>
  </si>
  <si>
    <t>IN00492</t>
  </si>
  <si>
    <t>IN00577</t>
  </si>
  <si>
    <t>IN00112</t>
  </si>
  <si>
    <t>IN01523</t>
  </si>
  <si>
    <t>IN01040</t>
  </si>
  <si>
    <t>IN01146</t>
  </si>
  <si>
    <t>IN01093</t>
  </si>
  <si>
    <t>IN00339</t>
  </si>
  <si>
    <t>IN00139</t>
  </si>
  <si>
    <t>IN00493</t>
  </si>
  <si>
    <t>IN01661</t>
  </si>
  <si>
    <t>IN00901</t>
  </si>
  <si>
    <t>IN00496</t>
  </si>
  <si>
    <t>IN00771</t>
  </si>
  <si>
    <t>IN01529</t>
  </si>
  <si>
    <t>IN00780</t>
  </si>
  <si>
    <t>IN00056</t>
  </si>
  <si>
    <t>IN00247</t>
  </si>
  <si>
    <t>IN01384</t>
  </si>
  <si>
    <t>IN00854</t>
  </si>
  <si>
    <t>IN01208</t>
  </si>
  <si>
    <t>IN01072</t>
  </si>
  <si>
    <t>IN00524</t>
  </si>
  <si>
    <t>IN01094</t>
  </si>
  <si>
    <t>IN00303</t>
  </si>
  <si>
    <t>IN01199</t>
  </si>
  <si>
    <t>IN00431</t>
  </si>
  <si>
    <t>IN00302</t>
  </si>
  <si>
    <t>IN01091</t>
  </si>
  <si>
    <t>IN00037</t>
  </si>
  <si>
    <t>IN01352</t>
  </si>
  <si>
    <t>IN00384</t>
  </si>
  <si>
    <t>IN01575</t>
  </si>
  <si>
    <t>IN00598</t>
  </si>
  <si>
    <t>IN00356</t>
  </si>
  <si>
    <t>IN01010</t>
  </si>
  <si>
    <t>IN00700</t>
  </si>
  <si>
    <t>IN01606</t>
  </si>
  <si>
    <t>IN00947</t>
  </si>
  <si>
    <t>IN01015</t>
  </si>
  <si>
    <t>IN00932</t>
  </si>
  <si>
    <t>IN01162</t>
  </si>
  <si>
    <t>IN00532</t>
  </si>
  <si>
    <t>IN01747</t>
  </si>
  <si>
    <t>IN00919</t>
  </si>
  <si>
    <t>IN01437</t>
  </si>
  <si>
    <t>IN01373</t>
  </si>
  <si>
    <t>IN01227</t>
  </si>
  <si>
    <t>IN01551</t>
  </si>
  <si>
    <t>IN00151</t>
  </si>
  <si>
    <t>IN00456</t>
  </si>
  <si>
    <t>IN00416</t>
  </si>
  <si>
    <t>IN01219</t>
  </si>
  <si>
    <t>IN01745</t>
  </si>
  <si>
    <t>IN00573</t>
  </si>
  <si>
    <t>IN01366</t>
  </si>
  <si>
    <t>IN01397</t>
  </si>
  <si>
    <t>IN00283</t>
  </si>
  <si>
    <t>IN01300</t>
  </si>
  <si>
    <t>IN00558</t>
  </si>
  <si>
    <t>IN00242</t>
  </si>
  <si>
    <t>IN00638</t>
  </si>
  <si>
    <t>IN01073</t>
  </si>
  <si>
    <t>IN01793</t>
  </si>
  <si>
    <t>IN00731</t>
  </si>
  <si>
    <t>IN01126</t>
  </si>
  <si>
    <t>IN01031</t>
  </si>
  <si>
    <t>IN01065</t>
  </si>
  <si>
    <t>IN01471</t>
  </si>
  <si>
    <t>IN01623</t>
  </si>
  <si>
    <t>IN00865</t>
  </si>
  <si>
    <t>IN00452</t>
  </si>
  <si>
    <t>IN01570</t>
  </si>
  <si>
    <t>IN01379</t>
  </si>
  <si>
    <t>IN00872</t>
  </si>
  <si>
    <t>IN00020</t>
  </si>
  <si>
    <t>IN01541</t>
  </si>
  <si>
    <t>IN00692</t>
  </si>
  <si>
    <t>IN01488</t>
  </si>
  <si>
    <t>IN01796</t>
  </si>
  <si>
    <t>IN01336</t>
  </si>
  <si>
    <t>IN01182</t>
  </si>
  <si>
    <t>IN01338</t>
  </si>
  <si>
    <t>IN01367</t>
  </si>
  <si>
    <t>IN00713</t>
  </si>
  <si>
    <t>IN01152</t>
  </si>
  <si>
    <t>IN00754</t>
  </si>
  <si>
    <t>IN01731</t>
  </si>
  <si>
    <t>IN00681</t>
  </si>
  <si>
    <t>IN00893</t>
  </si>
  <si>
    <t>IN00117</t>
  </si>
  <si>
    <t>IN01273</t>
  </si>
  <si>
    <t>IN01447</t>
  </si>
  <si>
    <t>IN01610</t>
  </si>
  <si>
    <t>IN00896</t>
  </si>
  <si>
    <t>IN01533</t>
  </si>
  <si>
    <t>IN00300</t>
  </si>
  <si>
    <t>IN01737</t>
  </si>
  <si>
    <t>IN00871</t>
  </si>
  <si>
    <t>IN00033</t>
  </si>
  <si>
    <t>IN01077</t>
  </si>
  <si>
    <t>IN00916</t>
  </si>
  <si>
    <t>IN00929</t>
  </si>
  <si>
    <t>IN00608</t>
  </si>
  <si>
    <t>IN00996</t>
  </si>
  <si>
    <t>IN00822</t>
  </si>
  <si>
    <t>IN00520</t>
  </si>
  <si>
    <t>IN00163</t>
  </si>
  <si>
    <t>IN00646</t>
  </si>
  <si>
    <t>IN01557</t>
  </si>
  <si>
    <t>IN00975</t>
  </si>
  <si>
    <t>IN00785</t>
  </si>
  <si>
    <t>IN00783</t>
  </si>
  <si>
    <t>IN01203</t>
  </si>
  <si>
    <t>IN01260</t>
  </si>
  <si>
    <t>IN01581</t>
  </si>
  <si>
    <t>IN01390</t>
  </si>
  <si>
    <t>IN01474</t>
  </si>
  <si>
    <t>IN00051</t>
  </si>
  <si>
    <t>IN01470</t>
  </si>
  <si>
    <t>IN00079</t>
  </si>
  <si>
    <t>IN01649</t>
  </si>
  <si>
    <t>IN01653</t>
  </si>
  <si>
    <t>IN00073</t>
  </si>
  <si>
    <t>IN01660</t>
  </si>
  <si>
    <t>IN00144</t>
  </si>
  <si>
    <t>IN00101</t>
  </si>
  <si>
    <t>IN00900</t>
  </si>
  <si>
    <t>IN00654</t>
  </si>
  <si>
    <t>IN01147</t>
  </si>
  <si>
    <t>IN01004</t>
  </si>
  <si>
    <t>IN00429</t>
  </si>
  <si>
    <t>IN00311</t>
  </si>
  <si>
    <t>IN01284</t>
  </si>
  <si>
    <t>IN00308</t>
  </si>
  <si>
    <t>IN01294</t>
  </si>
  <si>
    <t>IN01295</t>
  </si>
  <si>
    <t>IN00653</t>
  </si>
  <si>
    <t>IN00966</t>
  </si>
  <si>
    <t>IN01323</t>
  </si>
  <si>
    <t>IN01325</t>
  </si>
  <si>
    <t>IN00482</t>
  </si>
  <si>
    <t>IN01138</t>
  </si>
  <si>
    <t>IN00561</t>
  </si>
  <si>
    <t>IN00910</t>
  </si>
  <si>
    <t>IN01103</t>
  </si>
  <si>
    <t>IN00192</t>
  </si>
  <si>
    <t>IN00981</t>
  </si>
  <si>
    <t>IN01216</t>
  </si>
  <si>
    <t>IN00683</t>
  </si>
  <si>
    <t>IN00685</t>
  </si>
  <si>
    <t>IN00772</t>
  </si>
  <si>
    <t>IN01707</t>
  </si>
  <si>
    <t>IN01672</t>
  </si>
  <si>
    <t>IN00290</t>
  </si>
  <si>
    <t>IN01789</t>
  </si>
  <si>
    <t>IN01155</t>
  </si>
  <si>
    <t>IN00516</t>
  </si>
  <si>
    <t>IN01422</t>
  </si>
  <si>
    <t>IN01423</t>
  </si>
  <si>
    <t>IN00432</t>
  </si>
  <si>
    <t>IN00428</t>
  </si>
  <si>
    <t>IN01674</t>
  </si>
  <si>
    <t>IN00463</t>
  </si>
  <si>
    <t>IN00957</t>
  </si>
  <si>
    <t>IN01754</t>
  </si>
  <si>
    <t>IN01619</t>
  </si>
  <si>
    <t>IN01483</t>
  </si>
  <si>
    <t>IN00545</t>
  </si>
  <si>
    <t>IN00390</t>
  </si>
  <si>
    <t>IN01563</t>
  </si>
  <si>
    <t>IN00126</t>
  </si>
  <si>
    <t>IN01112</t>
  </si>
  <si>
    <t>IN01412</t>
  </si>
  <si>
    <t>IN01254</t>
  </si>
  <si>
    <t>IN00336</t>
  </si>
  <si>
    <t>IN01067</t>
  </si>
  <si>
    <t>IN01651</t>
  </si>
  <si>
    <t>IN01635</t>
  </si>
  <si>
    <t>IN00240</t>
  </si>
  <si>
    <t>IN00786</t>
  </si>
  <si>
    <t>IN00123</t>
  </si>
  <si>
    <t>IN00791</t>
  </si>
  <si>
    <t>IN01225</t>
  </si>
  <si>
    <t>IN01039</t>
  </si>
  <si>
    <t>IN01249</t>
  </si>
  <si>
    <t>IN01620</t>
  </si>
  <si>
    <t>IN01451</t>
  </si>
  <si>
    <t>IN00878</t>
  </si>
  <si>
    <t>IN00437</t>
  </si>
  <si>
    <t>IN00208</t>
  </si>
  <si>
    <t>IN00995</t>
  </si>
  <si>
    <t>IN01791</t>
  </si>
  <si>
    <t>IN00989</t>
  </si>
  <si>
    <t>IN00182</t>
  </si>
  <si>
    <t>IN00560</t>
  </si>
  <si>
    <t>IN01097</t>
  </si>
  <si>
    <t>IN01387</t>
  </si>
  <si>
    <t>IN00351</t>
  </si>
  <si>
    <t>IN01521</t>
  </si>
  <si>
    <t>IN00436</t>
  </si>
  <si>
    <t>IN01559</t>
  </si>
  <si>
    <t>IN01018</t>
  </si>
  <si>
    <t>IN00693</t>
  </si>
  <si>
    <t>IN00389</t>
  </si>
  <si>
    <t>IN01277</t>
  </si>
  <si>
    <t>IN01499</t>
  </si>
  <si>
    <t>IN00720</t>
  </si>
  <si>
    <t>IN00258</t>
  </si>
  <si>
    <t>IN01115</t>
  </si>
  <si>
    <t>IN01420</t>
  </si>
  <si>
    <t>IN00675</t>
  </si>
  <si>
    <t>IN00363</t>
  </si>
  <si>
    <t>IN00105</t>
  </si>
  <si>
    <t>IN01613</t>
  </si>
  <si>
    <t>IN00988</t>
  </si>
  <si>
    <t>IN01461</t>
  </si>
  <si>
    <t>IN00387</t>
  </si>
  <si>
    <t>IN01463</t>
  </si>
  <si>
    <t>IN00962</t>
  </si>
  <si>
    <t>IN01034</t>
  </si>
  <si>
    <t>IN01356</t>
  </si>
  <si>
    <t>IN00517</t>
  </si>
  <si>
    <t>IN01780</t>
  </si>
  <si>
    <t>IN00010</t>
  </si>
  <si>
    <t>IN00503</t>
  </si>
  <si>
    <t>IN01776</t>
  </si>
  <si>
    <t>IN01516</t>
  </si>
  <si>
    <t>IN00197</t>
  </si>
  <si>
    <t>IN00480</t>
  </si>
  <si>
    <t>IN00244</t>
  </si>
  <si>
    <t>IN00613</t>
  </si>
  <si>
    <t>IN00680</t>
  </si>
  <si>
    <t>IN00170</t>
  </si>
  <si>
    <t>IN00052</t>
  </si>
  <si>
    <t>IN01421</t>
  </si>
  <si>
    <t>IN00272</t>
  </si>
  <si>
    <t>IN01252</t>
  </si>
  <si>
    <t>IN01495</t>
  </si>
  <si>
    <t>IN00411</t>
  </si>
  <si>
    <t>IN00671</t>
  </si>
  <si>
    <t>IN01481</t>
  </si>
  <si>
    <t>IN01070</t>
  </si>
  <si>
    <t>IN00777</t>
  </si>
  <si>
    <t>IN00979</t>
  </si>
  <si>
    <t>IN01786</t>
  </si>
  <si>
    <t>IN01772</t>
  </si>
  <si>
    <t>IN01768</t>
  </si>
  <si>
    <t>IN00024</t>
  </si>
  <si>
    <t>IN00612</t>
  </si>
  <si>
    <t>IN00476</t>
  </si>
  <si>
    <t>IN00656</t>
  </si>
  <si>
    <t>IN00465</t>
  </si>
  <si>
    <t>IN01697</t>
  </si>
  <si>
    <t>IN00730</t>
  </si>
  <si>
    <t>IN00058</t>
  </si>
  <si>
    <t>IN00984</t>
  </si>
  <si>
    <t>IN00061</t>
  </si>
  <si>
    <t>IN00425</t>
  </si>
  <si>
    <t>IN01513</t>
  </si>
  <si>
    <t>IN01656</t>
  </si>
  <si>
    <t>IN00840</t>
  </si>
  <si>
    <t>IN00874</t>
  </si>
  <si>
    <t>IN01615</t>
  </si>
  <si>
    <t>IN00890</t>
  </si>
  <si>
    <t>IN00935</t>
  </si>
  <si>
    <t>IN01595</t>
  </si>
  <si>
    <t>IN00943</t>
  </si>
  <si>
    <t>IN00956</t>
  </si>
  <si>
    <t>IN00755</t>
  </si>
  <si>
    <t>IN01107</t>
  </si>
  <si>
    <t>IN00188</t>
  </si>
  <si>
    <t>IN01233</t>
  </si>
  <si>
    <t>IN01431</t>
  </si>
  <si>
    <t>IN01246</t>
  </si>
  <si>
    <t>IN01428</t>
  </si>
  <si>
    <t>IN01151</t>
  </si>
  <si>
    <t>IN00238</t>
  </si>
  <si>
    <t>IN01372</t>
  </si>
  <si>
    <t>IN01247</t>
  </si>
  <si>
    <t>IN01269</t>
  </si>
  <si>
    <t>IN01223</t>
  </si>
  <si>
    <t>IN01456</t>
  </si>
  <si>
    <t>IN00246</t>
  </si>
  <si>
    <t>IN01343</t>
  </si>
  <si>
    <t>IN01201</t>
  </si>
  <si>
    <t>IN01377</t>
  </si>
  <si>
    <t>IN01388</t>
  </si>
  <si>
    <t>IN00268</t>
  </si>
  <si>
    <t>IN01555</t>
  </si>
  <si>
    <t>IN00501</t>
  </si>
  <si>
    <t>IN00641</t>
  </si>
  <si>
    <t>IN01729</t>
  </si>
  <si>
    <t>IN00410</t>
  </si>
  <si>
    <t>IN00647</t>
  </si>
  <si>
    <t>IN01560</t>
  </si>
  <si>
    <t>IN01743</t>
  </si>
  <si>
    <t>IN00553</t>
  </si>
  <si>
    <t>IN00834</t>
  </si>
  <si>
    <t>IN00340</t>
  </si>
  <si>
    <t>IN01164</t>
  </si>
  <si>
    <t>IN00985</t>
  </si>
  <si>
    <t>IN01573</t>
  </si>
  <si>
    <t>IN01574</t>
  </si>
  <si>
    <t>IN01472</t>
  </si>
  <si>
    <t>IN00898</t>
  </si>
  <si>
    <t>IN01704</t>
  </si>
  <si>
    <t>IN00902</t>
  </si>
  <si>
    <t>IN00490</t>
  </si>
  <si>
    <t>IN00234</t>
  </si>
  <si>
    <t>IN00342</t>
  </si>
  <si>
    <t>IN01597</t>
  </si>
  <si>
    <t>IN00210</t>
  </si>
  <si>
    <t>IN00736</t>
  </si>
  <si>
    <t>IN00737</t>
  </si>
  <si>
    <t>IN00688</t>
  </si>
  <si>
    <t>IN01411</t>
  </si>
  <si>
    <t>IN00751</t>
  </si>
  <si>
    <t>IN01101</t>
  </si>
  <si>
    <t>IN00167</t>
  </si>
  <si>
    <t>IN01508</t>
  </si>
  <si>
    <t>IN00134</t>
  </si>
  <si>
    <t>IN00670</t>
  </si>
  <si>
    <t>IN01240</t>
  </si>
  <si>
    <t>IN00329</t>
  </si>
  <si>
    <t>IN00469</t>
  </si>
  <si>
    <t>IN00423</t>
  </si>
  <si>
    <t>IN01441</t>
  </si>
  <si>
    <t>IN00451</t>
  </si>
  <si>
    <t>IN01198</t>
  </si>
  <si>
    <t>IN00596</t>
  </si>
  <si>
    <t>IN00691</t>
  </si>
  <si>
    <t>IN00717</t>
  </si>
  <si>
    <t>IN00084</t>
  </si>
  <si>
    <t>IN00595</t>
  </si>
  <si>
    <t>IN00375</t>
  </si>
  <si>
    <t>IN01221</t>
  </si>
  <si>
    <t>IN00648</t>
  </si>
  <si>
    <t>IN00734</t>
  </si>
  <si>
    <t>IN00798</t>
  </si>
  <si>
    <t>IN00749</t>
  </si>
  <si>
    <t>IN01318</t>
  </si>
  <si>
    <t>IN00621</t>
  </si>
  <si>
    <t>IN00627</t>
  </si>
  <si>
    <t>IN01680</t>
  </si>
  <si>
    <t>IN01678</t>
  </si>
  <si>
    <t>IN01676</t>
  </si>
  <si>
    <t>IN00634</t>
  </si>
  <si>
    <t>IN00825</t>
  </si>
  <si>
    <t>IN00065</t>
  </si>
  <si>
    <t>IN01298</t>
  </si>
  <si>
    <t>IN01303</t>
  </si>
  <si>
    <t>IN00054</t>
  </si>
  <si>
    <t>IN00803</t>
  </si>
  <si>
    <t>IN00698</t>
  </si>
  <si>
    <t>IN01362</t>
  </si>
  <si>
    <t>IN01001</t>
  </si>
  <si>
    <t>IN00142</t>
  </si>
  <si>
    <t>IN01344</t>
  </si>
  <si>
    <t>IN01593</t>
  </si>
  <si>
    <t>IN01332</t>
  </si>
  <si>
    <t>IN01120</t>
  </si>
  <si>
    <t>IN01531</t>
  </si>
  <si>
    <t>IN01784</t>
  </si>
  <si>
    <t>IN01792</t>
  </si>
  <si>
    <t>IN00992</t>
  </si>
  <si>
    <t>IN01368</t>
  </si>
  <si>
    <t>IN01503</t>
  </si>
  <si>
    <t>IN01370</t>
  </si>
  <si>
    <t>IN00027</t>
  </si>
  <si>
    <t>IN01114</t>
  </si>
  <si>
    <t>IN00216</t>
  </si>
  <si>
    <t>IN00415</t>
  </si>
  <si>
    <t>IN01644</t>
  </si>
  <si>
    <t>IN00811</t>
  </si>
  <si>
    <t>IN00002</t>
  </si>
  <si>
    <t>IN01779</t>
  </si>
  <si>
    <t>IN01723</t>
  </si>
  <si>
    <t>IN00069</t>
  </si>
  <si>
    <t>IN01781</t>
  </si>
  <si>
    <t>IN00768</t>
  </si>
  <si>
    <t>IN01433</t>
  </si>
  <si>
    <t>IN00122</t>
  </si>
  <si>
    <t>IN01291</t>
  </si>
  <si>
    <t>IN01055</t>
  </si>
  <si>
    <t>IN00522</t>
  </si>
  <si>
    <t>IN01482</t>
  </si>
  <si>
    <t>IN01076</t>
  </si>
  <si>
    <t>IN00138</t>
  </si>
  <si>
    <t>IN00184</t>
  </si>
  <si>
    <t>IN01256</t>
  </si>
  <si>
    <t>IN01285</t>
  </si>
  <si>
    <t>IN01524</t>
  </si>
  <si>
    <t>IN00523</t>
  </si>
  <si>
    <t>IN00938</t>
  </si>
  <si>
    <t>IN01005</t>
  </si>
  <si>
    <t>IN00839</t>
  </si>
  <si>
    <t>IN00385</t>
  </si>
  <si>
    <t>IN01329</t>
  </si>
  <si>
    <t>IN00978</t>
  </si>
  <si>
    <t>IN01167</t>
  </si>
  <si>
    <t>IN00481</t>
  </si>
  <si>
    <t>IN00597</t>
  </si>
  <si>
    <t>IN00019</t>
  </si>
  <si>
    <t>IN01626</t>
  </si>
  <si>
    <t>IN00196</t>
  </si>
  <si>
    <t>IN01568</t>
  </si>
  <si>
    <t>IN01476</t>
  </si>
  <si>
    <t>IN01468</t>
  </si>
  <si>
    <t>IN00914</t>
  </si>
  <si>
    <t>IN00591</t>
  </si>
  <si>
    <t>IN00089</t>
  </si>
  <si>
    <t>IN00578</t>
  </si>
  <si>
    <t>IN00494</t>
  </si>
  <si>
    <t>IN00527</t>
  </si>
  <si>
    <t>IN00145</t>
  </si>
  <si>
    <t>IN01492</t>
  </si>
  <si>
    <t>IN00162</t>
  </si>
  <si>
    <t>IN01226</t>
  </si>
  <si>
    <t>IN01173</t>
  </si>
  <si>
    <t>IN00569</t>
  </si>
  <si>
    <t>IN01282</t>
  </si>
  <si>
    <t>IN00209</t>
  </si>
  <si>
    <t>IN01265</t>
  </si>
  <si>
    <t>IN00728</t>
  </si>
  <si>
    <t>IN01274</t>
  </si>
  <si>
    <t>IN00948</t>
  </si>
  <si>
    <t>IN01465</t>
  </si>
  <si>
    <t>IN01799</t>
  </si>
  <si>
    <t>IN01068</t>
  </si>
  <si>
    <t>IN00133</t>
  </si>
  <si>
    <t>IN01037</t>
  </si>
  <si>
    <t>IN00475</t>
  </si>
  <si>
    <t>IN01002</t>
  </si>
  <si>
    <t>IN00824</t>
  </si>
  <si>
    <t>IN00403</t>
  </si>
  <si>
    <t>IN00414</t>
  </si>
  <si>
    <t>IN00417</t>
  </si>
  <si>
    <t>IN01648</t>
  </si>
  <si>
    <t>IN00544</t>
  </si>
  <si>
    <t>IN00542</t>
  </si>
  <si>
    <t>IN01143</t>
  </si>
  <si>
    <t>IN01402</t>
  </si>
  <si>
    <t>IN00796</t>
  </si>
  <si>
    <t>IN00130</t>
  </si>
  <si>
    <t>IN01489</t>
  </si>
  <si>
    <t>IN01741</t>
  </si>
  <si>
    <t>IN00651</t>
  </si>
  <si>
    <t>IN00557</t>
  </si>
  <si>
    <t>IN00235</t>
  </si>
  <si>
    <t>IN00286</t>
  </si>
  <si>
    <t>IN01351</t>
  </si>
  <si>
    <t>IN01019</t>
  </si>
  <si>
    <t>IN00782</t>
  </si>
  <si>
    <t>IN00199</t>
  </si>
  <si>
    <t>IN00485</t>
  </si>
  <si>
    <t>IN00510</t>
  </si>
  <si>
    <t>IN01720</t>
  </si>
  <si>
    <t>IN00473</t>
  </si>
  <si>
    <t>IN00629</t>
  </si>
  <si>
    <t>IN00556</t>
  </si>
  <si>
    <t>IN00470</t>
  </si>
  <si>
    <t>IN00176</t>
  </si>
  <si>
    <t>IN01347</t>
  </si>
  <si>
    <t>IN01790</t>
  </si>
  <si>
    <t>IN00195</t>
  </si>
  <si>
    <t>IN00632</t>
  </si>
  <si>
    <t>IN00794</t>
  </si>
  <si>
    <t>IN00271</t>
  </si>
  <si>
    <t>IN00376</t>
  </si>
  <si>
    <t>IN00085</t>
  </si>
  <si>
    <t>IN01460</t>
  </si>
  <si>
    <t>IN00359</t>
  </si>
  <si>
    <t>IN00858</t>
  </si>
  <si>
    <t>IN00976</t>
  </si>
  <si>
    <t>IN01627</t>
  </si>
  <si>
    <t>IN00400</t>
  </si>
  <si>
    <t>IN01486</t>
  </si>
  <si>
    <t>IN01231</t>
  </si>
  <si>
    <t>IN01556</t>
  </si>
  <si>
    <t>IN01007</t>
  </si>
  <si>
    <t>IN01599</t>
  </si>
  <si>
    <t>IN00331</t>
  </si>
  <si>
    <t>IN01237</t>
  </si>
  <si>
    <t>IN00332</t>
  </si>
  <si>
    <t>IN00925</t>
  </si>
  <si>
    <t>IN01044</t>
  </si>
  <si>
    <t>IN01045</t>
  </si>
  <si>
    <t>IN01063</t>
  </si>
  <si>
    <t>IN00710</t>
  </si>
  <si>
    <t>IN01500</t>
  </si>
  <si>
    <t>IN00767</t>
  </si>
  <si>
    <t>IN01117</t>
  </si>
  <si>
    <t>IN01432</t>
  </si>
  <si>
    <t>IN01467</t>
  </si>
  <si>
    <t>IN01756</t>
  </si>
  <si>
    <t>IN00135</t>
  </si>
  <si>
    <t>IN01087</t>
  </si>
  <si>
    <t>IN00125</t>
  </si>
  <si>
    <t>IN01025</t>
  </si>
  <si>
    <t>IN01539</t>
  </si>
  <si>
    <t>IN01569</t>
  </si>
  <si>
    <t>IN01353</t>
  </si>
  <si>
    <t>IN01787</t>
  </si>
  <si>
    <t>IN01554</t>
  </si>
  <si>
    <t>IN01553</t>
  </si>
  <si>
    <t>IN00338</t>
  </si>
  <si>
    <t>IN01350</t>
  </si>
  <si>
    <t>IN01496</t>
  </si>
  <si>
    <t>IN00346</t>
  </si>
  <si>
    <t>IN01591</t>
  </si>
  <si>
    <t>IN01192</t>
  </si>
  <si>
    <t>IN00070</t>
  </si>
  <si>
    <t>IN00369</t>
  </si>
  <si>
    <t>IN00814</t>
  </si>
  <si>
    <t>IN01443</t>
  </si>
  <si>
    <t>IN01238</t>
  </si>
  <si>
    <t>IN00829</t>
  </si>
  <si>
    <t>IN01662</t>
  </si>
  <si>
    <t>IN01438</t>
  </si>
  <si>
    <t>IN01312</t>
  </si>
  <si>
    <t>IN00793</t>
  </si>
  <si>
    <t>IN00202</t>
  </si>
  <si>
    <t>IN01261</t>
  </si>
  <si>
    <t>IN01290</t>
  </si>
  <si>
    <t>IN00741</t>
  </si>
  <si>
    <t>IN00876</t>
  </si>
  <si>
    <t>IN00221</t>
  </si>
  <si>
    <t>IN00769</t>
  </si>
  <si>
    <t>IN00441</t>
  </si>
  <si>
    <t>IN00706</t>
  </si>
  <si>
    <t>IN00292</t>
  </si>
  <si>
    <t>IN01109</t>
  </si>
  <si>
    <t>IN01028</t>
  </si>
  <si>
    <t>IN00007</t>
  </si>
  <si>
    <t>IN00774</t>
  </si>
  <si>
    <t>IN00526</t>
  </si>
  <si>
    <t>IN01243</t>
  </si>
  <si>
    <t>IN00518</t>
  </si>
  <si>
    <t>IN01528</t>
  </si>
  <si>
    <t>IN00805</t>
  </si>
  <si>
    <t>IN01647</t>
  </si>
  <si>
    <t>IN01191</t>
  </si>
  <si>
    <t>IN01746</t>
  </si>
  <si>
    <t>IN00453</t>
  </si>
  <si>
    <t>IN00951</t>
  </si>
  <si>
    <t>IN00952</t>
  </si>
  <si>
    <t>IN00906</t>
  </si>
  <si>
    <t>IN00261</t>
  </si>
  <si>
    <t>IN00180</t>
  </si>
  <si>
    <t>IN00420</t>
  </si>
  <si>
    <t>IN00495</t>
  </si>
  <si>
    <t>IN00022</t>
  </si>
  <si>
    <t>IN00399</t>
  </si>
  <si>
    <t>IN00401</t>
  </si>
  <si>
    <t>IN00990</t>
  </si>
  <si>
    <t>IN01156</t>
  </si>
  <si>
    <t>IN00841</t>
  </si>
  <si>
    <t>IN00499</t>
  </si>
  <si>
    <t>IN00502</t>
  </si>
  <si>
    <t>IN00262</t>
  </si>
  <si>
    <t>IN00702</t>
  </si>
  <si>
    <t>Reference / PO No.</t>
  </si>
  <si>
    <t>Received By</t>
  </si>
  <si>
    <t>PO-202609-2744</t>
  </si>
  <si>
    <t>Staff A</t>
  </si>
  <si>
    <t>PO-202609-2983</t>
  </si>
  <si>
    <t>PO-202609-4558</t>
  </si>
  <si>
    <t>Staff C</t>
  </si>
  <si>
    <t>PO-202609-4288</t>
  </si>
  <si>
    <t>PO-202609-1515</t>
  </si>
  <si>
    <t>PO-202609-2422</t>
  </si>
  <si>
    <t>PO-202609-2458</t>
  </si>
  <si>
    <t>PO-202609-4032</t>
  </si>
  <si>
    <t>Staff D</t>
  </si>
  <si>
    <t>PO-202609-2910</t>
  </si>
  <si>
    <t>PO-202609-1692</t>
  </si>
  <si>
    <t>PO-202609-1530</t>
  </si>
  <si>
    <t>Staff B</t>
  </si>
  <si>
    <t>PO-202609-2722</t>
  </si>
  <si>
    <t>PO-202609-6771</t>
  </si>
  <si>
    <t>PO-202609-4592</t>
  </si>
  <si>
    <t>PO-202609-4502</t>
  </si>
  <si>
    <t>PO-202609-3019</t>
  </si>
  <si>
    <t>PO-202609-3410</t>
  </si>
  <si>
    <t>PO-202609-3717</t>
  </si>
  <si>
    <t>PO-202609-9489</t>
  </si>
  <si>
    <t>PO-202609-6071</t>
  </si>
  <si>
    <t>PO-202609-4188</t>
  </si>
  <si>
    <t>PO-202609-7906</t>
  </si>
  <si>
    <t>PO-202609-4172</t>
  </si>
  <si>
    <t>PO-202609-4365</t>
  </si>
  <si>
    <t>PO-202609-2435</t>
  </si>
  <si>
    <t>PO-202609-3028</t>
  </si>
  <si>
    <t>PO-202609-1070</t>
  </si>
  <si>
    <t>PO-202609-2274</t>
  </si>
  <si>
    <t>PO-202609-5799</t>
  </si>
  <si>
    <t>PO-202609-4089</t>
  </si>
  <si>
    <t>PO-202609-1195</t>
  </si>
  <si>
    <t>PO-202609-3369</t>
  </si>
  <si>
    <t>PO-202609-2878</t>
  </si>
  <si>
    <t>PO-202609-2375</t>
  </si>
  <si>
    <t>PO-202609-1364</t>
  </si>
  <si>
    <t>PO-202609-8698</t>
  </si>
  <si>
    <t>PO-202609-6862</t>
  </si>
  <si>
    <t>PO-202609-2897</t>
  </si>
  <si>
    <t>PO-202609-7269</t>
  </si>
  <si>
    <t>PO-202609-3768</t>
  </si>
  <si>
    <t>PO-202609-1377</t>
  </si>
  <si>
    <t>PO-202609-2205</t>
  </si>
  <si>
    <t>PO-202609-8764</t>
  </si>
  <si>
    <t>PO-202609-7134</t>
  </si>
  <si>
    <t>PO-202609-6705</t>
  </si>
  <si>
    <t>PO-202609-9436</t>
  </si>
  <si>
    <t>PO-202609-4912</t>
  </si>
  <si>
    <t>PO-202609-3523</t>
  </si>
  <si>
    <t>PO-202609-9182</t>
  </si>
  <si>
    <t>PO-202609-7102</t>
  </si>
  <si>
    <t>PO-202609-1292</t>
  </si>
  <si>
    <t>PO-202609-1222</t>
  </si>
  <si>
    <t>PO-202609-5421</t>
  </si>
  <si>
    <t>PO-202609-8567</t>
  </si>
  <si>
    <t>PO-202609-3321</t>
  </si>
  <si>
    <t>PO-202609-4783</t>
  </si>
  <si>
    <t>PO-202609-9713</t>
  </si>
  <si>
    <t>PO-202609-7896</t>
  </si>
  <si>
    <t>PO-202609-8488</t>
  </si>
  <si>
    <t>PO-202609-4371</t>
  </si>
  <si>
    <t>PO-202609-4695</t>
  </si>
  <si>
    <t>PO-202609-8787</t>
  </si>
  <si>
    <t>PO-202609-4241</t>
  </si>
  <si>
    <t>PO-202609-2663</t>
  </si>
  <si>
    <t>PO-202609-9192</t>
  </si>
  <si>
    <t>PO-202609-7264</t>
  </si>
  <si>
    <t>PO-202609-3721</t>
  </si>
  <si>
    <t>PO-202609-1439</t>
  </si>
  <si>
    <t>PO-202609-1931</t>
  </si>
  <si>
    <t>PO-202609-7470</t>
  </si>
  <si>
    <t>PO-202609-6523</t>
  </si>
  <si>
    <t>PO-202609-9773</t>
  </si>
  <si>
    <t>PO-202609-6622</t>
  </si>
  <si>
    <t>PO-202609-2753</t>
  </si>
  <si>
    <t>PO-202609-3091</t>
  </si>
  <si>
    <t>PO-202609-3072</t>
  </si>
  <si>
    <t>PO-202609-3639</t>
  </si>
  <si>
    <t>PO-202609-1971</t>
  </si>
  <si>
    <t>PO-202609-8028</t>
  </si>
  <si>
    <t>PO-202609-2763</t>
  </si>
  <si>
    <t>PO-202609-6480</t>
  </si>
  <si>
    <t>PO-202609-9904</t>
  </si>
  <si>
    <t>PO-202609-3539</t>
  </si>
  <si>
    <t>PO-202609-9923</t>
  </si>
  <si>
    <t>PO-202609-6599</t>
  </si>
  <si>
    <t>PO-202609-5717</t>
  </si>
  <si>
    <t>PO-202609-3587</t>
  </si>
  <si>
    <t>PO-202609-5550</t>
  </si>
  <si>
    <t>PO-202609-7003</t>
  </si>
  <si>
    <t>PO-202609-4154</t>
  </si>
  <si>
    <t>PO-202609-7464</t>
  </si>
  <si>
    <t>PO-202609-7304</t>
  </si>
  <si>
    <t>PO-202609-2022</t>
  </si>
  <si>
    <t>PO-202609-2489</t>
  </si>
  <si>
    <t>PO-202609-1601</t>
  </si>
  <si>
    <t>PO-202609-9451</t>
  </si>
  <si>
    <t>PO-202609-1462</t>
  </si>
  <si>
    <t>PO-202609-9456</t>
  </si>
  <si>
    <t>PO-202609-2314</t>
  </si>
  <si>
    <t>PO-202609-8204</t>
  </si>
  <si>
    <t>PO-202609-1328</t>
  </si>
  <si>
    <t>PO-202609-5146</t>
  </si>
  <si>
    <t>PO-202609-4129</t>
  </si>
  <si>
    <t>PO-202609-6827</t>
  </si>
  <si>
    <t>PO-202609-9529</t>
  </si>
  <si>
    <t>PO-202609-6460</t>
  </si>
  <si>
    <t>PO-202609-2517</t>
  </si>
  <si>
    <t>PO-202609-7780</t>
  </si>
  <si>
    <t>PO-202609-1267</t>
  </si>
  <si>
    <t>PO-202609-5903</t>
  </si>
  <si>
    <t>PO-202609-1245</t>
  </si>
  <si>
    <t>PO-202609-1920</t>
  </si>
  <si>
    <t>PO-202609-9261</t>
  </si>
  <si>
    <t>PO-202609-3607</t>
  </si>
  <si>
    <t>PO-202609-6424</t>
  </si>
  <si>
    <t>PO-202609-6126</t>
  </si>
  <si>
    <t>PO-202609-3604</t>
  </si>
  <si>
    <t>PO-202609-8489</t>
  </si>
  <si>
    <t>PO-202609-1311</t>
  </si>
  <si>
    <t>PO-202609-9037</t>
  </si>
  <si>
    <t>PO-202609-1669</t>
  </si>
  <si>
    <t>PO-202609-2803</t>
  </si>
  <si>
    <t>PO-202609-3862</t>
  </si>
  <si>
    <t>PO-202609-7673</t>
  </si>
  <si>
    <t>PO-202609-5056</t>
  </si>
  <si>
    <t>PO-202609-8300</t>
  </si>
  <si>
    <t>PO-202609-4342</t>
  </si>
  <si>
    <t>PO-202609-8615</t>
  </si>
  <si>
    <t>PO-202609-6294</t>
  </si>
  <si>
    <t>PO-202609-4000</t>
  </si>
  <si>
    <t>PO-202609-8264</t>
  </si>
  <si>
    <t>PO-202609-9118</t>
  </si>
  <si>
    <t>PO-202609-6825</t>
  </si>
  <si>
    <t>PO-202609-9444</t>
  </si>
  <si>
    <t>PO-202609-8445</t>
  </si>
  <si>
    <t>PO-202609-2229</t>
  </si>
  <si>
    <t>PO-202609-9765</t>
  </si>
  <si>
    <t>PO-202609-4440</t>
  </si>
  <si>
    <t>PO-202609-8352</t>
  </si>
  <si>
    <t>PO-202609-6237</t>
  </si>
  <si>
    <t>PO-202609-8736</t>
  </si>
  <si>
    <t>PO-202609-3250</t>
  </si>
  <si>
    <t>PO-202609-3881</t>
  </si>
  <si>
    <t>PO-202609-4262</t>
  </si>
  <si>
    <t>PO-202609-9369</t>
  </si>
  <si>
    <t>PO-202609-2684</t>
  </si>
  <si>
    <t>PO-202609-9495</t>
  </si>
  <si>
    <t>PO-202609-1607</t>
  </si>
  <si>
    <t>PO-202609-6210</t>
  </si>
  <si>
    <t>PO-202609-2850</t>
  </si>
  <si>
    <t>PO-202609-8021</t>
  </si>
  <si>
    <t>PO-202609-5262</t>
  </si>
  <si>
    <t>PO-202609-9514</t>
  </si>
  <si>
    <t>PO-202609-2655</t>
  </si>
  <si>
    <t>PO-202609-2056</t>
  </si>
  <si>
    <t>PO-202609-8305</t>
  </si>
  <si>
    <t>PO-202609-7931</t>
  </si>
  <si>
    <t>PO-202609-4492</t>
  </si>
  <si>
    <t>PO-202609-7481</t>
  </si>
  <si>
    <t>PO-202609-7052</t>
  </si>
  <si>
    <t>PO-202609-2567</t>
  </si>
  <si>
    <t>PO-202609-2516</t>
  </si>
  <si>
    <t>PO-202609-4225</t>
  </si>
  <si>
    <t>PO-202609-1486</t>
  </si>
  <si>
    <t>PO-202609-2350</t>
  </si>
  <si>
    <t>PO-202609-6206</t>
  </si>
  <si>
    <t>PO-202609-4069</t>
  </si>
  <si>
    <t>PO-202609-5253</t>
  </si>
  <si>
    <t>PO-202609-4382</t>
  </si>
  <si>
    <t>PO-202609-1159</t>
  </si>
  <si>
    <t>PO-202609-1389</t>
  </si>
  <si>
    <t>PO-202609-3699</t>
  </si>
  <si>
    <t>PO-202609-5885</t>
  </si>
  <si>
    <t>PO-202609-3238</t>
  </si>
  <si>
    <t>PO-202609-7823</t>
  </si>
  <si>
    <t>PO-202609-5529</t>
  </si>
  <si>
    <t>PO-202609-7757</t>
  </si>
  <si>
    <t>PO-202609-4806</t>
  </si>
  <si>
    <t>PO-202609-7348</t>
  </si>
  <si>
    <t>PO-202609-6148</t>
  </si>
  <si>
    <t>PO-202609-3184</t>
  </si>
  <si>
    <t>PO-202609-6656</t>
  </si>
  <si>
    <t>PO-202609-2939</t>
  </si>
  <si>
    <t>PO-202609-8905</t>
  </si>
  <si>
    <t>PO-202609-2276</t>
  </si>
  <si>
    <t>PO-202609-6041</t>
  </si>
  <si>
    <t>PO-202609-7020</t>
  </si>
  <si>
    <t>PO-202609-3742</t>
  </si>
  <si>
    <t>PO-202609-6820</t>
  </si>
  <si>
    <t>PO-202609-9801</t>
  </si>
  <si>
    <t>PO-202609-7819</t>
  </si>
  <si>
    <t>PO-202609-4077</t>
  </si>
  <si>
    <t>PO-202609-3583</t>
  </si>
  <si>
    <t>PO-202609-1379</t>
  </si>
  <si>
    <t>PO-202609-7189</t>
  </si>
  <si>
    <t>PO-202609-6926</t>
  </si>
  <si>
    <t>PO-202609-8282</t>
  </si>
  <si>
    <t>PO-202609-7961</t>
  </si>
  <si>
    <t>PO-202609-6703</t>
  </si>
  <si>
    <t>PO-202609-9825</t>
  </si>
  <si>
    <t>PO-202609-6699</t>
  </si>
  <si>
    <t>PO-202609-6115</t>
  </si>
  <si>
    <t>PO-202609-8170</t>
  </si>
  <si>
    <t>PO-202609-3475</t>
  </si>
  <si>
    <t>PO-202609-4308</t>
  </si>
  <si>
    <t>PO-202609-8171</t>
  </si>
  <si>
    <t>PO-202609-4333</t>
  </si>
  <si>
    <t>PO-202609-3003</t>
  </si>
  <si>
    <t>PO-202609-6828</t>
  </si>
  <si>
    <t>PO-202609-7660</t>
  </si>
  <si>
    <t>PO-202609-6044</t>
  </si>
  <si>
    <t>PO-202609-2256</t>
  </si>
  <si>
    <t>PO-202609-8718</t>
  </si>
  <si>
    <t>PO-202609-1940</t>
  </si>
  <si>
    <t>PO-202609-7515</t>
  </si>
  <si>
    <t>PO-202609-3929</t>
  </si>
  <si>
    <t>PO-202609-2460</t>
  </si>
  <si>
    <t>PO-202609-9908</t>
  </si>
  <si>
    <t>PO-202609-3585</t>
  </si>
  <si>
    <t>PO-202609-4924</t>
  </si>
  <si>
    <t>PO-202609-8888</t>
  </si>
  <si>
    <t>PO-202609-8485</t>
  </si>
  <si>
    <t>PO-202609-3955</t>
  </si>
  <si>
    <t>PO-202609-6942</t>
  </si>
  <si>
    <t>PO-202609-1269</t>
  </si>
  <si>
    <t>PO-202609-6139</t>
  </si>
  <si>
    <t>PO-202609-5687</t>
  </si>
  <si>
    <t>PO-202609-7366</t>
  </si>
  <si>
    <t>PO-202609-8982</t>
  </si>
  <si>
    <t>PO-202609-7974</t>
  </si>
  <si>
    <t>PO-202609-9179</t>
  </si>
  <si>
    <t>PO-202609-4905</t>
  </si>
  <si>
    <t>PO-202609-7830</t>
  </si>
  <si>
    <t>PO-202609-2989</t>
  </si>
  <si>
    <t>PO-202609-2343</t>
  </si>
  <si>
    <t>PO-202609-1855</t>
  </si>
  <si>
    <t>PO-202609-9380</t>
  </si>
  <si>
    <t>PO-202609-3920</t>
  </si>
  <si>
    <t>PO-202609-4640</t>
  </si>
  <si>
    <t>PO-202609-5948</t>
  </si>
  <si>
    <t>PO-202609-2117</t>
  </si>
  <si>
    <t>PO-202609-4863</t>
  </si>
  <si>
    <t>PO-202609-3134</t>
  </si>
  <si>
    <t>PO-202609-6600</t>
  </si>
  <si>
    <t>PO-202609-5151</t>
  </si>
  <si>
    <t>PO-202609-5410</t>
  </si>
  <si>
    <t>PO-202609-2971</t>
  </si>
  <si>
    <t>PO-202609-1983</t>
  </si>
  <si>
    <t>PO-202609-4367</t>
  </si>
  <si>
    <t>PO-202609-9399</t>
  </si>
  <si>
    <t>PO-202609-6729</t>
  </si>
  <si>
    <t>PO-202609-3689</t>
  </si>
  <si>
    <t>PO-202609-1035</t>
  </si>
  <si>
    <t>PO-202609-4418</t>
  </si>
  <si>
    <t>PO-202609-4941</t>
  </si>
  <si>
    <t>PO-202609-9955</t>
  </si>
  <si>
    <t>PO-202609-7267</t>
  </si>
  <si>
    <t>PO-202609-3519</t>
  </si>
  <si>
    <t>PO-202609-9810</t>
  </si>
  <si>
    <t>PO-202609-3879</t>
  </si>
  <si>
    <t>PO-202609-5819</t>
  </si>
  <si>
    <t>PO-202609-1687</t>
  </si>
  <si>
    <t>PO-202609-9842</t>
  </si>
  <si>
    <t>PO-202609-6341</t>
  </si>
  <si>
    <t>PO-202609-4254</t>
  </si>
  <si>
    <t>PO-202609-6959</t>
  </si>
  <si>
    <t>PO-202609-2285</t>
  </si>
  <si>
    <t>PO-202609-2976</t>
  </si>
  <si>
    <t>PO-202609-8772</t>
  </si>
  <si>
    <t>PO-202609-9941</t>
  </si>
  <si>
    <t>PO-202609-1723</t>
  </si>
  <si>
    <t>PO-202609-3314</t>
  </si>
  <si>
    <t>PO-202609-4259</t>
  </si>
  <si>
    <t>PO-202609-2977</t>
  </si>
  <si>
    <t>PO-202609-1187</t>
  </si>
  <si>
    <t>PO-202609-5150</t>
  </si>
  <si>
    <t>PO-202609-5222</t>
  </si>
  <si>
    <t>PO-202609-9837</t>
  </si>
  <si>
    <t>PO-202609-1656</t>
  </si>
  <si>
    <t>PO-202609-9876</t>
  </si>
  <si>
    <t>PO-202609-5744</t>
  </si>
  <si>
    <t>PO-202609-8616</t>
  </si>
  <si>
    <t>PO-202609-3745</t>
  </si>
  <si>
    <t>PO-202609-2106</t>
  </si>
  <si>
    <t>PO-202609-8374</t>
  </si>
  <si>
    <t>PO-202609-3582</t>
  </si>
  <si>
    <t>PO-202609-6286</t>
  </si>
  <si>
    <t>PO-202609-7512</t>
  </si>
  <si>
    <t>PO-202609-5203</t>
  </si>
  <si>
    <t>PO-202609-6806</t>
  </si>
  <si>
    <t>PO-202609-1584</t>
  </si>
  <si>
    <t>PO-202609-9680</t>
  </si>
  <si>
    <t>PO-202609-1284</t>
  </si>
  <si>
    <t>PO-202609-7498</t>
  </si>
  <si>
    <t>PO-202609-2666</t>
  </si>
  <si>
    <t>PO-202609-5578</t>
  </si>
  <si>
    <t>PO-202609-8870</t>
  </si>
  <si>
    <t>PO-202609-6723</t>
  </si>
  <si>
    <t>PO-202609-1994</t>
  </si>
  <si>
    <t>PO-202609-1751</t>
  </si>
  <si>
    <t>PO-202609-5052</t>
  </si>
  <si>
    <t>PO-202609-1346</t>
  </si>
  <si>
    <t>PO-202609-1113</t>
  </si>
  <si>
    <t>PO-202609-7628</t>
  </si>
  <si>
    <t>PO-202609-2367</t>
  </si>
  <si>
    <t>PO-202609-3641</t>
  </si>
  <si>
    <t>PO-202609-4181</t>
  </si>
  <si>
    <t>PO-202609-7513</t>
  </si>
  <si>
    <t>PO-202609-2596</t>
  </si>
  <si>
    <t>PO-202609-4030</t>
  </si>
  <si>
    <t>PO-202609-1138</t>
  </si>
  <si>
    <t>PO-202609-5765</t>
  </si>
  <si>
    <t>PO-202609-7560</t>
  </si>
  <si>
    <t>PO-202609-7851</t>
  </si>
  <si>
    <t>PO-202609-3999</t>
  </si>
  <si>
    <t>PO-202609-7206</t>
  </si>
  <si>
    <t>PO-202609-4126</t>
  </si>
  <si>
    <t>PO-202609-4712</t>
  </si>
  <si>
    <t>PO-202609-7308</t>
  </si>
  <si>
    <t>PO-202609-7284</t>
  </si>
  <si>
    <t>PO-202609-6384</t>
  </si>
  <si>
    <t>PO-202609-7374</t>
  </si>
  <si>
    <t>PO-202609-1155</t>
  </si>
  <si>
    <t>PO-202609-4307</t>
  </si>
  <si>
    <t>PO-202609-4218</t>
  </si>
  <si>
    <t>PO-202609-2964</t>
  </si>
  <si>
    <t>PO-202609-6891</t>
  </si>
  <si>
    <t>PO-202609-8817</t>
  </si>
  <si>
    <t>PO-202609-8509</t>
  </si>
  <si>
    <t>PO-202609-3713</t>
  </si>
  <si>
    <t>PO-202609-3545</t>
  </si>
  <si>
    <t>PO-202609-4975</t>
  </si>
  <si>
    <t>PO-202609-8712</t>
  </si>
  <si>
    <t>PO-202609-8672</t>
  </si>
  <si>
    <t>PO-202609-3344</t>
  </si>
  <si>
    <t>PO-202609-3403</t>
  </si>
  <si>
    <t>PO-202609-2259</t>
  </si>
  <si>
    <t>PO-202609-5509</t>
  </si>
  <si>
    <t>PO-202609-4140</t>
  </si>
  <si>
    <t>PO-202609-7855</t>
  </si>
  <si>
    <t>PO-202609-2639</t>
  </si>
  <si>
    <t>PO-202609-1057</t>
  </si>
  <si>
    <t>PO-202609-8499</t>
  </si>
  <si>
    <t>PO-202609-6957</t>
  </si>
  <si>
    <t>PO-202609-1158</t>
  </si>
  <si>
    <t>PO-202609-3243</t>
  </si>
  <si>
    <t>PO-202609-3869</t>
  </si>
  <si>
    <t>PO-202609-6718</t>
  </si>
  <si>
    <t>PO-202609-8104</t>
  </si>
  <si>
    <t>PO-202609-1312</t>
  </si>
  <si>
    <t>PO-202609-5026</t>
  </si>
  <si>
    <t>PO-202609-8133</t>
  </si>
  <si>
    <t>PO-202609-8320</t>
  </si>
  <si>
    <t>PO-202609-9764</t>
  </si>
  <si>
    <t>PO-202609-6221</t>
  </si>
  <si>
    <t>PO-202609-9125</t>
  </si>
  <si>
    <t>PO-202609-1510</t>
  </si>
  <si>
    <t>PO-202609-6118</t>
  </si>
  <si>
    <t>PO-202609-1735</t>
  </si>
  <si>
    <t>PO-202609-5699</t>
  </si>
  <si>
    <t>PO-202609-5747</t>
  </si>
  <si>
    <t>PO-202609-9227</t>
  </si>
  <si>
    <t>PO-202609-6698</t>
  </si>
  <si>
    <t>PO-202609-2638</t>
  </si>
  <si>
    <t>PO-202609-1289</t>
  </si>
  <si>
    <t>PO-202609-7997</t>
  </si>
  <si>
    <t>PO-202609-3906</t>
  </si>
  <si>
    <t>PO-202609-7986</t>
  </si>
  <si>
    <t>PO-202609-4573</t>
  </si>
  <si>
    <t>PO-202609-5049</t>
  </si>
  <si>
    <t>PO-202609-7086</t>
  </si>
  <si>
    <t>PO-202609-7910</t>
  </si>
  <si>
    <t>PO-202609-3057</t>
  </si>
  <si>
    <t>PO-202609-1324</t>
  </si>
  <si>
    <t>PO-202609-5187</t>
  </si>
  <si>
    <t>PO-202609-5921</t>
  </si>
  <si>
    <t>PO-202609-1927</t>
  </si>
  <si>
    <t>PO-202609-4586</t>
  </si>
  <si>
    <t>PO-202609-3518</t>
  </si>
  <si>
    <t>PO-202609-7387</t>
  </si>
  <si>
    <t>PO-202609-5813</t>
  </si>
  <si>
    <t>PO-202609-2506</t>
  </si>
  <si>
    <t>PO-202609-8472</t>
  </si>
  <si>
    <t>PO-202609-2480</t>
  </si>
  <si>
    <t>PO-202609-4569</t>
  </si>
  <si>
    <t>PO-202609-8539</t>
  </si>
  <si>
    <t>PO-202609-8239</t>
  </si>
  <si>
    <t>PO-202609-3395</t>
  </si>
  <si>
    <t>PO-202609-8587</t>
  </si>
  <si>
    <t>PO-202609-4962</t>
  </si>
  <si>
    <t>PO-202609-9049</t>
  </si>
  <si>
    <t>PO-202609-6893</t>
  </si>
  <si>
    <t>PO-202609-2145</t>
  </si>
  <si>
    <t>PO-202609-1885</t>
  </si>
  <si>
    <t>PO-202609-8443</t>
  </si>
  <si>
    <t>PO-202609-6500</t>
  </si>
  <si>
    <t>PO-202609-2945</t>
  </si>
  <si>
    <t>PO-202609-9202</t>
  </si>
  <si>
    <t>PO-202609-4739</t>
  </si>
  <si>
    <t>PO-202609-1378</t>
  </si>
  <si>
    <t>PO-202609-7272</t>
  </si>
  <si>
    <t>PO-202609-7471</t>
  </si>
  <si>
    <t>PO-202609-7458</t>
  </si>
  <si>
    <t>PO-202609-6060</t>
  </si>
  <si>
    <t>PO-202609-1145</t>
  </si>
  <si>
    <t>PO-202609-9659</t>
  </si>
  <si>
    <t>PO-202609-2938</t>
  </si>
  <si>
    <t>PO-202609-4397</t>
  </si>
  <si>
    <t>PO-202609-8899</t>
  </si>
  <si>
    <t>PO-202609-7503</t>
  </si>
  <si>
    <t>PO-202609-4830</t>
  </si>
  <si>
    <t>PO-202609-2154</t>
  </si>
  <si>
    <t>PO-202609-4354</t>
  </si>
  <si>
    <t>PO-202609-8018</t>
  </si>
  <si>
    <t>PO-202609-9011</t>
  </si>
  <si>
    <t>PO-202609-5019</t>
  </si>
  <si>
    <t>PO-202609-5591</t>
  </si>
  <si>
    <t>PO-202609-3391</t>
  </si>
  <si>
    <t>PO-202609-3322</t>
  </si>
  <si>
    <t>PO-202609-3278</t>
  </si>
  <si>
    <t>PO-202609-7882</t>
  </si>
  <si>
    <t>PO-202609-6944</t>
  </si>
  <si>
    <t>PO-202609-9027</t>
  </si>
  <si>
    <t>PO-202609-7535</t>
  </si>
  <si>
    <t>PO-202609-5585</t>
  </si>
  <si>
    <t>PO-202609-4094</t>
  </si>
  <si>
    <t>PO-202609-6415</t>
  </si>
  <si>
    <t>PO-202609-4244</t>
  </si>
  <si>
    <t>PO-202609-6320</t>
  </si>
  <si>
    <t>PO-202609-6224</t>
  </si>
  <si>
    <t>PO-202609-2138</t>
  </si>
  <si>
    <t>PO-202609-6826</t>
  </si>
  <si>
    <t>PO-202609-1975</t>
  </si>
  <si>
    <t>PO-202609-3783</t>
  </si>
  <si>
    <t>PO-202609-6035</t>
  </si>
  <si>
    <t>PO-202609-5415</t>
  </si>
  <si>
    <t>PO-202609-2657</t>
  </si>
  <si>
    <t>PO-202609-3295</t>
  </si>
  <si>
    <t>PO-202609-5009</t>
  </si>
  <si>
    <t>PO-202609-4907</t>
  </si>
  <si>
    <t>PO-202609-6644</t>
  </si>
  <si>
    <t>PO-202609-5096</t>
  </si>
  <si>
    <t>PO-202609-1251</t>
  </si>
  <si>
    <t>PO-202609-5532</t>
  </si>
  <si>
    <t>PO-202609-4840</t>
  </si>
  <si>
    <t>PO-202609-2120</t>
  </si>
  <si>
    <t>PO-202609-9263</t>
  </si>
  <si>
    <t>PO-202609-4874</t>
  </si>
  <si>
    <t>PO-202609-1116</t>
  </si>
  <si>
    <t>PO-202609-2286</t>
  </si>
  <si>
    <t>PO-202609-7066</t>
  </si>
  <si>
    <t>PO-202609-5087</t>
  </si>
  <si>
    <t>PO-202609-4281</t>
  </si>
  <si>
    <t>PO-202609-3993</t>
  </si>
  <si>
    <t>PO-202609-3716</t>
  </si>
  <si>
    <t>PO-202609-6759</t>
  </si>
  <si>
    <t>PO-202609-1210</t>
  </si>
  <si>
    <t>PO-202609-7476</t>
  </si>
  <si>
    <t>PO-202609-2548</t>
  </si>
  <si>
    <t>PO-202609-7947</t>
  </si>
  <si>
    <t>PO-202609-9063</t>
  </si>
  <si>
    <t>PO-202609-1153</t>
  </si>
  <si>
    <t>PO-202609-7251</t>
  </si>
  <si>
    <t>PO-202609-4937</t>
  </si>
  <si>
    <t>PO-202609-3814</t>
  </si>
  <si>
    <t>PO-202609-1230</t>
  </si>
  <si>
    <t>PO-202609-9092</t>
  </si>
  <si>
    <t>PO-202609-4615</t>
  </si>
  <si>
    <t>PO-202609-2978</t>
  </si>
  <si>
    <t>PO-202609-6833</t>
  </si>
  <si>
    <t>PO-202609-9668</t>
  </si>
  <si>
    <t>PO-202609-7436</t>
  </si>
  <si>
    <t>PO-202609-8577</t>
  </si>
  <si>
    <t>PO-202609-6278</t>
  </si>
  <si>
    <t>PO-202609-3337</t>
  </si>
  <si>
    <t>PO-202609-9807</t>
  </si>
  <si>
    <t>PO-202609-8190</t>
  </si>
  <si>
    <t>PO-202609-5775</t>
  </si>
  <si>
    <t>PO-202609-2790</t>
  </si>
  <si>
    <t>PO-202609-2465</t>
  </si>
  <si>
    <t>PO-202609-7783</t>
  </si>
  <si>
    <t>PO-202609-7365</t>
  </si>
  <si>
    <t>PO-202609-3959</t>
  </si>
  <si>
    <t>PO-202609-2279</t>
  </si>
  <si>
    <t>PO-202609-2287</t>
  </si>
  <si>
    <t>PO-202609-6047</t>
  </si>
  <si>
    <t>PO-202609-3841</t>
  </si>
  <si>
    <t>PO-202609-5769</t>
  </si>
  <si>
    <t>PO-202609-8081</t>
  </si>
  <si>
    <t>PO-202609-8755</t>
  </si>
  <si>
    <t>PO-202609-5718</t>
  </si>
  <si>
    <t>PO-202609-8761</t>
  </si>
  <si>
    <t>PO-202609-5118</t>
  </si>
  <si>
    <t>PO-202609-5940</t>
  </si>
  <si>
    <t>PO-202609-5910</t>
  </si>
  <si>
    <t>PO-202609-1371</t>
  </si>
  <si>
    <t>PO-202609-6064</t>
  </si>
  <si>
    <t>PO-202609-8474</t>
  </si>
  <si>
    <t>PO-202609-3361</t>
  </si>
  <si>
    <t>PO-202609-3917</t>
  </si>
  <si>
    <t>PO-202609-5636</t>
  </si>
  <si>
    <t>PO-202609-9205</t>
  </si>
  <si>
    <t>PO-202609-4469</t>
  </si>
  <si>
    <t>PO-202609-3067</t>
  </si>
  <si>
    <t>PO-202609-5781</t>
  </si>
  <si>
    <t>PO-202609-7732</t>
  </si>
  <si>
    <t>PO-202609-8679</t>
  </si>
  <si>
    <t>PO-202609-4599</t>
  </si>
  <si>
    <t>PO-202609-5399</t>
  </si>
  <si>
    <t>PO-202609-3855</t>
  </si>
  <si>
    <t>PO-202609-9741</t>
  </si>
  <si>
    <t>PO-202609-4654</t>
  </si>
  <si>
    <t>PO-202609-8752</t>
  </si>
  <si>
    <t>PO-202609-9177</t>
  </si>
  <si>
    <t>PO-202609-5929</t>
  </si>
  <si>
    <t>PO-202609-2848</t>
  </si>
  <si>
    <t>PO-202609-6813</t>
  </si>
  <si>
    <t>PO-202609-3149</t>
  </si>
  <si>
    <t>PO-202609-4713</t>
  </si>
  <si>
    <t>PO-202609-3650</t>
  </si>
  <si>
    <t>PO-202609-2311</t>
  </si>
  <si>
    <t>PO-202609-6554</t>
  </si>
  <si>
    <t>PO-202609-3257</t>
  </si>
  <si>
    <t>PO-202609-5646</t>
  </si>
  <si>
    <t>PO-202609-6172</t>
  </si>
  <si>
    <t>PO-202609-7243</t>
  </si>
  <si>
    <t>PO-202609-5227</t>
  </si>
  <si>
    <t>PO-202609-7959</t>
  </si>
  <si>
    <t>PO-202609-4183</t>
  </si>
  <si>
    <t>PO-202609-9115</t>
  </si>
  <si>
    <t>PO-202609-9612</t>
  </si>
  <si>
    <t>PO-202609-5850</t>
  </si>
  <si>
    <t>PO-202609-9112</t>
  </si>
  <si>
    <t>PO-202609-5244</t>
  </si>
  <si>
    <t>PO-202609-4884</t>
  </si>
  <si>
    <t>PO-202609-9243</t>
  </si>
  <si>
    <t>PO-202609-7607</t>
  </si>
  <si>
    <t>PO-202609-1083</t>
  </si>
  <si>
    <t>PO-202609-6852</t>
  </si>
  <si>
    <t>PO-202609-9625</t>
  </si>
  <si>
    <t>PO-202609-6437</t>
  </si>
  <si>
    <t>PO-202609-4121</t>
  </si>
  <si>
    <t>PO-202609-4387</t>
  </si>
  <si>
    <t>PO-202609-7406</t>
  </si>
  <si>
    <t>PO-202609-2009</t>
  </si>
  <si>
    <t>PO-202609-6362</t>
  </si>
  <si>
    <t>PO-202609-5896</t>
  </si>
  <si>
    <t>PO-202609-7792</t>
  </si>
  <si>
    <t>PO-202609-8145</t>
  </si>
  <si>
    <t>PO-202609-3456</t>
  </si>
  <si>
    <t>PO-202609-2497</t>
  </si>
  <si>
    <t>PO-202609-8604</t>
  </si>
  <si>
    <t>PO-202609-8260</t>
  </si>
  <si>
    <t>PO-202609-6888</t>
  </si>
  <si>
    <t>PO-202609-8079</t>
  </si>
  <si>
    <t>PO-202609-3666</t>
  </si>
  <si>
    <t>PO-202609-5557</t>
  </si>
  <si>
    <t>PO-202609-6340</t>
  </si>
  <si>
    <t>PO-202609-5864</t>
  </si>
  <si>
    <t>PO-202609-8404</t>
  </si>
  <si>
    <t>PO-202609-6804</t>
  </si>
  <si>
    <t>PO-202609-1653</t>
  </si>
  <si>
    <t>PO-202609-5264</t>
  </si>
  <si>
    <t>PO-202609-2278</t>
  </si>
  <si>
    <t>PO-202609-9836</t>
  </si>
  <si>
    <t>PO-202609-5675</t>
  </si>
  <si>
    <t>PO-202609-6597</t>
  </si>
  <si>
    <t>PO-202609-1813</t>
  </si>
  <si>
    <t>PO-202609-2860</t>
  </si>
  <si>
    <t>PO-202609-5267</t>
  </si>
  <si>
    <t>PO-202609-5385</t>
  </si>
  <si>
    <t>PO-202609-6878</t>
  </si>
  <si>
    <t>PO-202609-9812</t>
  </si>
  <si>
    <t>PO-202609-7241</t>
  </si>
  <si>
    <t>PO-202609-6737</t>
  </si>
  <si>
    <t>PO-202609-8388</t>
  </si>
  <si>
    <t>PO-202609-9470</t>
  </si>
  <si>
    <t>PO-202609-2577</t>
  </si>
  <si>
    <t>PO-202609-2087</t>
  </si>
  <si>
    <t>PO-202609-2478</t>
  </si>
  <si>
    <t>PO-202609-5973</t>
  </si>
  <si>
    <t>PO-202609-2520</t>
  </si>
  <si>
    <t>PO-202609-2085</t>
  </si>
  <si>
    <t>PO-202609-7014</t>
  </si>
  <si>
    <t>PO-202609-2959</t>
  </si>
  <si>
    <t>PO-202609-8933</t>
  </si>
  <si>
    <t>PO-202609-2356</t>
  </si>
  <si>
    <t>PO-202609-5093</t>
  </si>
  <si>
    <t>PO-202609-1815</t>
  </si>
  <si>
    <t>PO-202609-8653</t>
  </si>
  <si>
    <t>PO-202609-5088</t>
  </si>
  <si>
    <t>PO-202609-7357</t>
  </si>
  <si>
    <t>PO-202609-4304</t>
  </si>
  <si>
    <t>PO-202609-5706</t>
  </si>
  <si>
    <t>PO-202609-3598</t>
  </si>
  <si>
    <t>PO-202609-8259</t>
  </si>
  <si>
    <t>PO-202609-9464</t>
  </si>
  <si>
    <t>PO-202609-3346</t>
  </si>
  <si>
    <t>PO-202609-4651</t>
  </si>
  <si>
    <t>PO-202609-1020</t>
  </si>
  <si>
    <t>PO-202609-9804</t>
  </si>
  <si>
    <t>PO-202609-2386</t>
  </si>
  <si>
    <t>PO-202609-7937</t>
  </si>
  <si>
    <t>PO-202609-2953</t>
  </si>
  <si>
    <t>PO-202609-7873</t>
  </si>
  <si>
    <t>PO-202609-8360</t>
  </si>
  <si>
    <t>PO-202609-2612</t>
  </si>
  <si>
    <t>PO-202609-2610</t>
  </si>
  <si>
    <t>PO-202609-9327</t>
  </si>
  <si>
    <t>PO-202609-7849</t>
  </si>
  <si>
    <t>PO-202609-1339</t>
  </si>
  <si>
    <t>PO-202609-3794</t>
  </si>
  <si>
    <t>PO-202609-1599</t>
  </si>
  <si>
    <t>PO-202609-8908</t>
  </si>
  <si>
    <t>PO-202609-7929</t>
  </si>
  <si>
    <t>PO-202609-3131</t>
  </si>
  <si>
    <t>PO-202609-6503</t>
  </si>
  <si>
    <t>PO-202609-4698</t>
  </si>
  <si>
    <t>PO-202609-9087</t>
  </si>
  <si>
    <t>PO-202609-6298</t>
  </si>
  <si>
    <t>PO-202609-8059</t>
  </si>
  <si>
    <t>PO-202609-4264</t>
  </si>
  <si>
    <t>PO-202609-8046</t>
  </si>
  <si>
    <t>PO-202609-3406</t>
  </si>
  <si>
    <t>PO-202609-7690</t>
  </si>
  <si>
    <t>PO-202609-5895</t>
  </si>
  <si>
    <t>PO-202609-1691</t>
  </si>
  <si>
    <t>PO-202609-1477</t>
  </si>
  <si>
    <t>PO-202609-6621</t>
  </si>
  <si>
    <t>PO-202609-2767</t>
  </si>
  <si>
    <t>PO-202609-4187</t>
  </si>
  <si>
    <t>PO-202609-5221</t>
  </si>
  <si>
    <t>PO-202609-1627</t>
  </si>
  <si>
    <t>PO-202609-1249</t>
  </si>
  <si>
    <t>PO-202609-2169</t>
  </si>
  <si>
    <t>PO-202609-9723</t>
  </si>
  <si>
    <t>PO-202609-7484</t>
  </si>
  <si>
    <t>PO-202609-1331</t>
  </si>
  <si>
    <t>PO-202609-7597</t>
  </si>
  <si>
    <t>PO-202609-1175</t>
  </si>
  <si>
    <t>PO-202609-7701</t>
  </si>
  <si>
    <t>PO-202609-7188</t>
  </si>
  <si>
    <t>PO-202609-3795</t>
  </si>
  <si>
    <t>PO-202609-2116</t>
  </si>
  <si>
    <t>PO-202609-6326</t>
  </si>
  <si>
    <t>PO-202609-2486</t>
  </si>
  <si>
    <t>PO-202609-5640</t>
  </si>
  <si>
    <t>PO-202609-4752</t>
  </si>
  <si>
    <t>PO-202609-4490</t>
  </si>
  <si>
    <t>PO-202609-7521</t>
  </si>
  <si>
    <t>PO-202609-9691</t>
  </si>
  <si>
    <t>PO-202609-3430</t>
  </si>
  <si>
    <t>PO-202609-6123</t>
  </si>
  <si>
    <t>PO-202609-7187</t>
  </si>
  <si>
    <t>PO-202609-6756</t>
  </si>
  <si>
    <t>PO-202609-5201</t>
  </si>
  <si>
    <t>PO-202609-2006</t>
  </si>
  <si>
    <t>PO-202609-9677</t>
  </si>
  <si>
    <t>PO-202609-3805</t>
  </si>
  <si>
    <t>PO-202609-3373</t>
  </si>
  <si>
    <t>PO-202609-3727</t>
  </si>
  <si>
    <t>PO-202609-6624</t>
  </si>
  <si>
    <t>PO-202609-4854</t>
  </si>
  <si>
    <t>PO-202609-8460</t>
  </si>
  <si>
    <t>PO-202609-2111</t>
  </si>
  <si>
    <t>PO-202609-5593</t>
  </si>
  <si>
    <t>PO-202609-9226</t>
  </si>
  <si>
    <t>PO-202609-3086</t>
  </si>
  <si>
    <t>PO-202609-3772</t>
  </si>
  <si>
    <t>PO-202609-9919</t>
  </si>
  <si>
    <t>PO-202609-9856</t>
  </si>
  <si>
    <t>PO-202609-2253</t>
  </si>
  <si>
    <t>PO-202609-7668</t>
  </si>
  <si>
    <t>PO-202609-8961</t>
  </si>
  <si>
    <t>PO-202609-4532</t>
  </si>
  <si>
    <t>PO-202609-7178</t>
  </si>
  <si>
    <t>PO-202609-3413</t>
  </si>
  <si>
    <t>PO-202609-4700</t>
  </si>
  <si>
    <t>PO-202609-3235</t>
  </si>
  <si>
    <t>PO-202609-3808</t>
  </si>
  <si>
    <t>PO-202609-7084</t>
  </si>
  <si>
    <t>PO-202609-2073</t>
  </si>
  <si>
    <t>PO-202609-5920</t>
  </si>
  <si>
    <t>PO-202609-1674</t>
  </si>
  <si>
    <t>PO-202609-8552</t>
  </si>
  <si>
    <t>PO-202609-9095</t>
  </si>
  <si>
    <t>PO-202609-3789</t>
  </si>
  <si>
    <t>PO-202609-2584</t>
  </si>
  <si>
    <t>PO-202609-9942</t>
  </si>
  <si>
    <t>PO-202609-1858</t>
  </si>
  <si>
    <t>PO-202609-8709</t>
  </si>
  <si>
    <t>PO-202609-6428</t>
  </si>
  <si>
    <t>PO-202609-6679</t>
  </si>
  <si>
    <t>PO-202609-6021</t>
  </si>
  <si>
    <t>PO-202609-7550</t>
  </si>
  <si>
    <t>PO-202609-2456</t>
  </si>
  <si>
    <t>PO-202609-3198</t>
  </si>
  <si>
    <t>PO-202609-1445</t>
  </si>
  <si>
    <t>PO-202609-1027</t>
  </si>
  <si>
    <t>PO-202609-2609</t>
  </si>
  <si>
    <t>PO-202609-3423</t>
  </si>
  <si>
    <t>PO-202609-1408</t>
  </si>
  <si>
    <t>PO-202609-3089</t>
  </si>
  <si>
    <t>PO-202609-3069</t>
  </si>
  <si>
    <t>PO-202609-1157</t>
  </si>
  <si>
    <t>PO-202609-2895</t>
  </si>
  <si>
    <t>PO-202609-7152</t>
  </si>
  <si>
    <t>PO-202609-5932</t>
  </si>
  <si>
    <t>PO-202609-3024</t>
  </si>
  <si>
    <t>PO-202609-3762</t>
  </si>
  <si>
    <t>PO-202609-6056</t>
  </si>
  <si>
    <t>PO-202609-4197</t>
  </si>
  <si>
    <t>PO-202609-7233</t>
  </si>
  <si>
    <t>PO-202609-1417</t>
  </si>
  <si>
    <t>PO-202609-2527</t>
  </si>
  <si>
    <t>PO-202609-2705</t>
  </si>
  <si>
    <t>PO-202609-6858</t>
  </si>
  <si>
    <t>PO-202609-5521</t>
  </si>
  <si>
    <t>PO-202609-9533</t>
  </si>
  <si>
    <t>PO-202609-4580</t>
  </si>
  <si>
    <t>PO-202609-9806</t>
  </si>
  <si>
    <t>PO-202609-8247</t>
  </si>
  <si>
    <t>PO-202609-9542</t>
  </si>
  <si>
    <t>PO-202609-7407</t>
  </si>
  <si>
    <t>PO-202609-3595</t>
  </si>
  <si>
    <t>PO-202609-5388</t>
  </si>
  <si>
    <t>PO-202609-2433</t>
  </si>
  <si>
    <t>PO-202609-2865</t>
  </si>
  <si>
    <t>PO-202609-9579</t>
  </si>
  <si>
    <t>PO-202609-3626</t>
  </si>
  <si>
    <t>PO-202609-1322</t>
  </si>
  <si>
    <t>PO-202609-7580</t>
  </si>
  <si>
    <t>PO-202609-7631</t>
  </si>
  <si>
    <t>PO-202609-8928</t>
  </si>
  <si>
    <t>PO-202609-3161</t>
  </si>
  <si>
    <t>PO-202609-2644</t>
  </si>
  <si>
    <t>PO-202609-8548</t>
  </si>
  <si>
    <t>PO-202609-3137</t>
  </si>
  <si>
    <t>PO-202609-3656</t>
  </si>
  <si>
    <t>PO-202609-7247</t>
  </si>
  <si>
    <t>PO-202609-3496</t>
  </si>
  <si>
    <t>PO-202609-6914</t>
  </si>
  <si>
    <t>PO-202609-1699</t>
  </si>
  <si>
    <t>PO-202609-1807</t>
  </si>
  <si>
    <t>PO-202609-7643</t>
  </si>
  <si>
    <t>PO-202609-7252</t>
  </si>
  <si>
    <t>PO-202609-3908</t>
  </si>
  <si>
    <t>PO-202609-8419</t>
  </si>
  <si>
    <t>PO-202609-9747</t>
  </si>
  <si>
    <t>PO-202609-4450</t>
  </si>
  <si>
    <t>PO-202609-8796</t>
  </si>
  <si>
    <t>PO-202609-8889</t>
  </si>
  <si>
    <t>PO-202609-7488</t>
  </si>
  <si>
    <t>PO-202609-5835</t>
  </si>
  <si>
    <t>PO-202609-6312</t>
  </si>
  <si>
    <t>PO-202609-5230</t>
  </si>
  <si>
    <t>PO-202609-4899</t>
  </si>
  <si>
    <t>PO-202609-8230</t>
  </si>
  <si>
    <t>PO-202609-1732</t>
  </si>
  <si>
    <t>PO-202609-6319</t>
  </si>
  <si>
    <t>PO-202609-5945</t>
  </si>
  <si>
    <t>PO-202609-3435</t>
  </si>
  <si>
    <t>PO-202609-4585</t>
  </si>
  <si>
    <t>PO-202609-3844</t>
  </si>
  <si>
    <t>PO-202609-8801</t>
  </si>
  <si>
    <t>PO-202609-3105</t>
  </si>
  <si>
    <t>PO-202609-8898</t>
  </si>
  <si>
    <t>PO-202609-1185</t>
  </si>
  <si>
    <t>PO-202609-3262</t>
  </si>
  <si>
    <t>PO-202609-7948</t>
  </si>
  <si>
    <t>PO-202609-3615</t>
  </si>
  <si>
    <t>PO-202609-5738</t>
  </si>
  <si>
    <t>PO-202609-1223</t>
  </si>
  <si>
    <t>PO-202609-2660</t>
  </si>
  <si>
    <t>PO-202609-7977</t>
  </si>
  <si>
    <t>PO-202609-2306</t>
  </si>
  <si>
    <t>PO-202609-9322</t>
  </si>
  <si>
    <t>PO-202609-2641</t>
  </si>
  <si>
    <t>PO-202609-9776</t>
  </si>
  <si>
    <t>PO-202609-9841</t>
  </si>
  <si>
    <t>PO-202609-4232</t>
  </si>
  <si>
    <t>PO-202609-5216</t>
  </si>
  <si>
    <t>PO-202609-2887</t>
  </si>
  <si>
    <t>PO-202609-5953</t>
  </si>
  <si>
    <t>PO-202609-4549</t>
  </si>
  <si>
    <t>PO-202609-9314</t>
  </si>
  <si>
    <t>PO-202609-4085</t>
  </si>
  <si>
    <t>PO-202609-7402</t>
  </si>
  <si>
    <t>PO-202609-6537</t>
  </si>
  <si>
    <t>PO-202609-2388</t>
  </si>
  <si>
    <t>PO-202609-5859</t>
  </si>
  <si>
    <t>PO-202609-6971</t>
  </si>
  <si>
    <t>PO-202609-8037</t>
  </si>
  <si>
    <t>PO-202609-2922</t>
  </si>
  <si>
    <t>PO-202609-8918</t>
  </si>
  <si>
    <t>PO-202609-1013</t>
  </si>
  <si>
    <t>PO-202609-6908</t>
  </si>
  <si>
    <t>PO-202609-8112</t>
  </si>
  <si>
    <t>PO-202609-1712</t>
  </si>
  <si>
    <t>PO-202609-6333</t>
  </si>
  <si>
    <t>PO-202609-7200</t>
  </si>
  <si>
    <t>PO-202609-4361</t>
  </si>
  <si>
    <t>PO-202609-6164</t>
  </si>
  <si>
    <t>PO-202609-9946</t>
  </si>
  <si>
    <t>PO-202609-4066</t>
  </si>
  <si>
    <t>PO-202609-6432</t>
  </si>
  <si>
    <t>PO-202609-3535</t>
  </si>
  <si>
    <t>PO-202609-6138</t>
  </si>
  <si>
    <t>PO-202609-8240</t>
  </si>
  <si>
    <t>PO-202609-5599</t>
  </si>
  <si>
    <t>PO-202609-4554</t>
  </si>
  <si>
    <t>PO-202609-4190</t>
  </si>
  <si>
    <t>PO-202609-9633</t>
  </si>
  <si>
    <t>PO-202609-2461</t>
  </si>
  <si>
    <t>PO-202609-7511</t>
  </si>
  <si>
    <t>PO-202609-6886</t>
  </si>
  <si>
    <t>PO-202609-3483</t>
  </si>
  <si>
    <t>PO-202609-1472</t>
  </si>
  <si>
    <t>PO-202609-3175</t>
  </si>
  <si>
    <t>PO-202609-7336</t>
  </si>
  <si>
    <t>PO-202609-4272</t>
  </si>
  <si>
    <t>PO-202609-9259</t>
  </si>
  <si>
    <t>PO-202609-6293</t>
  </si>
  <si>
    <t>PO-202609-7835</t>
  </si>
  <si>
    <t>PO-202609-9536</t>
  </si>
  <si>
    <t>PO-202609-2410</t>
  </si>
  <si>
    <t>PO-202609-9966</t>
  </si>
  <si>
    <t>PO-202609-3389</t>
  </si>
  <si>
    <t>PO-202609-2985</t>
  </si>
  <si>
    <t>PO-202609-6343</t>
  </si>
  <si>
    <t>PO-202609-5198</t>
  </si>
  <si>
    <t>PO-202609-3831</t>
  </si>
  <si>
    <t>PO-202609-2228</t>
  </si>
  <si>
    <t>PO-202609-4164</t>
  </si>
  <si>
    <t>PO-202609-8211</t>
  </si>
  <si>
    <t>PO-202609-2492</t>
  </si>
  <si>
    <t>PO-202609-7858</t>
  </si>
  <si>
    <t>PO-202609-1621</t>
  </si>
  <si>
    <t>PO-202609-8531</t>
  </si>
  <si>
    <t>PO-202609-3669</t>
  </si>
  <si>
    <t>PO-202609-7868</t>
  </si>
  <si>
    <t>PO-202609-8520</t>
  </si>
  <si>
    <t>PO-202609-2531</t>
  </si>
  <si>
    <t>PO-202609-7541</t>
  </si>
  <si>
    <t>PO-202609-2570</t>
  </si>
  <si>
    <t>PO-202609-5043</t>
  </si>
  <si>
    <t>PO-202609-4610</t>
  </si>
  <si>
    <t>PO-202609-6243</t>
  </si>
  <si>
    <t>PO-202609-3166</t>
  </si>
  <si>
    <t>PO-202609-8001</t>
  </si>
  <si>
    <t>PO-202609-5960</t>
  </si>
  <si>
    <t>PO-202609-9931</t>
  </si>
  <si>
    <t>PO-202609-9615</t>
  </si>
  <si>
    <t>PO-202609-2565</t>
  </si>
  <si>
    <t>PO-202609-8925</t>
  </si>
  <si>
    <t>PO-202609-2393</t>
  </si>
  <si>
    <t>PO-202609-6469</t>
  </si>
  <si>
    <t>PO-202609-6006</t>
  </si>
  <si>
    <t>PO-202609-6183</t>
  </si>
  <si>
    <t>PO-202609-9757</t>
  </si>
  <si>
    <t>PO-202609-7474</t>
  </si>
  <si>
    <t>PO-202609-9061</t>
  </si>
  <si>
    <t>PO-202609-3764</t>
  </si>
  <si>
    <t>PO-202609-8733</t>
  </si>
  <si>
    <t>PO-202609-7581</t>
  </si>
  <si>
    <t>PO-202609-3288</t>
  </si>
  <si>
    <t>PO-202609-5277</t>
  </si>
  <si>
    <t>PO-202609-5486</t>
  </si>
  <si>
    <t>PO-202609-2264</t>
  </si>
  <si>
    <t>PO-202609-2438</t>
  </si>
  <si>
    <t>PO-202609-4717</t>
  </si>
  <si>
    <t>PO-202609-2781</t>
  </si>
  <si>
    <t>PO-202609-7601</t>
  </si>
  <si>
    <t>PO-202609-5887</t>
  </si>
  <si>
    <t>PO-202609-9443</t>
  </si>
  <si>
    <t>PO-202609-3608</t>
  </si>
  <si>
    <t>PO-202609-2364</t>
  </si>
  <si>
    <t>PO-202609-7921</t>
  </si>
  <si>
    <t>PO-202609-2376</t>
  </si>
  <si>
    <t>PO-202609-7465</t>
  </si>
  <si>
    <t>PO-202609-9819</t>
  </si>
  <si>
    <t>PO-202609-8274</t>
  </si>
  <si>
    <t>PO-202609-4323</t>
  </si>
  <si>
    <t>PO-202609-3018</t>
  </si>
  <si>
    <t>PO-202609-9524</t>
  </si>
  <si>
    <t>PO-202609-2852</t>
  </si>
  <si>
    <t>PO-202609-8258</t>
  </si>
  <si>
    <t>PO-202609-8790</t>
  </si>
  <si>
    <t>PO-202609-4992</t>
  </si>
  <si>
    <t>PO-202609-5975</t>
  </si>
  <si>
    <t>PO-202609-4507</t>
  </si>
  <si>
    <t>PO-202609-3979</t>
  </si>
  <si>
    <t>PO-202609-8011</t>
  </si>
  <si>
    <t>PO-202609-1351</t>
  </si>
  <si>
    <t>PO-202609-1881</t>
  </si>
  <si>
    <t>PO-202609-7275</t>
  </si>
  <si>
    <t>PO-202609-3428</t>
  </si>
  <si>
    <t>PO-202609-6067</t>
  </si>
  <si>
    <t>PO-202609-9826</t>
  </si>
  <si>
    <t>PO-202609-2789</t>
  </si>
  <si>
    <t>PO-202609-3627</t>
  </si>
  <si>
    <t>PO-202609-2809</t>
  </si>
  <si>
    <t>PO-202609-5500</t>
  </si>
  <si>
    <t>PO-202609-9255</t>
  </si>
  <si>
    <t>PO-202609-1999</t>
  </si>
  <si>
    <t>PO-202609-5897</t>
  </si>
  <si>
    <t>PO-202609-5728</t>
  </si>
  <si>
    <t>PO-202609-9462</t>
  </si>
  <si>
    <t>PO-202609-2994</t>
  </si>
  <si>
    <t>PO-202609-3980</t>
  </si>
  <si>
    <t>PO-202609-2300</t>
  </si>
  <si>
    <t>PO-202609-4079</t>
  </si>
  <si>
    <t>PO-202609-6292</t>
  </si>
  <si>
    <t>PO-202609-6477</t>
  </si>
  <si>
    <t>PO-202609-7460</t>
  </si>
  <si>
    <t>PO-202609-2645</t>
  </si>
  <si>
    <t>PO-202609-9270</t>
  </si>
  <si>
    <t>PO-202609-1246</t>
  </si>
  <si>
    <t>PO-202609-7350</t>
  </si>
  <si>
    <t>PO-202609-7326</t>
  </si>
  <si>
    <t>PO-202609-3270</t>
  </si>
  <si>
    <t>PO-202609-3370</t>
  </si>
  <si>
    <t>PO-202609-3209</t>
  </si>
  <si>
    <t>PO-202609-6198</t>
  </si>
  <si>
    <t>PO-202609-7889</t>
  </si>
  <si>
    <t>PO-202609-1886</t>
  </si>
  <si>
    <t>PO-202609-9808</t>
  </si>
  <si>
    <t>PO-202609-6861</t>
  </si>
  <si>
    <t>PO-202609-2462</t>
  </si>
  <si>
    <t>PO-202609-7619</t>
  </si>
  <si>
    <t>PO-202609-6564</t>
  </si>
  <si>
    <t>PO-202609-1781</t>
  </si>
  <si>
    <t>PO-202609-3445</t>
  </si>
  <si>
    <t>PO-202609-4496</t>
  </si>
  <si>
    <t>PO-202609-4807</t>
  </si>
  <si>
    <t>PO-202609-9142</t>
  </si>
  <si>
    <t>PO-202609-2148</t>
  </si>
  <si>
    <t>PO-202609-2387</t>
  </si>
  <si>
    <t>PO-202609-3151</t>
  </si>
  <si>
    <t>PO-202609-7706</t>
  </si>
  <si>
    <t>PO-202609-9887</t>
  </si>
  <si>
    <t>PO-202609-4748</t>
  </si>
  <si>
    <t>PO-202609-3507</t>
  </si>
  <si>
    <t>PO-202609-7798</t>
  </si>
  <si>
    <t>PO-202609-6855</t>
  </si>
  <si>
    <t>PO-202609-1606</t>
  </si>
  <si>
    <t>PO-202609-8923</t>
  </si>
  <si>
    <t>PO-202609-4430</t>
  </si>
  <si>
    <t>PO-202609-2522</t>
  </si>
  <si>
    <t>PO-202609-8086</t>
  </si>
  <si>
    <t>PO-202609-8891</t>
  </si>
  <si>
    <t>PO-202609-5467</t>
  </si>
  <si>
    <t>PO-202609-7293</t>
  </si>
  <si>
    <t>PO-202609-2102</t>
  </si>
  <si>
    <t>PO-202609-6004</t>
  </si>
  <si>
    <t>PO-202609-5939</t>
  </si>
  <si>
    <t>PO-202609-6896</t>
  </si>
  <si>
    <t>PO-202609-4694</t>
  </si>
  <si>
    <t>PO-202609-9577</t>
  </si>
  <si>
    <t>PO-202609-9056</t>
  </si>
  <si>
    <t>PO-202609-1372</t>
  </si>
  <si>
    <t>PO-202609-9278</t>
  </si>
  <si>
    <t>PO-202609-9535</t>
  </si>
  <si>
    <t>PO-202609-2692</t>
  </si>
  <si>
    <t>PO-202609-8775</t>
  </si>
  <si>
    <t>PO-202609-4326</t>
  </si>
  <si>
    <t>PO-202609-1128</t>
  </si>
  <si>
    <t>PO-202609-4675</t>
  </si>
  <si>
    <t>PO-202609-1349</t>
  </si>
  <si>
    <t>PO-202609-8805</t>
  </si>
  <si>
    <t>PO-202609-4298</t>
  </si>
  <si>
    <t>PO-202609-4919</t>
  </si>
  <si>
    <t>PO-202609-3725</t>
  </si>
  <si>
    <t>PO-202609-7505</t>
  </si>
  <si>
    <t>PO-202609-3873</t>
  </si>
  <si>
    <t>PO-202609-3148</t>
  </si>
  <si>
    <t>PO-202609-4814</t>
  </si>
  <si>
    <t>PO-202609-4560</t>
  </si>
  <si>
    <t>PO-202609-3147</t>
  </si>
  <si>
    <t>PO-202609-8273</t>
  </si>
  <si>
    <t>PO-202609-9515</t>
  </si>
  <si>
    <t>PO-202609-9169</t>
  </si>
  <si>
    <t>PO-202609-9433</t>
  </si>
  <si>
    <t>PO-202609-8191</t>
  </si>
  <si>
    <t>PO-202609-2909</t>
  </si>
  <si>
    <t>PO-202609-9561</t>
  </si>
  <si>
    <t>PO-202609-2091</t>
  </si>
  <si>
    <t>PO-202609-5725</t>
  </si>
  <si>
    <t>PO-202609-8687</t>
  </si>
  <si>
    <t>PO-202609-5809</t>
  </si>
  <si>
    <t>PO-202609-2754</t>
  </si>
  <si>
    <t>PO-202609-9530</t>
  </si>
  <si>
    <t>PO-202609-7319</t>
  </si>
  <si>
    <t>PO-202609-4327</t>
  </si>
  <si>
    <t>PO-202609-7852</t>
  </si>
  <si>
    <t>PO-202609-1208</t>
  </si>
  <si>
    <t>PO-202609-2297</t>
  </si>
  <si>
    <t>PO-202609-5370</t>
  </si>
  <si>
    <t>PO-202609-8341</t>
  </si>
  <si>
    <t>PO-202609-8439</t>
  </si>
  <si>
    <t>PO-202609-1237</t>
  </si>
  <si>
    <t>PO-202609-2081</t>
  </si>
  <si>
    <t>PO-202609-8005</t>
  </si>
  <si>
    <t>PO-202609-3634</t>
  </si>
  <si>
    <t>PO-202609-2158</t>
  </si>
  <si>
    <t>PO-202609-5643</t>
  </si>
  <si>
    <t>PO-202609-6536</t>
  </si>
  <si>
    <t>PO-202609-3556</t>
  </si>
  <si>
    <t>PO-202610-8803</t>
  </si>
  <si>
    <t>PO-202610-5110</t>
  </si>
  <si>
    <t>PO-202610-4994</t>
  </si>
  <si>
    <t>PO-202610-9835</t>
  </si>
  <si>
    <t>PO-202610-9125</t>
  </si>
  <si>
    <t>PO-202610-1076</t>
  </si>
  <si>
    <t>PO-202610-7676</t>
  </si>
  <si>
    <t>PO-202610-3664</t>
  </si>
  <si>
    <t>PO-202610-9000</t>
  </si>
  <si>
    <t>PO-202610-6742</t>
  </si>
  <si>
    <t>PO-202610-3224</t>
  </si>
  <si>
    <t>PO-202610-1760</t>
  </si>
  <si>
    <t>PO-202610-6495</t>
  </si>
  <si>
    <t>PO-202610-1696</t>
  </si>
  <si>
    <t>PO-202610-3672</t>
  </si>
  <si>
    <t>PO-202610-3683</t>
  </si>
  <si>
    <t>PO-202610-4394</t>
  </si>
  <si>
    <t>PO-202610-6049</t>
  </si>
  <si>
    <t>PO-202610-5270</t>
  </si>
  <si>
    <t>PO-202610-2854</t>
  </si>
  <si>
    <t>PO-202610-9353</t>
  </si>
  <si>
    <t>PO-202610-9306</t>
  </si>
  <si>
    <t>PO-202610-1431</t>
  </si>
  <si>
    <t>PO-202610-9834</t>
  </si>
  <si>
    <t>PO-202610-6744</t>
  </si>
  <si>
    <t>PO-202610-1845</t>
  </si>
  <si>
    <t>PO-202610-2999</t>
  </si>
  <si>
    <t>PO-202610-4497</t>
  </si>
  <si>
    <t>PO-202610-4255</t>
  </si>
  <si>
    <t>PO-202610-2946</t>
  </si>
  <si>
    <t>PO-202610-6387</t>
  </si>
  <si>
    <t>PO-202610-2082</t>
  </si>
  <si>
    <t>PO-202610-9230</t>
  </si>
  <si>
    <t>PO-202610-3798</t>
  </si>
  <si>
    <t>PO-202610-9106</t>
  </si>
  <si>
    <t>PO-202610-5623</t>
  </si>
  <si>
    <t>PO-202610-2361</t>
  </si>
  <si>
    <t>PO-202610-5473</t>
  </si>
  <si>
    <t>PO-202610-9220</t>
  </si>
  <si>
    <t>PO-202610-4553</t>
  </si>
  <si>
    <t>PO-202610-2033</t>
  </si>
  <si>
    <t>PO-202610-7783</t>
  </si>
  <si>
    <t>PO-202610-8993</t>
  </si>
  <si>
    <t>PO-202610-1104</t>
  </si>
  <si>
    <t>PO-202610-7738</t>
  </si>
  <si>
    <t>PO-202610-5111</t>
  </si>
  <si>
    <t>PO-202610-8233</t>
  </si>
  <si>
    <t>PO-202610-4481</t>
  </si>
  <si>
    <t>PO-202610-4153</t>
  </si>
  <si>
    <t>PO-202610-4449</t>
  </si>
  <si>
    <t>PO-202610-2483</t>
  </si>
  <si>
    <t>PO-202610-8668</t>
  </si>
  <si>
    <t>PO-202610-1014</t>
  </si>
  <si>
    <t>PO-202610-5937</t>
  </si>
  <si>
    <t>PO-202610-4685</t>
  </si>
  <si>
    <t>PO-202610-2226</t>
  </si>
  <si>
    <t>PO-202610-2167</t>
  </si>
  <si>
    <t>PO-202610-4373</t>
  </si>
  <si>
    <t>PO-202610-9381</t>
  </si>
  <si>
    <t>PO-202610-2058</t>
  </si>
  <si>
    <t>PO-202610-8656</t>
  </si>
  <si>
    <t>PO-202610-8875</t>
  </si>
  <si>
    <t>PO-202610-6189</t>
  </si>
  <si>
    <t>PO-202610-1155</t>
  </si>
  <si>
    <t>PO-202610-9666</t>
  </si>
  <si>
    <t>PO-202610-2587</t>
  </si>
  <si>
    <t>PO-202610-6521</t>
  </si>
  <si>
    <t>PO-202610-6063</t>
  </si>
  <si>
    <t>PO-202610-8885</t>
  </si>
  <si>
    <t>PO-202610-3668</t>
  </si>
  <si>
    <t>PO-202610-6476</t>
  </si>
  <si>
    <t>PO-202610-2633</t>
  </si>
  <si>
    <t>PO-202610-4781</t>
  </si>
  <si>
    <t>PO-202610-6178</t>
  </si>
  <si>
    <t>PO-202610-4282</t>
  </si>
  <si>
    <t>PO-202610-5087</t>
  </si>
  <si>
    <t>PO-202610-1769</t>
  </si>
  <si>
    <t>PO-202610-3845</t>
  </si>
  <si>
    <t>PO-202610-7500</t>
  </si>
  <si>
    <t>PO-202610-1100</t>
  </si>
  <si>
    <t>PO-202610-9342</t>
  </si>
  <si>
    <t>PO-202610-6359</t>
  </si>
  <si>
    <t>PO-202610-7180</t>
  </si>
  <si>
    <t>PO-202610-8858</t>
  </si>
  <si>
    <t>PO-202610-7637</t>
  </si>
  <si>
    <t>PO-202610-2659</t>
  </si>
  <si>
    <t>PO-202610-9956</t>
  </si>
  <si>
    <t>PO-202610-8474</t>
  </si>
  <si>
    <t>PO-202610-8383</t>
  </si>
  <si>
    <t>PO-202610-5748</t>
  </si>
  <si>
    <t>PO-202610-1352</t>
  </si>
  <si>
    <t>PO-202610-4163</t>
  </si>
  <si>
    <t>PO-202610-9272</t>
  </si>
  <si>
    <t>PO-202610-6544</t>
  </si>
  <si>
    <t>PO-202610-9887</t>
  </si>
  <si>
    <t>PO-202610-3323</t>
  </si>
  <si>
    <t>PO-202610-3793</t>
  </si>
  <si>
    <t>PO-202610-3730</t>
  </si>
  <si>
    <t>PO-202610-2185</t>
  </si>
  <si>
    <t>PO-202610-8373</t>
  </si>
  <si>
    <t>PO-202610-6822</t>
  </si>
  <si>
    <t>PO-202610-4465</t>
  </si>
  <si>
    <t>PO-202610-3010</t>
  </si>
  <si>
    <t>PO-202610-3406</t>
  </si>
  <si>
    <t>PO-202610-4479</t>
  </si>
  <si>
    <t>PO-202610-7401</t>
  </si>
  <si>
    <t>PO-202610-7915</t>
  </si>
  <si>
    <t>PO-202610-2409</t>
  </si>
  <si>
    <t>PO-202610-2043</t>
  </si>
  <si>
    <t>PO-202610-3089</t>
  </si>
  <si>
    <t>PO-202610-1468</t>
  </si>
  <si>
    <t>PO-202610-2953</t>
  </si>
  <si>
    <t>PO-202610-7258</t>
  </si>
  <si>
    <t>PO-202610-9991</t>
  </si>
  <si>
    <t>PO-202610-6617</t>
  </si>
  <si>
    <t>PO-202610-3846</t>
  </si>
  <si>
    <t>PO-202610-9574</t>
  </si>
  <si>
    <t>PO-202610-9907</t>
  </si>
  <si>
    <t>PO-202610-6634</t>
  </si>
  <si>
    <t>PO-202610-1487</t>
  </si>
  <si>
    <t>PO-202610-3125</t>
  </si>
  <si>
    <t>PO-202610-8091</t>
  </si>
  <si>
    <t>PO-202610-9502</t>
  </si>
  <si>
    <t>PO-202610-2992</t>
  </si>
  <si>
    <t>PO-202610-9595</t>
  </si>
  <si>
    <t>PO-202610-6465</t>
  </si>
  <si>
    <t>PO-202610-1930</t>
  </si>
  <si>
    <t>PO-202610-9426</t>
  </si>
  <si>
    <t>PO-202610-8433</t>
  </si>
  <si>
    <t>PO-202610-8362</t>
  </si>
  <si>
    <t>PO-202610-3033</t>
  </si>
  <si>
    <t>PO-202610-4546</t>
  </si>
  <si>
    <t>PO-202610-8852</t>
  </si>
  <si>
    <t>PO-202610-9750</t>
  </si>
  <si>
    <t>PO-202610-3932</t>
  </si>
  <si>
    <t>PO-202610-1194</t>
  </si>
  <si>
    <t>PO-202610-2658</t>
  </si>
  <si>
    <t>PO-202610-8830</t>
  </si>
  <si>
    <t>PO-202610-3867</t>
  </si>
  <si>
    <t>PO-202610-3971</t>
  </si>
  <si>
    <t>PO-202610-7154</t>
  </si>
  <si>
    <t>PO-202610-8306</t>
  </si>
  <si>
    <t>PO-202610-1293</t>
  </si>
  <si>
    <t>PO-202610-1067</t>
  </si>
  <si>
    <t>PO-202610-6171</t>
  </si>
  <si>
    <t>PO-202610-4143</t>
  </si>
  <si>
    <t>PO-202610-9743</t>
  </si>
  <si>
    <t>PO-202610-7389</t>
  </si>
  <si>
    <t>PO-202610-9059</t>
  </si>
  <si>
    <t>PO-202610-7145</t>
  </si>
  <si>
    <t>PO-202610-8074</t>
  </si>
  <si>
    <t>PO-202610-6582</t>
  </si>
  <si>
    <t>PO-202610-9984</t>
  </si>
  <si>
    <t>PO-202610-4727</t>
  </si>
  <si>
    <t>PO-202610-2431</t>
  </si>
  <si>
    <t>PO-202610-4438</t>
  </si>
  <si>
    <t>PO-202610-5752</t>
  </si>
  <si>
    <t>PO-202610-5708</t>
  </si>
  <si>
    <t>PO-202610-5788</t>
  </si>
  <si>
    <t>PO-202610-9987</t>
  </si>
  <si>
    <t>PO-202610-5001</t>
  </si>
  <si>
    <t>PO-202610-1548</t>
  </si>
  <si>
    <t>PO-202610-7609</t>
  </si>
  <si>
    <t>PO-202610-1289</t>
  </si>
  <si>
    <t>PO-202610-4578</t>
  </si>
  <si>
    <t>PO-202610-1640</t>
  </si>
  <si>
    <t>PO-202610-8577</t>
  </si>
  <si>
    <t>PO-202610-4387</t>
  </si>
  <si>
    <t>PO-202610-6218</t>
  </si>
  <si>
    <t>PO-202610-6873</t>
  </si>
  <si>
    <t>PO-202610-7301</t>
  </si>
  <si>
    <t>PO-202610-4954</t>
  </si>
  <si>
    <t>PO-202610-3415</t>
  </si>
  <si>
    <t>PO-202610-5016</t>
  </si>
  <si>
    <t>PO-202610-9232</t>
  </si>
  <si>
    <t>PO-202610-1785</t>
  </si>
  <si>
    <t>PO-202610-3262</t>
  </si>
  <si>
    <t>PO-202610-2225</t>
  </si>
  <si>
    <t>PO-202610-6067</t>
  </si>
  <si>
    <t>PO-202610-2939</t>
  </si>
  <si>
    <t>PO-202610-6047</t>
  </si>
  <si>
    <t>PO-202610-4973</t>
  </si>
  <si>
    <t>PO-202610-4533</t>
  </si>
  <si>
    <t>PO-202610-3516</t>
  </si>
  <si>
    <t>PO-202610-5762</t>
  </si>
  <si>
    <t>PO-202610-9301</t>
  </si>
  <si>
    <t>PO-202610-1525</t>
  </si>
  <si>
    <t>PO-202610-4152</t>
  </si>
  <si>
    <t>PO-202610-1719</t>
  </si>
  <si>
    <t>PO-202610-1684</t>
  </si>
  <si>
    <t>PO-202610-5157</t>
  </si>
  <si>
    <t>PO-202610-7139</t>
  </si>
  <si>
    <t>PO-202610-7046</t>
  </si>
  <si>
    <t>PO-202610-3928</t>
  </si>
  <si>
    <t>PO-202610-5990</t>
  </si>
  <si>
    <t>PO-202610-4657</t>
  </si>
  <si>
    <t>PO-202610-2594</t>
  </si>
  <si>
    <t>PO-202610-7467</t>
  </si>
  <si>
    <t>PO-202610-3532</t>
  </si>
  <si>
    <t>PO-202610-8294</t>
  </si>
  <si>
    <t>PO-202610-6638</t>
  </si>
  <si>
    <t>PO-202610-1297</t>
  </si>
  <si>
    <t>PO-202610-4144</t>
  </si>
  <si>
    <t>PO-202610-9892</t>
  </si>
  <si>
    <t>PO-202610-8499</t>
  </si>
  <si>
    <t>PO-202610-3476</t>
  </si>
  <si>
    <t>PO-202610-1853</t>
  </si>
  <si>
    <t>PO-202610-3925</t>
  </si>
  <si>
    <t>PO-202610-4401</t>
  </si>
  <si>
    <t>PO-202610-5932</t>
  </si>
  <si>
    <t>PO-202610-2457</t>
  </si>
  <si>
    <t>PO-202610-3087</t>
  </si>
  <si>
    <t>PO-202610-6149</t>
  </si>
  <si>
    <t>PO-202610-7041</t>
  </si>
  <si>
    <t>PO-202610-8926</t>
  </si>
  <si>
    <t>PO-202610-3443</t>
  </si>
  <si>
    <t>PO-202610-6354</t>
  </si>
  <si>
    <t>PO-202610-9906</t>
  </si>
  <si>
    <t>PO-202610-8539</t>
  </si>
  <si>
    <t>PO-202610-6283</t>
  </si>
  <si>
    <t>PO-202610-5484</t>
  </si>
  <si>
    <t>PO-202610-5440</t>
  </si>
  <si>
    <t>PO-202610-5644</t>
  </si>
  <si>
    <t>PO-202610-3338</t>
  </si>
  <si>
    <t>PO-202610-6793</t>
  </si>
  <si>
    <t>PO-202610-9800</t>
  </si>
  <si>
    <t>PO-202610-1890</t>
  </si>
  <si>
    <t>PO-202610-4103</t>
  </si>
  <si>
    <t>PO-202610-4206</t>
  </si>
  <si>
    <t>PO-202610-8452</t>
  </si>
  <si>
    <t>PO-202610-4696</t>
  </si>
  <si>
    <t>PO-202610-9516</t>
  </si>
  <si>
    <t>PO-202610-8411</t>
  </si>
  <si>
    <t>PO-202610-4116</t>
  </si>
  <si>
    <t>PO-202610-5263</t>
  </si>
  <si>
    <t>PO-202610-6282</t>
  </si>
  <si>
    <t>PO-202610-2285</t>
  </si>
  <si>
    <t>PO-202610-1648</t>
  </si>
  <si>
    <t>PO-202610-6127</t>
  </si>
  <si>
    <t>PO-202610-8786</t>
  </si>
  <si>
    <t>PO-202610-6269</t>
  </si>
  <si>
    <t>PO-202610-6014</t>
  </si>
  <si>
    <t>PO-202610-3185</t>
  </si>
  <si>
    <t>PO-202610-3550</t>
  </si>
  <si>
    <t>PO-202610-2576</t>
  </si>
  <si>
    <t>PO-202610-2902</t>
  </si>
  <si>
    <t>PO-202610-8622</t>
  </si>
  <si>
    <t>PO-202610-4110</t>
  </si>
  <si>
    <t>PO-202610-7290</t>
  </si>
  <si>
    <t>PO-202610-5909</t>
  </si>
  <si>
    <t>PO-202610-6346</t>
  </si>
  <si>
    <t>PO-202610-6624</t>
  </si>
  <si>
    <t>PO-202610-2180</t>
  </si>
  <si>
    <t>PO-202610-4865</t>
  </si>
  <si>
    <t>PO-202610-8598</t>
  </si>
  <si>
    <t>PO-202610-4871</t>
  </si>
  <si>
    <t>PO-202610-4758</t>
  </si>
  <si>
    <t>PO-202610-5749</t>
  </si>
  <si>
    <t>PO-202610-9034</t>
  </si>
  <si>
    <t>PO-202610-8812</t>
  </si>
  <si>
    <t>PO-202610-5281</t>
  </si>
  <si>
    <t>PO-202610-1871</t>
  </si>
  <si>
    <t>PO-202610-6518</t>
  </si>
  <si>
    <t>PO-202610-2817</t>
  </si>
  <si>
    <t>PO-202610-9052</t>
  </si>
  <si>
    <t>PO-202610-5616</t>
  </si>
  <si>
    <t>PO-202610-2404</t>
  </si>
  <si>
    <t>PO-202610-6212</t>
  </si>
  <si>
    <t>PO-202610-1606</t>
  </si>
  <si>
    <t>PO-202610-9664</t>
  </si>
  <si>
    <t>PO-202610-8449</t>
  </si>
  <si>
    <t>PO-202610-8178</t>
  </si>
  <si>
    <t>PO-202610-8554</t>
  </si>
  <si>
    <t>PO-202610-8814</t>
  </si>
  <si>
    <t>PO-202610-9248</t>
  </si>
  <si>
    <t>PO-202610-2449</t>
  </si>
  <si>
    <t>PO-202610-3353</t>
  </si>
  <si>
    <t>PO-202610-1527</t>
  </si>
  <si>
    <t>PO-202610-4811</t>
  </si>
  <si>
    <t>PO-202610-4483</t>
  </si>
  <si>
    <t>PO-202610-2270</t>
  </si>
  <si>
    <t>PO-202610-4390</t>
  </si>
  <si>
    <t>PO-202610-1507</t>
  </si>
  <si>
    <t>PO-202610-3112</t>
  </si>
  <si>
    <t>PO-202610-1613</t>
  </si>
  <si>
    <t>PO-202610-6222</t>
  </si>
  <si>
    <t>PO-202610-6771</t>
  </si>
  <si>
    <t>PO-202610-6238</t>
  </si>
  <si>
    <t>PO-202610-9638</t>
  </si>
  <si>
    <t>PO-202610-7862</t>
  </si>
  <si>
    <t>PO-202610-5511</t>
  </si>
  <si>
    <t>PO-202610-1895</t>
  </si>
  <si>
    <t>PO-202610-7159</t>
  </si>
  <si>
    <t>PO-202610-5768</t>
  </si>
  <si>
    <t>PO-202610-3148</t>
  </si>
  <si>
    <t>PO-202610-1214</t>
  </si>
  <si>
    <t>PO-202610-3871</t>
  </si>
  <si>
    <t>PO-202610-2178</t>
  </si>
  <si>
    <t>PO-202610-2444</t>
  </si>
  <si>
    <t>PO-202610-3414</t>
  </si>
  <si>
    <t>PO-202610-1202</t>
  </si>
  <si>
    <t>PO-202610-2965</t>
  </si>
  <si>
    <t>PO-202610-2478</t>
  </si>
  <si>
    <t>PO-202610-7556</t>
  </si>
  <si>
    <t>PO-202610-3345</t>
  </si>
  <si>
    <t>PO-202610-2442</t>
  </si>
  <si>
    <t>PO-202610-8428</t>
  </si>
  <si>
    <t>PO-202610-6050</t>
  </si>
  <si>
    <t>PO-202610-8426</t>
  </si>
  <si>
    <t>PO-202610-1260</t>
  </si>
  <si>
    <t>PO-202610-5482</t>
  </si>
  <si>
    <t>PO-202610-2742</t>
  </si>
  <si>
    <t>PO-202610-4325</t>
  </si>
  <si>
    <t>PO-202610-4976</t>
  </si>
  <si>
    <t>PO-202610-2047</t>
  </si>
  <si>
    <t>PO-202610-7421</t>
  </si>
  <si>
    <t>PO-202610-7444</t>
  </si>
  <si>
    <t>PO-202610-9706</t>
  </si>
  <si>
    <t>PO-202610-2875</t>
  </si>
  <si>
    <t>PO-202610-4916</t>
  </si>
  <si>
    <t>PO-202610-9470</t>
  </si>
  <si>
    <t>PO-202610-1942</t>
  </si>
  <si>
    <t>PO-202610-6382</t>
  </si>
  <si>
    <t>PO-202610-9667</t>
  </si>
  <si>
    <t>PO-202610-1804</t>
  </si>
  <si>
    <t>PO-202610-1479</t>
  </si>
  <si>
    <t>PO-202610-5034</t>
  </si>
  <si>
    <t>PO-202610-6323</t>
  </si>
  <si>
    <t>PO-202610-5806</t>
  </si>
  <si>
    <t>PO-202610-6318</t>
  </si>
  <si>
    <t>PO-202610-5759</t>
  </si>
  <si>
    <t>PO-202610-4076</t>
  </si>
  <si>
    <t>PO-202610-3496</t>
  </si>
  <si>
    <t>PO-202610-8035</t>
  </si>
  <si>
    <t>PO-202610-4623</t>
  </si>
  <si>
    <t>PO-202610-1119</t>
  </si>
  <si>
    <t>PO-202610-9066</t>
  </si>
  <si>
    <t>PO-202610-8371</t>
  </si>
  <si>
    <t>PO-202610-8363</t>
  </si>
  <si>
    <t>PO-202610-4445</t>
  </si>
  <si>
    <t>PO-202610-5883</t>
  </si>
  <si>
    <t>PO-202610-7791</t>
  </si>
  <si>
    <t>PO-202610-6134</t>
  </si>
  <si>
    <t>PO-202610-3034</t>
  </si>
  <si>
    <t>PO-202610-5782</t>
  </si>
  <si>
    <t>PO-202610-1383</t>
  </si>
  <si>
    <t>PO-202610-4393</t>
  </si>
  <si>
    <t>PO-202610-4633</t>
  </si>
  <si>
    <t>PO-202610-8106</t>
  </si>
  <si>
    <t>PO-202610-8515</t>
  </si>
  <si>
    <t>PO-202610-9955</t>
  </si>
  <si>
    <t>PO-202610-7810</t>
  </si>
  <si>
    <t>PO-202610-3851</t>
  </si>
  <si>
    <t>PO-202610-4127</t>
  </si>
  <si>
    <t>PO-202610-9973</t>
  </si>
  <si>
    <t>PO-202610-3719</t>
  </si>
  <si>
    <t>PO-202610-9361</t>
  </si>
  <si>
    <t>PO-202610-4156</t>
  </si>
  <si>
    <t>PO-202610-9748</t>
  </si>
  <si>
    <t>PO-202610-3264</t>
  </si>
  <si>
    <t>PO-202610-7802</t>
  </si>
  <si>
    <t>PO-202610-4794</t>
  </si>
  <si>
    <t>PO-202610-4365</t>
  </si>
  <si>
    <t>PO-202610-3584</t>
  </si>
  <si>
    <t>PO-202610-8418</t>
  </si>
  <si>
    <t>PO-202610-5454</t>
  </si>
  <si>
    <t>PO-202610-1153</t>
  </si>
  <si>
    <t>PO-202610-4763</t>
  </si>
  <si>
    <t>PO-202610-2235</t>
  </si>
  <si>
    <t>PO-202610-4562</t>
  </si>
  <si>
    <t>PO-202610-4104</t>
  </si>
  <si>
    <t>PO-202610-5382</t>
  </si>
  <si>
    <t>PO-202610-5890</t>
  </si>
  <si>
    <t>PO-202610-1124</t>
  </si>
  <si>
    <t>PO-202610-4961</t>
  </si>
  <si>
    <t>PO-202610-4441</t>
  </si>
  <si>
    <t>PO-202610-5404</t>
  </si>
  <si>
    <t>PO-202610-4160</t>
  </si>
  <si>
    <t>PO-202610-2975</t>
  </si>
  <si>
    <t>PO-202610-9919</t>
  </si>
  <si>
    <t>PO-202610-6934</t>
  </si>
  <si>
    <t>PO-202610-2481</t>
  </si>
  <si>
    <t>PO-202610-6764</t>
  </si>
  <si>
    <t>PO-202610-3110</t>
  </si>
  <si>
    <t>PO-202610-4014</t>
  </si>
  <si>
    <t>PO-202610-1698</t>
  </si>
  <si>
    <t>PO-202610-6247</t>
  </si>
  <si>
    <t>PO-202610-9255</t>
  </si>
  <si>
    <t>PO-202610-4787</t>
  </si>
  <si>
    <t>PO-202610-3333</t>
  </si>
  <si>
    <t>PO-202610-3359</t>
  </si>
  <si>
    <t>PO-202610-8509</t>
  </si>
  <si>
    <t>PO-202610-9283</t>
  </si>
  <si>
    <t>PO-202610-8113</t>
  </si>
  <si>
    <t>PO-202610-1580</t>
  </si>
  <si>
    <t>PO-202610-6985</t>
  </si>
  <si>
    <t>PO-202610-1196</t>
  </si>
  <si>
    <t>PO-202610-2642</t>
  </si>
  <si>
    <t>PO-202610-9787</t>
  </si>
  <si>
    <t>PO-202610-7047</t>
  </si>
  <si>
    <t>PO-202610-5544</t>
  </si>
  <si>
    <t>PO-202610-7513</t>
  </si>
  <si>
    <t>PO-202610-5342</t>
  </si>
  <si>
    <t>PO-202610-9182</t>
  </si>
  <si>
    <t>PO-202610-7409</t>
  </si>
  <si>
    <t>PO-202610-8083</t>
  </si>
  <si>
    <t>PO-202610-5366</t>
  </si>
  <si>
    <t>PO-202610-3200</t>
  </si>
  <si>
    <t>PO-202610-1712</t>
  </si>
  <si>
    <t>PO-202610-8429</t>
  </si>
  <si>
    <t>PO-202610-7939</t>
  </si>
  <si>
    <t>PO-202610-8416</t>
  </si>
  <si>
    <t>PO-202610-3650</t>
  </si>
  <si>
    <t>PO-202610-4271</t>
  </si>
  <si>
    <t>PO-202610-5961</t>
  </si>
  <si>
    <t>PO-202610-2493</t>
  </si>
  <si>
    <t>PO-202610-1717</t>
  </si>
  <si>
    <t>PO-202610-5702</t>
  </si>
  <si>
    <t>PO-202610-7094</t>
  </si>
  <si>
    <t>PO-202610-8938</t>
  </si>
  <si>
    <t>PO-202610-6133</t>
  </si>
  <si>
    <t>PO-202610-6036</t>
  </si>
  <si>
    <t>PO-202610-7502</t>
  </si>
  <si>
    <t>PO-202610-3166</t>
  </si>
  <si>
    <t>PO-202610-1232</t>
  </si>
  <si>
    <t>PO-202610-6397</t>
  </si>
  <si>
    <t>PO-202610-9986</t>
  </si>
  <si>
    <t>PO-202610-3022</t>
  </si>
  <si>
    <t>PO-202610-3205</t>
  </si>
  <si>
    <t>PO-202610-8942</t>
  </si>
  <si>
    <t>PO-202610-3651</t>
  </si>
  <si>
    <t>PO-202610-4613</t>
  </si>
  <si>
    <t>PO-202610-4704</t>
  </si>
  <si>
    <t>PO-202610-8657</t>
  </si>
  <si>
    <t>PO-202610-8765</t>
  </si>
  <si>
    <t>PO-202610-3960</t>
  </si>
  <si>
    <t>PO-202610-3736</t>
  </si>
  <si>
    <t>PO-202610-4644</t>
  </si>
  <si>
    <t>PO-202610-2565</t>
  </si>
  <si>
    <t>PO-202610-4473</t>
  </si>
  <si>
    <t>PO-202610-9992</t>
  </si>
  <si>
    <t>PO-202610-6245</t>
  </si>
  <si>
    <t>PO-202610-6567</t>
  </si>
  <si>
    <t>PO-202610-5068</t>
  </si>
  <si>
    <t>PO-202610-3687</t>
  </si>
  <si>
    <t>PO-202610-9485</t>
  </si>
  <si>
    <t>PO-202610-6428</t>
  </si>
  <si>
    <t>PO-202610-6886</t>
  </si>
  <si>
    <t>PO-202610-8775</t>
  </si>
  <si>
    <t>PO-202610-6426</t>
  </si>
  <si>
    <t>PO-202610-1983</t>
  </si>
  <si>
    <t>PO-202610-9518</t>
  </si>
  <si>
    <t>PO-202610-3638</t>
  </si>
  <si>
    <t>PO-202610-7923</t>
  </si>
  <si>
    <t>PO-202610-8774</t>
  </si>
  <si>
    <t>PO-202610-2723</t>
  </si>
  <si>
    <t>PO-202610-8490</t>
  </si>
  <si>
    <t>PO-202610-7208</t>
  </si>
  <si>
    <t>PO-202610-5958</t>
  </si>
  <si>
    <t>PO-202610-9289</t>
  </si>
  <si>
    <t>PO-202610-1934</t>
  </si>
  <si>
    <t>PO-202610-9412</t>
  </si>
  <si>
    <t>PO-202610-5550</t>
  </si>
  <si>
    <t>PO-202610-5078</t>
  </si>
  <si>
    <t>PO-202610-9763</t>
  </si>
  <si>
    <t>PO-202610-7837</t>
  </si>
  <si>
    <t>PO-202610-9762</t>
  </si>
  <si>
    <t>PO-202610-7216</t>
  </si>
  <si>
    <t>PO-202610-5305</t>
  </si>
  <si>
    <t>PO-202610-4063</t>
  </si>
  <si>
    <t>PO-202610-6500</t>
  </si>
  <si>
    <t>PO-202610-1844</t>
  </si>
  <si>
    <t>PO-202610-3250</t>
  </si>
  <si>
    <t>PO-202610-3042</t>
  </si>
  <si>
    <t>PO-202610-3163</t>
  </si>
  <si>
    <t>PO-202610-5282</t>
  </si>
  <si>
    <t>PO-202610-4669</t>
  </si>
  <si>
    <t>PO-202610-2841</t>
  </si>
  <si>
    <t>PO-202610-6615</t>
  </si>
  <si>
    <t>PO-202610-7563</t>
  </si>
  <si>
    <t>PO-202610-4541</t>
  </si>
  <si>
    <t>PO-202610-2245</t>
  </si>
  <si>
    <t>PO-202610-3555</t>
  </si>
  <si>
    <t>PO-202610-3525</t>
  </si>
  <si>
    <t>PO-202610-8039</t>
  </si>
  <si>
    <t>PO-202610-5921</t>
  </si>
  <si>
    <t>PO-202610-4433</t>
  </si>
  <si>
    <t>PO-202610-3835</t>
  </si>
  <si>
    <t>PO-202610-3703</t>
  </si>
  <si>
    <t>PO-202610-5597</t>
  </si>
  <si>
    <t>PO-202610-4734</t>
  </si>
  <si>
    <t>PO-202610-8132</t>
  </si>
  <si>
    <t>PO-202610-3900</t>
  </si>
  <si>
    <t>PO-202610-7407</t>
  </si>
  <si>
    <t>PO-202610-6132</t>
  </si>
  <si>
    <t>PO-202610-9698</t>
  </si>
  <si>
    <t>PO-202610-6855</t>
  </si>
  <si>
    <t>PO-202610-9131</t>
  </si>
  <si>
    <t>PO-202610-3275</t>
  </si>
  <si>
    <t>PO-202610-3327</t>
  </si>
  <si>
    <t>PO-202610-5267</t>
  </si>
  <si>
    <t>PO-202610-5422</t>
  </si>
  <si>
    <t>PO-202610-5254</t>
  </si>
  <si>
    <t>PO-202610-4708</t>
  </si>
  <si>
    <t>PO-202610-8944</t>
  </si>
  <si>
    <t>PO-202610-8203</t>
  </si>
  <si>
    <t>PO-202610-9202</t>
  </si>
  <si>
    <t>PO-202610-9600</t>
  </si>
  <si>
    <t>PO-202610-5346</t>
  </si>
  <si>
    <t>PO-202610-2570</t>
  </si>
  <si>
    <t>PO-202610-3949</t>
  </si>
  <si>
    <t>PO-202610-7150</t>
  </si>
  <si>
    <t>PO-202610-1340</t>
  </si>
  <si>
    <t>PO-202610-4366</t>
  </si>
  <si>
    <t>PO-202610-5480</t>
  </si>
  <si>
    <t>PO-202610-6811</t>
  </si>
  <si>
    <t>PO-202610-4666</t>
  </si>
  <si>
    <t>PO-202610-5143</t>
  </si>
  <si>
    <t>PO-202610-7184</t>
  </si>
  <si>
    <t>PO-202610-6703</t>
  </si>
  <si>
    <t>PO-202610-7187</t>
  </si>
  <si>
    <t>PO-202610-8947</t>
  </si>
  <si>
    <t>PO-202610-5888</t>
  </si>
  <si>
    <t>PO-202610-7451</t>
  </si>
  <si>
    <t>PO-202610-3328</t>
  </si>
  <si>
    <t>PO-202610-1116</t>
  </si>
  <si>
    <t>PO-202610-9608</t>
  </si>
  <si>
    <t>PO-202610-5828</t>
  </si>
  <si>
    <t>PO-202610-8652</t>
  </si>
  <si>
    <t>PO-202610-1471</t>
  </si>
  <si>
    <t>PO-202610-4522</t>
  </si>
  <si>
    <t>PO-202610-7399</t>
  </si>
  <si>
    <t>PO-202610-9484</t>
  </si>
  <si>
    <t>PO-202610-9226</t>
  </si>
  <si>
    <t>PO-202610-5560</t>
  </si>
  <si>
    <t>PO-202610-8764</t>
  </si>
  <si>
    <t>PO-202610-2813</t>
  </si>
  <si>
    <t>PO-202610-2324</t>
  </si>
  <si>
    <t>PO-202610-7032</t>
  </si>
  <si>
    <t>PO-202610-9669</t>
  </si>
  <si>
    <t>PO-202610-6946</t>
  </si>
  <si>
    <t>PO-202610-3189</t>
  </si>
  <si>
    <t>PO-202610-2386</t>
  </si>
  <si>
    <t>PO-202610-7147</t>
  </si>
  <si>
    <t>PO-202610-2752</t>
  </si>
  <si>
    <t>PO-202610-3809</t>
  </si>
  <si>
    <t>PO-202610-9633</t>
  </si>
  <si>
    <t>PO-202610-9383</t>
  </si>
  <si>
    <t>PO-202610-8093</t>
  </si>
  <si>
    <t>PO-202610-7829</t>
  </si>
  <si>
    <t>PO-202610-7557</t>
  </si>
  <si>
    <t>PO-202610-7199</t>
  </si>
  <si>
    <t>PO-202610-3625</t>
  </si>
  <si>
    <t>PO-202610-6143</t>
  </si>
  <si>
    <t>PO-202610-2941</t>
  </si>
  <si>
    <t>PO-202610-6168</t>
  </si>
  <si>
    <t>PO-202610-2873</t>
  </si>
  <si>
    <t>PO-202610-8859</t>
  </si>
  <si>
    <t>PO-202610-2290</t>
  </si>
  <si>
    <t>PO-202610-6657</t>
  </si>
  <si>
    <t>PO-202610-5226</t>
  </si>
  <si>
    <t>PO-202610-5240</t>
  </si>
  <si>
    <t>PO-202610-8145</t>
  </si>
  <si>
    <t>PO-202610-7722</t>
  </si>
  <si>
    <t>PO-202610-6339</t>
  </si>
  <si>
    <t>PO-202610-5011</t>
  </si>
  <si>
    <t>PO-202610-3215</t>
  </si>
  <si>
    <t>PO-202610-5731</t>
  </si>
  <si>
    <t>PO-202610-5631</t>
  </si>
  <si>
    <t>PO-202610-5621</t>
  </si>
  <si>
    <t>PO-202610-3611</t>
  </si>
  <si>
    <t>PO-202610-9085</t>
  </si>
  <si>
    <t>PO-202610-8711</t>
  </si>
  <si>
    <t>PO-202610-8526</t>
  </si>
  <si>
    <t>PO-202610-5215</t>
  </si>
  <si>
    <t>PO-202610-5819</t>
  </si>
  <si>
    <t>PO-202610-6385</t>
  </si>
  <si>
    <t>PO-202610-4571</t>
  </si>
  <si>
    <t>PO-202610-6103</t>
  </si>
  <si>
    <t>PO-202610-3025</t>
  </si>
  <si>
    <t>PO-202610-4309</t>
  </si>
  <si>
    <t>PO-202610-9129</t>
  </si>
  <si>
    <t>PO-202610-2463</t>
  </si>
  <si>
    <t>PO-202610-9587</t>
  </si>
  <si>
    <t>PO-202610-9527</t>
  </si>
  <si>
    <t>PO-202610-1301</t>
  </si>
  <si>
    <t>PO-202610-8688</t>
  </si>
  <si>
    <t>PO-202610-4506</t>
  </si>
  <si>
    <t>PO-202610-9534</t>
  </si>
  <si>
    <t>PO-202610-5107</t>
  </si>
  <si>
    <t>PO-202610-5510</t>
  </si>
  <si>
    <t>PO-202610-8101</t>
  </si>
  <si>
    <t>PO-202610-9069</t>
  </si>
  <si>
    <t>PO-202610-7996</t>
  </si>
  <si>
    <t>PO-202610-4046</t>
  </si>
  <si>
    <t>PO-202610-5081</t>
  </si>
  <si>
    <t>PO-202610-5252</t>
  </si>
  <si>
    <t>PO-202610-4707</t>
  </si>
  <si>
    <t>PO-202610-7039</t>
  </si>
  <si>
    <t>PO-202610-8078</t>
  </si>
  <si>
    <t>PO-202610-5127</t>
  </si>
  <si>
    <t>PO-202610-9779</t>
  </si>
  <si>
    <t>PO-202610-1745</t>
  </si>
  <si>
    <t>PO-202610-5626</t>
  </si>
  <si>
    <t>PO-202610-7786</t>
  </si>
  <si>
    <t>PO-202610-5684</t>
  </si>
  <si>
    <t>PO-202610-9605</t>
  </si>
  <si>
    <t>PO-202610-8415</t>
  </si>
  <si>
    <t>PO-202610-4471</t>
  </si>
  <si>
    <t>PO-202610-5699</t>
  </si>
  <si>
    <t>PO-202610-9537</t>
  </si>
  <si>
    <t>PO-202610-4982</t>
  </si>
  <si>
    <t>PO-202610-2681</t>
  </si>
  <si>
    <t>PO-202610-3933</t>
  </si>
  <si>
    <t>PO-202610-8234</t>
  </si>
  <si>
    <t>PO-202610-4291</t>
  </si>
  <si>
    <t>PO-202610-3860</t>
  </si>
  <si>
    <t>PO-202610-8872</t>
  </si>
  <si>
    <t>PO-202610-9918</t>
  </si>
  <si>
    <t>PO-202610-9576</t>
  </si>
  <si>
    <t>PO-202610-6257</t>
  </si>
  <si>
    <t>PO-202610-2284</t>
  </si>
  <si>
    <t>PO-202610-6591</t>
  </si>
  <si>
    <t>PO-202610-3941</t>
  </si>
  <si>
    <t>PO-202610-4263</t>
  </si>
  <si>
    <t>PO-202610-5216</t>
  </si>
  <si>
    <t>PO-202610-4185</t>
  </si>
  <si>
    <t>PO-202610-2654</t>
  </si>
  <si>
    <t>PO-202610-8911</t>
  </si>
  <si>
    <t>PO-202610-7884</t>
  </si>
  <si>
    <t>PO-202610-9175</t>
  </si>
  <si>
    <t>PO-202610-3759</t>
  </si>
  <si>
    <t>PO-202610-5348</t>
  </si>
  <si>
    <t>PO-202610-7259</t>
  </si>
  <si>
    <t>PO-202610-8424</t>
  </si>
  <si>
    <t>PO-202610-4831</t>
  </si>
  <si>
    <t>PO-202610-1034</t>
  </si>
  <si>
    <t>PO-202610-4769</t>
  </si>
  <si>
    <t>PO-202610-2392</t>
  </si>
  <si>
    <t>PO-202610-9313</t>
  </si>
  <si>
    <t>PO-202610-2070</t>
  </si>
  <si>
    <t>PO-202610-1095</t>
  </si>
  <si>
    <t>PO-202610-6996</t>
  </si>
  <si>
    <t>PO-202610-8540</t>
  </si>
  <si>
    <t>PO-202610-3701</t>
  </si>
  <si>
    <t>PO-202610-7308</t>
  </si>
  <si>
    <t>PO-202610-9021</t>
  </si>
  <si>
    <t>PO-202610-7909</t>
  </si>
  <si>
    <t>PO-202610-9245</t>
  </si>
  <si>
    <t>PO-202610-3301</t>
  </si>
  <si>
    <t>PO-202610-5981</t>
  </si>
  <si>
    <t>PO-202610-4876</t>
  </si>
  <si>
    <t>PO-202610-6830</t>
  </si>
  <si>
    <t>PO-202610-7523</t>
  </si>
  <si>
    <t>PO-202610-1887</t>
  </si>
  <si>
    <t>PO-202610-6981</t>
  </si>
  <si>
    <t>PO-202610-3695</t>
  </si>
  <si>
    <t>PO-202610-5278</t>
  </si>
  <si>
    <t>PO-202610-3832</t>
  </si>
  <si>
    <t>PO-202610-2702</t>
  </si>
  <si>
    <t>PO-202610-2273</t>
  </si>
  <si>
    <t>PO-202610-5059</t>
  </si>
  <si>
    <t>PO-202610-5476</t>
  </si>
  <si>
    <t>PO-202610-5723</t>
  </si>
  <si>
    <t>PO-202610-6206</t>
  </si>
  <si>
    <t>PO-202610-9222</t>
  </si>
  <si>
    <t>PO-202610-1685</t>
  </si>
  <si>
    <t>PO-202610-9078</t>
  </si>
  <si>
    <t>PO-202610-5695</t>
  </si>
  <si>
    <t>PO-202610-6060</t>
  </si>
  <si>
    <t>PO-202610-5182</t>
  </si>
  <si>
    <t>PO-202610-4693</t>
  </si>
  <si>
    <t>PO-202610-1304</t>
  </si>
  <si>
    <t>PO-202610-2879</t>
  </si>
  <si>
    <t>PO-202610-8243</t>
  </si>
  <si>
    <t>PO-202610-6299</t>
  </si>
  <si>
    <t>PO-202610-1709</t>
  </si>
  <si>
    <t>PO-202610-9553</t>
  </si>
  <si>
    <t>PO-202610-3044</t>
  </si>
  <si>
    <t>PO-202610-9476</t>
  </si>
  <si>
    <t>PO-202610-3141</t>
  </si>
  <si>
    <t>PO-202610-7874</t>
  </si>
  <si>
    <t>PO-202610-4305</t>
  </si>
  <si>
    <t>PO-202610-3216</t>
  </si>
  <si>
    <t>PO-202610-7750</t>
  </si>
  <si>
    <t>PO-202610-3714</t>
  </si>
  <si>
    <t>PO-202610-4123</t>
  </si>
  <si>
    <t>PO-202610-5096</t>
  </si>
  <si>
    <t>PO-202610-6700</t>
  </si>
  <si>
    <t>PO-202610-7822</t>
  </si>
  <si>
    <t>PO-202610-2545</t>
  </si>
  <si>
    <t>PO-202610-1555</t>
  </si>
  <si>
    <t>PO-202610-6993</t>
  </si>
  <si>
    <t>PO-202610-6952</t>
  </si>
  <si>
    <t>PO-202610-7210</t>
  </si>
  <si>
    <t>PO-202610-3589</t>
  </si>
  <si>
    <t>PO-202610-1959</t>
  </si>
  <si>
    <t>PO-202610-7304</t>
  </si>
  <si>
    <t>PO-202610-9538</t>
  </si>
  <si>
    <t>PO-202610-3427</t>
  </si>
  <si>
    <t>PO-202610-7158</t>
  </si>
  <si>
    <t>PO-202610-2770</t>
  </si>
  <si>
    <t>PO-202610-2749</t>
  </si>
  <si>
    <t>PO-202610-3196</t>
  </si>
  <si>
    <t>PO-202610-3193</t>
  </si>
  <si>
    <t>PO-202610-5528</t>
  </si>
  <si>
    <t>Quantity Out</t>
  </si>
  <si>
    <t>Destination / Department</t>
  </si>
  <si>
    <t>Reference / Document No.</t>
  </si>
  <si>
    <t>Issued By</t>
  </si>
  <si>
    <t>OUT01189</t>
  </si>
  <si>
    <t>Sales Order</t>
  </si>
  <si>
    <t>DO-202609-7162</t>
  </si>
  <si>
    <t>OUT00340</t>
  </si>
  <si>
    <t>Branch Warehouse</t>
  </si>
  <si>
    <t>DO-202609-2827</t>
  </si>
  <si>
    <t>OUT00171</t>
  </si>
  <si>
    <t>Internal Use</t>
  </si>
  <si>
    <t>DO-202609-5656</t>
  </si>
  <si>
    <t>OUT00088</t>
  </si>
  <si>
    <t>Online Order</t>
  </si>
  <si>
    <t>DO-202609-7060</t>
  </si>
  <si>
    <t>OUT01378</t>
  </si>
  <si>
    <t>Production</t>
  </si>
  <si>
    <t>DO-202609-2011</t>
  </si>
  <si>
    <t>OUT01923</t>
  </si>
  <si>
    <t>DO-202609-2937</t>
  </si>
  <si>
    <t>OUT01932</t>
  </si>
  <si>
    <t>DO-202609-4487</t>
  </si>
  <si>
    <t>OUT01169</t>
  </si>
  <si>
    <t>DO-202609-2665</t>
  </si>
  <si>
    <t>OUT00984</t>
  </si>
  <si>
    <t>DO-202609-2814</t>
  </si>
  <si>
    <t>OUT00179</t>
  </si>
  <si>
    <t>DO-202609-1855</t>
  </si>
  <si>
    <t>OUT01607</t>
  </si>
  <si>
    <t>DO-202609-2448</t>
  </si>
  <si>
    <t>OUT02056</t>
  </si>
  <si>
    <t>DO-202609-2086</t>
  </si>
  <si>
    <t>OUT02082</t>
  </si>
  <si>
    <t>DO-202609-6019</t>
  </si>
  <si>
    <t>OUT01649</t>
  </si>
  <si>
    <t>DO-202609-7011</t>
  </si>
  <si>
    <t>OUT00974</t>
  </si>
  <si>
    <t>DO-202609-5477</t>
  </si>
  <si>
    <t>OUT01465</t>
  </si>
  <si>
    <t>DO-202609-1995</t>
  </si>
  <si>
    <t>OUT01140</t>
  </si>
  <si>
    <t>DO-202609-2930</t>
  </si>
  <si>
    <t>OUT01640</t>
  </si>
  <si>
    <t>DO-202609-6643</t>
  </si>
  <si>
    <t>OUT01448</t>
  </si>
  <si>
    <t>DO-202609-8309</t>
  </si>
  <si>
    <t>OUT01619</t>
  </si>
  <si>
    <t>DO-202609-2547</t>
  </si>
  <si>
    <t>OUT01151</t>
  </si>
  <si>
    <t>DO-202609-8114</t>
  </si>
  <si>
    <t>OUT01815</t>
  </si>
  <si>
    <t>DO-202609-3326</t>
  </si>
  <si>
    <t>OUT01445</t>
  </si>
  <si>
    <t>DO-202609-1245</t>
  </si>
  <si>
    <t>OUT01758</t>
  </si>
  <si>
    <t>DO-202609-1019</t>
  </si>
  <si>
    <t>OUT00200</t>
  </si>
  <si>
    <t>DO-202609-7821</t>
  </si>
  <si>
    <t>OUT00619</t>
  </si>
  <si>
    <t>DO-202609-2153</t>
  </si>
  <si>
    <t>OUT01599</t>
  </si>
  <si>
    <t>DO-202609-4481</t>
  </si>
  <si>
    <t>OUT00703</t>
  </si>
  <si>
    <t>DO-202609-1819</t>
  </si>
  <si>
    <t>OUT02171</t>
  </si>
  <si>
    <t>DO-202609-4825</t>
  </si>
  <si>
    <t>OUT00161</t>
  </si>
  <si>
    <t>DO-202609-8134</t>
  </si>
  <si>
    <t>OUT01249</t>
  </si>
  <si>
    <t>DO-202609-3554</t>
  </si>
  <si>
    <t>OUT01546</t>
  </si>
  <si>
    <t>DO-202609-5201</t>
  </si>
  <si>
    <t>OUT02161</t>
  </si>
  <si>
    <t>DO-202609-2783</t>
  </si>
  <si>
    <t>OUT00838</t>
  </si>
  <si>
    <t>DO-202609-5461</t>
  </si>
  <si>
    <t>OUT01263</t>
  </si>
  <si>
    <t>DO-202609-5009</t>
  </si>
  <si>
    <t>OUT00427</t>
  </si>
  <si>
    <t>DO-202609-8927</t>
  </si>
  <si>
    <t>OUT01532</t>
  </si>
  <si>
    <t>DO-202609-1295</t>
  </si>
  <si>
    <t>OUT01101</t>
  </si>
  <si>
    <t>DO-202609-7418</t>
  </si>
  <si>
    <t>OUT00133</t>
  </si>
  <si>
    <t>DO-202609-9627</t>
  </si>
  <si>
    <t>OUT00813</t>
  </si>
  <si>
    <t>DO-202609-8130</t>
  </si>
  <si>
    <t>OUT01494</t>
  </si>
  <si>
    <t>DO-202609-5841</t>
  </si>
  <si>
    <t>OUT01566</t>
  </si>
  <si>
    <t>DO-202609-9861</t>
  </si>
  <si>
    <t>OUT00662</t>
  </si>
  <si>
    <t>DO-202609-8906</t>
  </si>
  <si>
    <t>OUT01227</t>
  </si>
  <si>
    <t>DO-202609-2965</t>
  </si>
  <si>
    <t>OUT01310</t>
  </si>
  <si>
    <t>DO-202609-8460</t>
  </si>
  <si>
    <t>OUT01500</t>
  </si>
  <si>
    <t>DO-202609-8488</t>
  </si>
  <si>
    <t>OUT01505</t>
  </si>
  <si>
    <t>DO-202609-7077</t>
  </si>
  <si>
    <t>OUT00461</t>
  </si>
  <si>
    <t>DO-202609-4977</t>
  </si>
  <si>
    <t>OUT00601</t>
  </si>
  <si>
    <t>DO-202609-6633</t>
  </si>
  <si>
    <t>OUT02052</t>
  </si>
  <si>
    <t>DO-202609-3092</t>
  </si>
  <si>
    <t>OUT00412</t>
  </si>
  <si>
    <t>DO-202609-3364</t>
  </si>
  <si>
    <t>OUT02027</t>
  </si>
  <si>
    <t>DO-202609-9924</t>
  </si>
  <si>
    <t>OUT02174</t>
  </si>
  <si>
    <t>DO-202609-5254</t>
  </si>
  <si>
    <t>OUT02038</t>
  </si>
  <si>
    <t>DO-202609-1735</t>
  </si>
  <si>
    <t>OUT00195</t>
  </si>
  <si>
    <t>DO-202609-3898</t>
  </si>
  <si>
    <t>OUT01503</t>
  </si>
  <si>
    <t>DO-202609-8141</t>
  </si>
  <si>
    <t>OUT01185</t>
  </si>
  <si>
    <t>DO-202609-8366</t>
  </si>
  <si>
    <t>OUT00849</t>
  </si>
  <si>
    <t>DO-202609-4255</t>
  </si>
  <si>
    <t>OUT02143</t>
  </si>
  <si>
    <t>DO-202609-4285</t>
  </si>
  <si>
    <t>OUT02139</t>
  </si>
  <si>
    <t>DO-202609-2874</t>
  </si>
  <si>
    <t>OUT00145</t>
  </si>
  <si>
    <t>DO-202609-7106</t>
  </si>
  <si>
    <t>OUT01789</t>
  </si>
  <si>
    <t>DO-202609-2747</t>
  </si>
  <si>
    <t>OUT01582</t>
  </si>
  <si>
    <t>DO-202609-1788</t>
  </si>
  <si>
    <t>OUT01150</t>
  </si>
  <si>
    <t>DO-202609-8838</t>
  </si>
  <si>
    <t>OUT01847</t>
  </si>
  <si>
    <t>DO-202609-1169</t>
  </si>
  <si>
    <t>OUT01811</t>
  </si>
  <si>
    <t>DO-202609-7574</t>
  </si>
  <si>
    <t>OUT00711</t>
  </si>
  <si>
    <t>DO-202609-8859</t>
  </si>
  <si>
    <t>OUT00390</t>
  </si>
  <si>
    <t>DO-202609-1646</t>
  </si>
  <si>
    <t>OUT01224</t>
  </si>
  <si>
    <t>DO-202609-9502</t>
  </si>
  <si>
    <t>OUT00275</t>
  </si>
  <si>
    <t>DO-202609-4621</t>
  </si>
  <si>
    <t>OUT00699</t>
  </si>
  <si>
    <t>DO-202609-4545</t>
  </si>
  <si>
    <t>OUT00694</t>
  </si>
  <si>
    <t>DO-202609-9385</t>
  </si>
  <si>
    <t>OUT01702</t>
  </si>
  <si>
    <t>DO-202609-4714</t>
  </si>
  <si>
    <t>OUT00687</t>
  </si>
  <si>
    <t>DO-202609-2113</t>
  </si>
  <si>
    <t>OUT01066</t>
  </si>
  <si>
    <t>DO-202609-9615</t>
  </si>
  <si>
    <t>OUT00295</t>
  </si>
  <si>
    <t>DO-202609-3270</t>
  </si>
  <si>
    <t>OUT00301</t>
  </si>
  <si>
    <t>DO-202609-8555</t>
  </si>
  <si>
    <t>OUT02110</t>
  </si>
  <si>
    <t>DO-202609-9503</t>
  </si>
  <si>
    <t>OUT00009</t>
  </si>
  <si>
    <t>DO-202609-7904</t>
  </si>
  <si>
    <t>OUT00385</t>
  </si>
  <si>
    <t>DO-202609-5813</t>
  </si>
  <si>
    <t>OUT01110</t>
  </si>
  <si>
    <t>DO-202609-4893</t>
  </si>
  <si>
    <t>OUT01669</t>
  </si>
  <si>
    <t>DO-202609-7058</t>
  </si>
  <si>
    <t>OUT02124</t>
  </si>
  <si>
    <t>DO-202609-1197</t>
  </si>
  <si>
    <t>OUT00516</t>
  </si>
  <si>
    <t>DO-202609-7141</t>
  </si>
  <si>
    <t>OUT01754</t>
  </si>
  <si>
    <t>DO-202609-6486</t>
  </si>
  <si>
    <t>OUT00737</t>
  </si>
  <si>
    <t>DO-202609-4392</t>
  </si>
  <si>
    <t>OUT01646</t>
  </si>
  <si>
    <t>DO-202609-9867</t>
  </si>
  <si>
    <t>OUT01154</t>
  </si>
  <si>
    <t>DO-202609-7147</t>
  </si>
  <si>
    <t>OUT00224</t>
  </si>
  <si>
    <t>DO-202609-8478</t>
  </si>
  <si>
    <t>OUT00372</t>
  </si>
  <si>
    <t>DO-202609-6143</t>
  </si>
  <si>
    <t>OUT02178</t>
  </si>
  <si>
    <t>DO-202609-1834</t>
  </si>
  <si>
    <t>OUT02126</t>
  </si>
  <si>
    <t>DO-202609-7145</t>
  </si>
  <si>
    <t>OUT01400</t>
  </si>
  <si>
    <t>DO-202609-2461</t>
  </si>
  <si>
    <t>OUT00982</t>
  </si>
  <si>
    <t>DO-202609-1762</t>
  </si>
  <si>
    <t>OUT01787</t>
  </si>
  <si>
    <t>DO-202609-8091</t>
  </si>
  <si>
    <t>OUT01094</t>
  </si>
  <si>
    <t>DO-202609-2374</t>
  </si>
  <si>
    <t>OUT01289</t>
  </si>
  <si>
    <t>DO-202609-9010</t>
  </si>
  <si>
    <t>OUT02132</t>
  </si>
  <si>
    <t>DO-202609-9205</t>
  </si>
  <si>
    <t>OUT01545</t>
  </si>
  <si>
    <t>DO-202609-8048</t>
  </si>
  <si>
    <t>OUT02078</t>
  </si>
  <si>
    <t>DO-202609-8743</t>
  </si>
  <si>
    <t>OUT01123</t>
  </si>
  <si>
    <t>DO-202609-7132</t>
  </si>
  <si>
    <t>OUT01530</t>
  </si>
  <si>
    <t>DO-202609-9286</t>
  </si>
  <si>
    <t>OUT01784</t>
  </si>
  <si>
    <t>DO-202609-5937</t>
  </si>
  <si>
    <t>OUT00847</t>
  </si>
  <si>
    <t>DO-202609-7021</t>
  </si>
  <si>
    <t>OUT00956</t>
  </si>
  <si>
    <t>DO-202609-1899</t>
  </si>
  <si>
    <t>OUT01385</t>
  </si>
  <si>
    <t>DO-202609-4757</t>
  </si>
  <si>
    <t>OUT01230</t>
  </si>
  <si>
    <t>DO-202609-4443</t>
  </si>
  <si>
    <t>OUT01064</t>
  </si>
  <si>
    <t>DO-202609-8696</t>
  </si>
  <si>
    <t>OUT00967</t>
  </si>
  <si>
    <t>DO-202609-2523</t>
  </si>
  <si>
    <t>OUT02055</t>
  </si>
  <si>
    <t>DO-202609-8376</t>
  </si>
  <si>
    <t>OUT01058</t>
  </si>
  <si>
    <t>DO-202609-1045</t>
  </si>
  <si>
    <t>OUT00915</t>
  </si>
  <si>
    <t>DO-202609-6910</t>
  </si>
  <si>
    <t>OUT02148</t>
  </si>
  <si>
    <t>OUT00261</t>
  </si>
  <si>
    <t>DO-202609-5073</t>
  </si>
  <si>
    <t>OUT01398</t>
  </si>
  <si>
    <t>DO-202609-5235</t>
  </si>
  <si>
    <t>OUT01483</t>
  </si>
  <si>
    <t>DO-202609-9854</t>
  </si>
  <si>
    <t>OUT01077</t>
  </si>
  <si>
    <t>DO-202609-5777</t>
  </si>
  <si>
    <t>OUT02119</t>
  </si>
  <si>
    <t>DO-202609-9438</t>
  </si>
  <si>
    <t>OUT01490</t>
  </si>
  <si>
    <t>DO-202609-1244</t>
  </si>
  <si>
    <t>OUT00081</t>
  </si>
  <si>
    <t>DO-202609-1392</t>
  </si>
  <si>
    <t>OUT01590</t>
  </si>
  <si>
    <t>DO-202609-2157</t>
  </si>
  <si>
    <t>OUT01554</t>
  </si>
  <si>
    <t>DO-202609-7607</t>
  </si>
  <si>
    <t>OUT01973</t>
  </si>
  <si>
    <t>DO-202609-9290</t>
  </si>
  <si>
    <t>OUT00726</t>
  </si>
  <si>
    <t>DO-202609-3376</t>
  </si>
  <si>
    <t>OUT00610</t>
  </si>
  <si>
    <t>DO-202609-1174</t>
  </si>
  <si>
    <t>OUT00828</t>
  </si>
  <si>
    <t>DO-202609-1786</t>
  </si>
  <si>
    <t>OUT02083</t>
  </si>
  <si>
    <t>DO-202609-5940</t>
  </si>
  <si>
    <t>OUT00337</t>
  </si>
  <si>
    <t>DO-202609-4218</t>
  </si>
  <si>
    <t>OUT00777</t>
  </si>
  <si>
    <t>DO-202609-1703</t>
  </si>
  <si>
    <t>OUT02102</t>
  </si>
  <si>
    <t>DO-202609-9668</t>
  </si>
  <si>
    <t>OUT01439</t>
  </si>
  <si>
    <t>DO-202609-3625</t>
  </si>
  <si>
    <t>OUT01474</t>
  </si>
  <si>
    <t>DO-202609-4444</t>
  </si>
  <si>
    <t>OUT00091</t>
  </si>
  <si>
    <t>DO-202609-9604</t>
  </si>
  <si>
    <t>OUT01117</t>
  </si>
  <si>
    <t>DO-202609-9340</t>
  </si>
  <si>
    <t>OUT01835</t>
  </si>
  <si>
    <t>DO-202609-5773</t>
  </si>
  <si>
    <t>OUT00672</t>
  </si>
  <si>
    <t>DO-202609-8816</t>
  </si>
  <si>
    <t>OUT01322</t>
  </si>
  <si>
    <t>DO-202609-6928</t>
  </si>
  <si>
    <t>OUT01986</t>
  </si>
  <si>
    <t>DO-202609-6575</t>
  </si>
  <si>
    <t>OUT01091</t>
  </si>
  <si>
    <t>DO-202609-4950</t>
  </si>
  <si>
    <t>OUT00623</t>
  </si>
  <si>
    <t>DO-202609-7338</t>
  </si>
  <si>
    <t>OUT01063</t>
  </si>
  <si>
    <t>DO-202609-3789</t>
  </si>
  <si>
    <t>OUT00514</t>
  </si>
  <si>
    <t>DO-202609-2564</t>
  </si>
  <si>
    <t>OUT01125</t>
  </si>
  <si>
    <t>DO-202609-2062</t>
  </si>
  <si>
    <t>OUT00471</t>
  </si>
  <si>
    <t>DO-202609-5311</t>
  </si>
  <si>
    <t>OUT00833</t>
  </si>
  <si>
    <t>DO-202609-5722</t>
  </si>
  <si>
    <t>OUT01364</t>
  </si>
  <si>
    <t>DO-202609-5360</t>
  </si>
  <si>
    <t>OUT00231</t>
  </si>
  <si>
    <t>DO-202609-3317</t>
  </si>
  <si>
    <t>OUT00256</t>
  </si>
  <si>
    <t>DO-202609-1652</t>
  </si>
  <si>
    <t>OUT01369</t>
  </si>
  <si>
    <t>DO-202609-9856</t>
  </si>
  <si>
    <t>OUT00377</t>
  </si>
  <si>
    <t>DO-202609-1987</t>
  </si>
  <si>
    <t>OUT01164</t>
  </si>
  <si>
    <t>DO-202609-2094</t>
  </si>
  <si>
    <t>OUT00665</t>
  </si>
  <si>
    <t>DO-202609-9577</t>
  </si>
  <si>
    <t>OUT00251</t>
  </si>
  <si>
    <t>DO-202609-5237</t>
  </si>
  <si>
    <t>OUT01780</t>
  </si>
  <si>
    <t>DO-202609-9200</t>
  </si>
  <si>
    <t>OUT00004</t>
  </si>
  <si>
    <t>DO-202609-6421</t>
  </si>
  <si>
    <t>OUT00591</t>
  </si>
  <si>
    <t>DO-202609-6133</t>
  </si>
  <si>
    <t>OUT01534</t>
  </si>
  <si>
    <t>DO-202609-4461</t>
  </si>
  <si>
    <t>OUT00331</t>
  </si>
  <si>
    <t>DO-202609-9567</t>
  </si>
  <si>
    <t>OUT00008</t>
  </si>
  <si>
    <t>DO-202609-8716</t>
  </si>
  <si>
    <t>OUT01783</t>
  </si>
  <si>
    <t>DO-202609-2886</t>
  </si>
  <si>
    <t>OUT00425</t>
  </si>
  <si>
    <t>DO-202609-3984</t>
  </si>
  <si>
    <t>OUT01576</t>
  </si>
  <si>
    <t>DO-202609-7843</t>
  </si>
  <si>
    <t>OUT01714</t>
  </si>
  <si>
    <t>DO-202609-1746</t>
  </si>
  <si>
    <t>OUT01972</t>
  </si>
  <si>
    <t>DO-202609-4926</t>
  </si>
  <si>
    <t>OUT00633</t>
  </si>
  <si>
    <t>DO-202609-1989</t>
  </si>
  <si>
    <t>OUT01108</t>
  </si>
  <si>
    <t>DO-202609-1597</t>
  </si>
  <si>
    <t>OUT01756</t>
  </si>
  <si>
    <t>DO-202609-6719</t>
  </si>
  <si>
    <t>OUT00505</t>
  </si>
  <si>
    <t>DO-202609-3641</t>
  </si>
  <si>
    <t>OUT00264</t>
  </si>
  <si>
    <t>DO-202609-1627</t>
  </si>
  <si>
    <t>OUT01261</t>
  </si>
  <si>
    <t>DO-202609-3346</t>
  </si>
  <si>
    <t>OUT00617</t>
  </si>
  <si>
    <t>DO-202609-2064</t>
  </si>
  <si>
    <t>OUT01316</t>
  </si>
  <si>
    <t>DO-202609-4516</t>
  </si>
  <si>
    <t>OUT00677</t>
  </si>
  <si>
    <t>DO-202609-2675</t>
  </si>
  <si>
    <t>OUT00415</t>
  </si>
  <si>
    <t>DO-202609-8609</t>
  </si>
  <si>
    <t>OUT01067</t>
  </si>
  <si>
    <t>DO-202609-1769</t>
  </si>
  <si>
    <t>OUT00059</t>
  </si>
  <si>
    <t>DO-202609-2854</t>
  </si>
  <si>
    <t>OUT01194</t>
  </si>
  <si>
    <t>DO-202609-2191</t>
  </si>
  <si>
    <t>OUT01321</t>
  </si>
  <si>
    <t>DO-202609-1420</t>
  </si>
  <si>
    <t>OUT01788</t>
  </si>
  <si>
    <t>DO-202609-4660</t>
  </si>
  <si>
    <t>OUT01272</t>
  </si>
  <si>
    <t>DO-202609-4249</t>
  </si>
  <si>
    <t>OUT00928</t>
  </si>
  <si>
    <t>DO-202609-9769</t>
  </si>
  <si>
    <t>OUT00380</t>
  </si>
  <si>
    <t>DO-202609-2840</t>
  </si>
  <si>
    <t>OUT01956</t>
  </si>
  <si>
    <t>DO-202609-4880</t>
  </si>
  <si>
    <t>OUT01103</t>
  </si>
  <si>
    <t>DO-202609-9617</t>
  </si>
  <si>
    <t>OUT01796</t>
  </si>
  <si>
    <t>DO-202609-7078</t>
  </si>
  <si>
    <t>OUT00157</t>
  </si>
  <si>
    <t>DO-202609-1223</t>
  </si>
  <si>
    <t>OUT00871</t>
  </si>
  <si>
    <t>DO-202609-5350</t>
  </si>
  <si>
    <t>OUT01375</t>
  </si>
  <si>
    <t>DO-202609-5260</t>
  </si>
  <si>
    <t>OUT00872</t>
  </si>
  <si>
    <t>DO-202609-3713</t>
  </si>
  <si>
    <t>OUT00364</t>
  </si>
  <si>
    <t>DO-202609-6332</t>
  </si>
  <si>
    <t>OUT01472</t>
  </si>
  <si>
    <t>DO-202609-6658</t>
  </si>
  <si>
    <t>OUT00240</t>
  </si>
  <si>
    <t>DO-202609-1440</t>
  </si>
  <si>
    <t>OUT00715</t>
  </si>
  <si>
    <t>DO-202609-5613</t>
  </si>
  <si>
    <t>OUT00444</t>
  </si>
  <si>
    <t>DO-202609-6105</t>
  </si>
  <si>
    <t>OUT01475</t>
  </si>
  <si>
    <t>DO-202609-4562</t>
  </si>
  <si>
    <t>OUT01995</t>
  </si>
  <si>
    <t>DO-202609-8581</t>
  </si>
  <si>
    <t>OUT00382</t>
  </si>
  <si>
    <t>DO-202609-5536</t>
  </si>
  <si>
    <t>OUT02173</t>
  </si>
  <si>
    <t>DO-202609-5542</t>
  </si>
  <si>
    <t>OUT01963</t>
  </si>
  <si>
    <t>OUT00481</t>
  </si>
  <si>
    <t>DO-202609-7629</t>
  </si>
  <si>
    <t>OUT01648</t>
  </si>
  <si>
    <t>DO-202609-2941</t>
  </si>
  <si>
    <t>OUT02003</t>
  </si>
  <si>
    <t>DO-202609-9055</t>
  </si>
  <si>
    <t>OUT00248</t>
  </si>
  <si>
    <t>DO-202609-7626</t>
  </si>
  <si>
    <t>OUT01340</t>
  </si>
  <si>
    <t>DO-202609-1695</t>
  </si>
  <si>
    <t>OUT00719</t>
  </si>
  <si>
    <t>DO-202609-8475</t>
  </si>
  <si>
    <t>OUT02122</t>
  </si>
  <si>
    <t>DO-202609-7051</t>
  </si>
  <si>
    <t>OUT01386</t>
  </si>
  <si>
    <t>DO-202609-7938</t>
  </si>
  <si>
    <t>OUT01342</t>
  </si>
  <si>
    <t>DO-202609-6916</t>
  </si>
  <si>
    <t>OUT01668</t>
  </si>
  <si>
    <t>DO-202609-9667</t>
  </si>
  <si>
    <t>OUT01381</t>
  </si>
  <si>
    <t>DO-202609-7606</t>
  </si>
  <si>
    <t>OUT02160</t>
  </si>
  <si>
    <t>DO-202609-1984</t>
  </si>
  <si>
    <t>OUT01370</t>
  </si>
  <si>
    <t>DO-202609-3594</t>
  </si>
  <si>
    <t>OUT01525</t>
  </si>
  <si>
    <t>DO-202609-7599</t>
  </si>
  <si>
    <t>OUT01231</t>
  </si>
  <si>
    <t>DO-202609-8433</t>
  </si>
  <si>
    <t>OUT00021</t>
  </si>
  <si>
    <t>DO-202609-4721</t>
  </si>
  <si>
    <t>OUT01793</t>
  </si>
  <si>
    <t>DO-202609-4578</t>
  </si>
  <si>
    <t>OUT01772</t>
  </si>
  <si>
    <t>DO-202609-5751</t>
  </si>
  <si>
    <t>OUT00873</t>
  </si>
  <si>
    <t>DO-202609-6615</t>
  </si>
  <si>
    <t>OUT01574</t>
  </si>
  <si>
    <t>DO-202609-1010</t>
  </si>
  <si>
    <t>OUT00679</t>
  </si>
  <si>
    <t>DO-202609-2139</t>
  </si>
  <si>
    <t>OUT01201</t>
  </si>
  <si>
    <t>DO-202609-8403</t>
  </si>
  <si>
    <t>OUT01300</t>
  </si>
  <si>
    <t>DO-202609-9189</t>
  </si>
  <si>
    <t>OUT01163</t>
  </si>
  <si>
    <t>DO-202609-8768</t>
  </si>
  <si>
    <t>OUT01081</t>
  </si>
  <si>
    <t>DO-202609-6041</t>
  </si>
  <si>
    <t>OUT00786</t>
  </si>
  <si>
    <t>DO-202609-6610</t>
  </si>
  <si>
    <t>OUT01854</t>
  </si>
  <si>
    <t>DO-202609-9892</t>
  </si>
  <si>
    <t>OUT00889</t>
  </si>
  <si>
    <t>DO-202609-3458</t>
  </si>
  <si>
    <t>OUT00890</t>
  </si>
  <si>
    <t>DO-202609-1841</t>
  </si>
  <si>
    <t>OUT00213</t>
  </si>
  <si>
    <t>DO-202609-6957</t>
  </si>
  <si>
    <t>OUT01506</t>
  </si>
  <si>
    <t>DO-202609-4683</t>
  </si>
  <si>
    <t>OUT01569</t>
  </si>
  <si>
    <t>DO-202609-9315</t>
  </si>
  <si>
    <t>OUT01312</t>
  </si>
  <si>
    <t>DO-202609-7468</t>
  </si>
  <si>
    <t>OUT01518</t>
  </si>
  <si>
    <t>DO-202609-6873</t>
  </si>
  <si>
    <t>OUT01762</t>
  </si>
  <si>
    <t>DO-202609-7318</t>
  </si>
  <si>
    <t>OUT02136</t>
  </si>
  <si>
    <t>DO-202609-2551</t>
  </si>
  <si>
    <t>OUT00534</t>
  </si>
  <si>
    <t>DO-202609-9893</t>
  </si>
  <si>
    <t>OUT00942</t>
  </si>
  <si>
    <t>DO-202609-7355</t>
  </si>
  <si>
    <t>OUT00073</t>
  </si>
  <si>
    <t>DO-202609-9284</t>
  </si>
  <si>
    <t>OUT02114</t>
  </si>
  <si>
    <t>DO-202609-3494</t>
  </si>
  <si>
    <t>OUT00206</t>
  </si>
  <si>
    <t>DO-202609-4041</t>
  </si>
  <si>
    <t>OUT01124</t>
  </si>
  <si>
    <t>DO-202609-8397</t>
  </si>
  <si>
    <t>OUT02001</t>
  </si>
  <si>
    <t>DO-202609-4565</t>
  </si>
  <si>
    <t>OUT01341</t>
  </si>
  <si>
    <t>DO-202609-8568</t>
  </si>
  <si>
    <t>OUT01723</t>
  </si>
  <si>
    <t>DO-202609-5784</t>
  </si>
  <si>
    <t>OUT02066</t>
  </si>
  <si>
    <t>DO-202609-1845</t>
  </si>
  <si>
    <t>OUT00432</t>
  </si>
  <si>
    <t>DO-202609-9504</t>
  </si>
  <si>
    <t>OUT01318</t>
  </si>
  <si>
    <t>DO-202609-2943</t>
  </si>
  <si>
    <t>OUT00457</t>
  </si>
  <si>
    <t>DO-202609-6940</t>
  </si>
  <si>
    <t>OUT02005</t>
  </si>
  <si>
    <t>OUT00459</t>
  </si>
  <si>
    <t>DO-202609-5519</t>
  </si>
  <si>
    <t>OUT02074</t>
  </si>
  <si>
    <t>DO-202609-3237</t>
  </si>
  <si>
    <t>OUT00962</t>
  </si>
  <si>
    <t>DO-202609-6215</t>
  </si>
  <si>
    <t>OUT00513</t>
  </si>
  <si>
    <t>DO-202609-1334</t>
  </si>
  <si>
    <t>OUT00414</t>
  </si>
  <si>
    <t>DO-202609-4648</t>
  </si>
  <si>
    <t>OUT02175</t>
  </si>
  <si>
    <t>DO-202609-1716</t>
  </si>
  <si>
    <t>OUT01176</t>
  </si>
  <si>
    <t>DO-202609-5665</t>
  </si>
  <si>
    <t>OUT00532</t>
  </si>
  <si>
    <t>DO-202609-8931</t>
  </si>
  <si>
    <t>OUT00803</t>
  </si>
  <si>
    <t>DO-202609-5397</t>
  </si>
  <si>
    <t>OUT00859</t>
  </si>
  <si>
    <t>DO-202609-5417</t>
  </si>
  <si>
    <t>OUT00804</t>
  </si>
  <si>
    <t>DO-202609-4356</t>
  </si>
  <si>
    <t>OUT01443</t>
  </si>
  <si>
    <t>DO-202609-5602</t>
  </si>
  <si>
    <t>OUT00142</t>
  </si>
  <si>
    <t>DO-202609-8723</t>
  </si>
  <si>
    <t>OUT00567</t>
  </si>
  <si>
    <t>DO-202609-1096</t>
  </si>
  <si>
    <t>OUT01988</t>
  </si>
  <si>
    <t>DO-202609-9852</t>
  </si>
  <si>
    <t>OUT01193</t>
  </si>
  <si>
    <t>DO-202609-7634</t>
  </si>
  <si>
    <t>OUT00811</t>
  </si>
  <si>
    <t>DO-202609-4620</t>
  </si>
  <si>
    <t>OUT00367</t>
  </si>
  <si>
    <t>DO-202609-5522</t>
  </si>
  <si>
    <t>OUT01023</t>
  </si>
  <si>
    <t>DO-202609-1349</t>
  </si>
  <si>
    <t>OUT02031</t>
  </si>
  <si>
    <t>DO-202609-6297</t>
  </si>
  <si>
    <t>OUT00590</t>
  </si>
  <si>
    <t>DO-202609-2404</t>
  </si>
  <si>
    <t>OUT00238</t>
  </si>
  <si>
    <t>OUT00402</t>
  </si>
  <si>
    <t>DO-202609-6078</t>
  </si>
  <si>
    <t>OUT00985</t>
  </si>
  <si>
    <t>DO-202609-8324</t>
  </si>
  <si>
    <t>OUT00175</t>
  </si>
  <si>
    <t>DO-202609-7274</t>
  </si>
  <si>
    <t>OUT00350</t>
  </si>
  <si>
    <t>DO-202609-4493</t>
  </si>
  <si>
    <t>OUT00169</t>
  </si>
  <si>
    <t>DO-202609-8679</t>
  </si>
  <si>
    <t>OUT02112</t>
  </si>
  <si>
    <t>DO-202609-1055</t>
  </si>
  <si>
    <t>OUT00802</t>
  </si>
  <si>
    <t>DO-202609-1672</t>
  </si>
  <si>
    <t>OUT01487</t>
  </si>
  <si>
    <t>DO-202609-9191</t>
  </si>
  <si>
    <t>OUT01301</t>
  </si>
  <si>
    <t>DO-202609-1793</t>
  </si>
  <si>
    <t>OUT01228</t>
  </si>
  <si>
    <t>DO-202609-8933</t>
  </si>
  <si>
    <t>OUT01879</t>
  </si>
  <si>
    <t>DO-202609-9373</t>
  </si>
  <si>
    <t>OUT00095</t>
  </si>
  <si>
    <t>DO-202609-8973</t>
  </si>
  <si>
    <t>OUT01305</t>
  </si>
  <si>
    <t>DO-202609-2712</t>
  </si>
  <si>
    <t>OUT01894</t>
  </si>
  <si>
    <t>DO-202609-7594</t>
  </si>
  <si>
    <t>OUT01285</t>
  </si>
  <si>
    <t>DO-202609-6355</t>
  </si>
  <si>
    <t>OUT01790</t>
  </si>
  <si>
    <t>DO-202609-6461</t>
  </si>
  <si>
    <t>OUT00842</t>
  </si>
  <si>
    <t>DO-202609-3655</t>
  </si>
  <si>
    <t>OUT02165</t>
  </si>
  <si>
    <t>DO-202609-6509</t>
  </si>
  <si>
    <t>OUT01541</t>
  </si>
  <si>
    <t>DO-202609-1016</t>
  </si>
  <si>
    <t>OUT01717</t>
  </si>
  <si>
    <t>DO-202609-2634</t>
  </si>
  <si>
    <t>OUT00117</t>
  </si>
  <si>
    <t>DO-202609-7874</t>
  </si>
  <si>
    <t>OUT01551</t>
  </si>
  <si>
    <t>DO-202609-9432</t>
  </si>
  <si>
    <t>OUT00159</t>
  </si>
  <si>
    <t>DO-202609-9113</t>
  </si>
  <si>
    <t>OUT01767</t>
  </si>
  <si>
    <t>DO-202609-6867</t>
  </si>
  <si>
    <t>OUT00682</t>
  </si>
  <si>
    <t>DO-202609-4725</t>
  </si>
  <si>
    <t>OUT00451</t>
  </si>
  <si>
    <t>DO-202609-9589</t>
  </si>
  <si>
    <t>OUT01755</t>
  </si>
  <si>
    <t>DO-202609-3597</t>
  </si>
  <si>
    <t>OUT00479</t>
  </si>
  <si>
    <t>DO-202609-6087</t>
  </si>
  <si>
    <t>OUT01027</t>
  </si>
  <si>
    <t>DO-202609-7007</t>
  </si>
  <si>
    <t>OUT00710</t>
  </si>
  <si>
    <t>DO-202609-8458</t>
  </si>
  <si>
    <t>OUT01354</t>
  </si>
  <si>
    <t>DO-202609-8956</t>
  </si>
  <si>
    <t>OUT00708</t>
  </si>
  <si>
    <t>DO-202609-5304</t>
  </si>
  <si>
    <t>OUT00731</t>
  </si>
  <si>
    <t>DO-202609-9985</t>
  </si>
  <si>
    <t>OUT01689</t>
  </si>
  <si>
    <t>DO-202609-9994</t>
  </si>
  <si>
    <t>OUT00055</t>
  </si>
  <si>
    <t>DO-202609-4018</t>
  </si>
  <si>
    <t>OUT00268</t>
  </si>
  <si>
    <t>DO-202609-5275</t>
  </si>
  <si>
    <t>OUT02191</t>
  </si>
  <si>
    <t>DO-202609-3727</t>
  </si>
  <si>
    <t>OUT01347</t>
  </si>
  <si>
    <t>DO-202609-6468</t>
  </si>
  <si>
    <t>OUT01184</t>
  </si>
  <si>
    <t>DO-202609-3903</t>
  </si>
  <si>
    <t>OUT02100</t>
  </si>
  <si>
    <t>DO-202609-9039</t>
  </si>
  <si>
    <t>OUT01213</t>
  </si>
  <si>
    <t>DO-202609-9876</t>
  </si>
  <si>
    <t>OUT00453</t>
  </si>
  <si>
    <t>DO-202609-8444</t>
  </si>
  <si>
    <t>OUT00906</t>
  </si>
  <si>
    <t>DO-202609-5956</t>
  </si>
  <si>
    <t>OUT02081</t>
  </si>
  <si>
    <t>DO-202609-9964</t>
  </si>
  <si>
    <t>OUT02051</t>
  </si>
  <si>
    <t>DO-202609-9399</t>
  </si>
  <si>
    <t>OUT00938</t>
  </si>
  <si>
    <t>DO-202609-4924</t>
  </si>
  <si>
    <t>OUT00941</t>
  </si>
  <si>
    <t>DO-202609-5559</t>
  </si>
  <si>
    <t>OUT01187</t>
  </si>
  <si>
    <t>DO-202609-2000</t>
  </si>
  <si>
    <t>OUT00739</t>
  </si>
  <si>
    <t>DO-202609-7602</t>
  </si>
  <si>
    <t>OUT00397</t>
  </si>
  <si>
    <t>DO-202609-9301</t>
  </si>
  <si>
    <t>OUT01420</t>
  </si>
  <si>
    <t>DO-202609-3958</t>
  </si>
  <si>
    <t>OUT01697</t>
  </si>
  <si>
    <t>DO-202609-1764</t>
  </si>
  <si>
    <t>OUT00628</t>
  </si>
  <si>
    <t>DO-202609-4083</t>
  </si>
  <si>
    <t>OUT02084</t>
  </si>
  <si>
    <t>DO-202609-3362</t>
  </si>
  <si>
    <t>OUT01241</t>
  </si>
  <si>
    <t>DO-202609-8014</t>
  </si>
  <si>
    <t>OUT02090</t>
  </si>
  <si>
    <t>DO-202609-2292</t>
  </si>
  <si>
    <t>OUT01167</t>
  </si>
  <si>
    <t>DO-202609-3805</t>
  </si>
  <si>
    <t>OUT01200</t>
  </si>
  <si>
    <t>DO-202609-6533</t>
  </si>
  <si>
    <t>OUT01162</t>
  </si>
  <si>
    <t>DO-202609-6645</t>
  </si>
  <si>
    <t>OUT01447</t>
  </si>
  <si>
    <t>DO-202609-3832</t>
  </si>
  <si>
    <t>OUT00869</t>
  </si>
  <si>
    <t>DO-202609-4172</t>
  </si>
  <si>
    <t>OUT00641</t>
  </si>
  <si>
    <t>DO-202609-7249</t>
  </si>
  <si>
    <t>OUT01996</t>
  </si>
  <si>
    <t>OUT01247</t>
  </si>
  <si>
    <t>DO-202609-2944</t>
  </si>
  <si>
    <t>OUT01521</t>
  </si>
  <si>
    <t>DO-202609-6918</t>
  </si>
  <si>
    <t>OUT01550</t>
  </si>
  <si>
    <t>DO-202609-5571</t>
  </si>
  <si>
    <t>OUT00120</t>
  </si>
  <si>
    <t>DO-202609-9014</t>
  </si>
  <si>
    <t>OUT01562</t>
  </si>
  <si>
    <t>DO-202609-6420</t>
  </si>
  <si>
    <t>OUT02145</t>
  </si>
  <si>
    <t>DO-202609-9722</t>
  </si>
  <si>
    <t>OUT01575</t>
  </si>
  <si>
    <t>DO-202609-6140</t>
  </si>
  <si>
    <t>OUT00082</t>
  </si>
  <si>
    <t>DO-202609-7358</t>
  </si>
  <si>
    <t>OUT00774</t>
  </si>
  <si>
    <t>DO-202609-3382</t>
  </si>
  <si>
    <t>OUT00768</t>
  </si>
  <si>
    <t>DO-202609-1183</t>
  </si>
  <si>
    <t>OUT00759</t>
  </si>
  <si>
    <t>DO-202609-1387</t>
  </si>
  <si>
    <t>OUT01632</t>
  </si>
  <si>
    <t>DO-202609-2797</t>
  </si>
  <si>
    <t>OUT01634</t>
  </si>
  <si>
    <t>DO-202609-3090</t>
  </si>
  <si>
    <t>OUT01636</t>
  </si>
  <si>
    <t>DO-202609-9159</t>
  </si>
  <si>
    <t>OUT00083</t>
  </si>
  <si>
    <t>DO-202609-4955</t>
  </si>
  <si>
    <t>OUT01665</t>
  </si>
  <si>
    <t>DO-202609-8551</t>
  </si>
  <si>
    <t>OUT01459</t>
  </si>
  <si>
    <t>DO-202609-8331</t>
  </si>
  <si>
    <t>OUT01376</t>
  </si>
  <si>
    <t>DO-202609-8393</t>
  </si>
  <si>
    <t>OUT00316</t>
  </si>
  <si>
    <t>DO-202609-5725</t>
  </si>
  <si>
    <t>OUT01832</t>
  </si>
  <si>
    <t>DO-202609-1772</t>
  </si>
  <si>
    <t>OUT01712</t>
  </si>
  <si>
    <t>DO-202609-7993</t>
  </si>
  <si>
    <t>OUT01904</t>
  </si>
  <si>
    <t>DO-202609-8284</t>
  </si>
  <si>
    <t>OUT01326</t>
  </si>
  <si>
    <t>DO-202609-2753</t>
  </si>
  <si>
    <t>OUT00014</t>
  </si>
  <si>
    <t>DO-202609-2704</t>
  </si>
  <si>
    <t>OUT01351</t>
  </si>
  <si>
    <t>DO-202609-1310</t>
  </si>
  <si>
    <t>OUT01820</t>
  </si>
  <si>
    <t>DO-202609-8511</t>
  </si>
  <si>
    <t>OUT01953</t>
  </si>
  <si>
    <t>DO-202609-6696</t>
  </si>
  <si>
    <t>OUT01637</t>
  </si>
  <si>
    <t>DO-202609-4992</t>
  </si>
  <si>
    <t>OUT00957</t>
  </si>
  <si>
    <t>DO-202609-7219</t>
  </si>
  <si>
    <t>OUT00019</t>
  </si>
  <si>
    <t>DO-202609-2933</t>
  </si>
  <si>
    <t>OUT01428</t>
  </si>
  <si>
    <t>DO-202609-5099</t>
  </si>
  <si>
    <t>OUT02129</t>
  </si>
  <si>
    <t>DO-202609-3281</t>
  </si>
  <si>
    <t>OUT01810</t>
  </si>
  <si>
    <t>DO-202609-4830</t>
  </si>
  <si>
    <t>OUT01875</t>
  </si>
  <si>
    <t>DO-202609-3953</t>
  </si>
  <si>
    <t>OUT00977</t>
  </si>
  <si>
    <t>DO-202609-7742</t>
  </si>
  <si>
    <t>OUT00681</t>
  </si>
  <si>
    <t>DO-202609-4395</t>
  </si>
  <si>
    <t>OUT00640</t>
  </si>
  <si>
    <t>OUT00644</t>
  </si>
  <si>
    <t>DO-202609-4240</t>
  </si>
  <si>
    <t>OUT00667</t>
  </si>
  <si>
    <t>DO-202609-1472</t>
  </si>
  <si>
    <t>OUT02006</t>
  </si>
  <si>
    <t>DO-202609-7929</t>
  </si>
  <si>
    <t>OUT00420</t>
  </si>
  <si>
    <t>DO-202609-2553</t>
  </si>
  <si>
    <t>OUT00870</t>
  </si>
  <si>
    <t>DO-202609-5180</t>
  </si>
  <si>
    <t>OUT00879</t>
  </si>
  <si>
    <t>DO-202609-4587</t>
  </si>
  <si>
    <t>OUT00880</t>
  </si>
  <si>
    <t>DO-202609-9287</t>
  </si>
  <si>
    <t>OUT00904</t>
  </si>
  <si>
    <t>DO-202609-5628</t>
  </si>
  <si>
    <t>OUT00406</t>
  </si>
  <si>
    <t>DO-202609-1638</t>
  </si>
  <si>
    <t>OUT00523</t>
  </si>
  <si>
    <t>DO-202609-8449</t>
  </si>
  <si>
    <t>OUT00944</t>
  </si>
  <si>
    <t>DO-202609-9553</t>
  </si>
  <si>
    <t>OUT02064</t>
  </si>
  <si>
    <t>DO-202609-1229</t>
  </si>
  <si>
    <t>OUT02070</t>
  </si>
  <si>
    <t>DO-202609-1520</t>
  </si>
  <si>
    <t>OUT01089</t>
  </si>
  <si>
    <t>DO-202609-2475</t>
  </si>
  <si>
    <t>OUT00735</t>
  </si>
  <si>
    <t>DO-202609-4962</t>
  </si>
  <si>
    <t>OUT01876</t>
  </si>
  <si>
    <t>DO-202609-3372</t>
  </si>
  <si>
    <t>OUT00865</t>
  </si>
  <si>
    <t>DO-202609-6409</t>
  </si>
  <si>
    <t>OUT00387</t>
  </si>
  <si>
    <t>DO-202609-6351</t>
  </si>
  <si>
    <t>OUT01399</t>
  </si>
  <si>
    <t>DO-202609-8293</t>
  </si>
  <si>
    <t>OUT01394</t>
  </si>
  <si>
    <t>DO-202609-2674</t>
  </si>
  <si>
    <t>OUT01302</t>
  </si>
  <si>
    <t>DO-202609-3578</t>
  </si>
  <si>
    <t>OUT01373</t>
  </si>
  <si>
    <t>DO-202609-8281</t>
  </si>
  <si>
    <t>OUT02152</t>
  </si>
  <si>
    <t>DO-202609-6729</t>
  </si>
  <si>
    <t>OUT00148</t>
  </si>
  <si>
    <t>DO-202609-2562</t>
  </si>
  <si>
    <t>OUT02157</t>
  </si>
  <si>
    <t>OUT01557</t>
  </si>
  <si>
    <t>DO-202609-1990</t>
  </si>
  <si>
    <t>OUT00110</t>
  </si>
  <si>
    <t>DO-202609-9138</t>
  </si>
  <si>
    <t>OUT01450</t>
  </si>
  <si>
    <t>DO-202609-3697</t>
  </si>
  <si>
    <t>OUT02180</t>
  </si>
  <si>
    <t>DO-202609-7308</t>
  </si>
  <si>
    <t>OUT01652</t>
  </si>
  <si>
    <t>DO-202609-9390</t>
  </si>
  <si>
    <t>OUT01350</t>
  </si>
  <si>
    <t>DO-202609-2049</t>
  </si>
  <si>
    <t>OUT01208</t>
  </si>
  <si>
    <t>DO-202609-6244</t>
  </si>
  <si>
    <t>OUT01659</t>
  </si>
  <si>
    <t>DO-202609-7732</t>
  </si>
  <si>
    <t>OUT01722</t>
  </si>
  <si>
    <t>DO-202609-9328</t>
  </si>
  <si>
    <t>OUT01828</t>
  </si>
  <si>
    <t>DO-202609-1657</t>
  </si>
  <si>
    <t>OUT01709</t>
  </si>
  <si>
    <t>DO-202609-4716</t>
  </si>
  <si>
    <t>OUT00284</t>
  </si>
  <si>
    <t>DO-202609-3731</t>
  </si>
  <si>
    <t>OUT01698</t>
  </si>
  <si>
    <t>DO-202609-9798</t>
  </si>
  <si>
    <t>OUT01700</t>
  </si>
  <si>
    <t>DO-202609-3097</t>
  </si>
  <si>
    <t>OUT00310</t>
  </si>
  <si>
    <t>DO-202609-2831</t>
  </si>
  <si>
    <t>OUT01661</t>
  </si>
  <si>
    <t>DO-202609-9408</t>
  </si>
  <si>
    <t>OUT01175</t>
  </si>
  <si>
    <t>DO-202609-9360</t>
  </si>
  <si>
    <t>OUT02128</t>
  </si>
  <si>
    <t>OUT00288</t>
  </si>
  <si>
    <t>DO-202609-7693</t>
  </si>
  <si>
    <t>OUT01822</t>
  </si>
  <si>
    <t>DO-202609-5795</t>
  </si>
  <si>
    <t>OUT01031</t>
  </si>
  <si>
    <t>DO-202609-3518</t>
  </si>
  <si>
    <t>OUT01049</t>
  </si>
  <si>
    <t>DO-202609-2328</t>
  </si>
  <si>
    <t>OUT01073</t>
  </si>
  <si>
    <t>DO-202609-6038</t>
  </si>
  <si>
    <t>OUT01909</t>
  </si>
  <si>
    <t>DO-202609-2543</t>
  </si>
  <si>
    <t>OUT01395</t>
  </si>
  <si>
    <t>DO-202609-4983</t>
  </si>
  <si>
    <t>OUT01074</t>
  </si>
  <si>
    <t>DO-202609-7877</t>
  </si>
  <si>
    <t>OUT01406</t>
  </si>
  <si>
    <t>DO-202609-5949</t>
  </si>
  <si>
    <t>OUT00947</t>
  </si>
  <si>
    <t>DO-202609-8920</t>
  </si>
  <si>
    <t>OUT01488</t>
  </si>
  <si>
    <t>DO-202609-3824</t>
  </si>
  <si>
    <t>OUT00936</t>
  </si>
  <si>
    <t>DO-202609-5731</t>
  </si>
  <si>
    <t>OUT00669</t>
  </si>
  <si>
    <t>DO-202609-6146</t>
  </si>
  <si>
    <t>OUT00006</t>
  </si>
  <si>
    <t>DO-202609-9755</t>
  </si>
  <si>
    <t>OUT01704</t>
  </si>
  <si>
    <t>DO-202609-2992</t>
  </si>
  <si>
    <t>OUT00647</t>
  </si>
  <si>
    <t>DO-202609-6789</t>
  </si>
  <si>
    <t>OUT01684</t>
  </si>
  <si>
    <t>DO-202609-5931</t>
  </si>
  <si>
    <t>OUT00720</t>
  </si>
  <si>
    <t>DO-202609-9859</t>
  </si>
  <si>
    <t>OUT01992</t>
  </si>
  <si>
    <t>DO-202609-9032</t>
  </si>
  <si>
    <t>OUT02176</t>
  </si>
  <si>
    <t>DO-202609-6095</t>
  </si>
  <si>
    <t>OUT01611</t>
  </si>
  <si>
    <t>DO-202609-4783</t>
  </si>
  <si>
    <t>OUT00096</t>
  </si>
  <si>
    <t>DO-202609-2738</t>
  </si>
  <si>
    <t>OUT00832</t>
  </si>
  <si>
    <t>DO-202609-4798</t>
  </si>
  <si>
    <t>OUT00564</t>
  </si>
  <si>
    <t>DO-202609-6202</t>
  </si>
  <si>
    <t>OUT00177</t>
  </si>
  <si>
    <t>DO-202609-4546</t>
  </si>
  <si>
    <t>OUT00184</t>
  </si>
  <si>
    <t>DO-202609-3341</t>
  </si>
  <si>
    <t>OUT01464</t>
  </si>
  <si>
    <t>DO-202609-8778</t>
  </si>
  <si>
    <t>OUT00912</t>
  </si>
  <si>
    <t>DO-202609-2527</t>
  </si>
  <si>
    <t>OUT01954</t>
  </si>
  <si>
    <t>DO-202609-1923</t>
  </si>
  <si>
    <t>OUT01431</t>
  </si>
  <si>
    <t>DO-202609-6156</t>
  </si>
  <si>
    <t>OUT00299</t>
  </si>
  <si>
    <t>DO-202609-4920</t>
  </si>
  <si>
    <t>OUT00671</t>
  </si>
  <si>
    <t>DO-202609-6288</t>
  </si>
  <si>
    <t>OUT01180</t>
  </si>
  <si>
    <t>DO-202609-9053</t>
  </si>
  <si>
    <t>OUT02077</t>
  </si>
  <si>
    <t>DO-202609-4345</t>
  </si>
  <si>
    <t>OUT01244</t>
  </si>
  <si>
    <t>DO-202609-6535</t>
  </si>
  <si>
    <t>OUT01853</t>
  </si>
  <si>
    <t>DO-202609-3516</t>
  </si>
  <si>
    <t>OUT01275</t>
  </si>
  <si>
    <t>DO-202609-6356</t>
  </si>
  <si>
    <t>OUT01106</t>
  </si>
  <si>
    <t>DO-202609-4532</t>
  </si>
  <si>
    <t>OUT01127</t>
  </si>
  <si>
    <t>DO-202609-7893</t>
  </si>
  <si>
    <t>OUT01170</t>
  </si>
  <si>
    <t>DO-202609-2845</t>
  </si>
  <si>
    <t>OUT00408</t>
  </si>
  <si>
    <t>DO-202609-3861</t>
  </si>
  <si>
    <t>OUT00440</t>
  </si>
  <si>
    <t>DO-202609-4707</t>
  </si>
  <si>
    <t>OUT01277</t>
  </si>
  <si>
    <t>DO-202609-5006</t>
  </si>
  <si>
    <t>OUT01882</t>
  </si>
  <si>
    <t>DO-202609-2816</t>
  </si>
  <si>
    <t>OUT01629</t>
  </si>
  <si>
    <t>DO-202609-5825</t>
  </si>
  <si>
    <t>OUT01866</t>
  </si>
  <si>
    <t>DO-202609-7096</t>
  </si>
  <si>
    <t>OUT00891</t>
  </si>
  <si>
    <t>DO-202609-5774</t>
  </si>
  <si>
    <t>OUT00643</t>
  </si>
  <si>
    <t>DO-202609-1268</t>
  </si>
  <si>
    <t>OUT01116</t>
  </si>
  <si>
    <t>DO-202609-5161</t>
  </si>
  <si>
    <t>OUT00539</t>
  </si>
  <si>
    <t>DO-202609-2195</t>
  </si>
  <si>
    <t>OUT01809</t>
  </si>
  <si>
    <t>DO-202609-3612</t>
  </si>
  <si>
    <t>OUT01157</t>
  </si>
  <si>
    <t>DO-202609-4209</t>
  </si>
  <si>
    <t>OUT00202</t>
  </si>
  <si>
    <t>DO-202609-5514</t>
  </si>
  <si>
    <t>OUT01440</t>
  </si>
  <si>
    <t>DO-202609-3966</t>
  </si>
  <si>
    <t>OUT01682</t>
  </si>
  <si>
    <t>DO-202609-5684</t>
  </si>
  <si>
    <t>OUT00519</t>
  </si>
  <si>
    <t>DO-202609-9312</t>
  </si>
  <si>
    <t>OUT00517</t>
  </si>
  <si>
    <t>DO-202609-9162</t>
  </si>
  <si>
    <t>OUT02107</t>
  </si>
  <si>
    <t>DO-202609-3755</t>
  </si>
  <si>
    <t>OUT01404</t>
  </si>
  <si>
    <t>DO-202609-5169</t>
  </si>
  <si>
    <t>OUT00511</t>
  </si>
  <si>
    <t>DO-202609-4286</t>
  </si>
  <si>
    <t>OUT00972</t>
  </si>
  <si>
    <t>DO-202609-2701</t>
  </si>
  <si>
    <t>OUT00560</t>
  </si>
  <si>
    <t>DO-202609-4287</t>
  </si>
  <si>
    <t>OUT01203</t>
  </si>
  <si>
    <t>DO-202609-7580</t>
  </si>
  <si>
    <t>OUT00053</t>
  </si>
  <si>
    <t>DO-202609-5252</t>
  </si>
  <si>
    <t>OUT00562</t>
  </si>
  <si>
    <t>DO-202609-6503</t>
  </si>
  <si>
    <t>OUT00079</t>
  </si>
  <si>
    <t>DO-202609-3732</t>
  </si>
  <si>
    <t>OUT01602</t>
  </si>
  <si>
    <t>DO-202609-3448</t>
  </si>
  <si>
    <t>OUT00757</t>
  </si>
  <si>
    <t>DO-202609-9083</t>
  </si>
  <si>
    <t>OUT01561</t>
  </si>
  <si>
    <t>DO-202609-7268</t>
  </si>
  <si>
    <t>OUT02024</t>
  </si>
  <si>
    <t>DO-202609-2895</t>
  </si>
  <si>
    <t>OUT01133</t>
  </si>
  <si>
    <t>DO-202609-5823</t>
  </si>
  <si>
    <t>OUT01555</t>
  </si>
  <si>
    <t>DO-202609-5862</t>
  </si>
  <si>
    <t>OUT00695</t>
  </si>
  <si>
    <t>DO-202609-7348</t>
  </si>
  <si>
    <t>OUT00836</t>
  </si>
  <si>
    <t>DO-202609-8578</t>
  </si>
  <si>
    <t>OUT00837</t>
  </si>
  <si>
    <t>DO-202609-4060</t>
  </si>
  <si>
    <t>OUT00626</t>
  </si>
  <si>
    <t>DO-202609-2303</t>
  </si>
  <si>
    <t>OUT02155</t>
  </si>
  <si>
    <t>DO-202609-1062</t>
  </si>
  <si>
    <t>OUT01501</t>
  </si>
  <si>
    <t>DO-202609-5570</t>
  </si>
  <si>
    <t>OUT01701</t>
  </si>
  <si>
    <t>DO-202609-4192</t>
  </si>
  <si>
    <t>OUT00343</t>
  </si>
  <si>
    <t>DO-202609-8918</t>
  </si>
  <si>
    <t>OUT01491</t>
  </si>
  <si>
    <t>DO-202609-2032</t>
  </si>
  <si>
    <t>OUT00167</t>
  </si>
  <si>
    <t>DO-202609-2098</t>
  </si>
  <si>
    <t>OUT01626</t>
  </si>
  <si>
    <t>DO-202609-5523</t>
  </si>
  <si>
    <t>OUT00233</t>
  </si>
  <si>
    <t>DO-202609-2316</t>
  </si>
  <si>
    <t>OUT01899</t>
  </si>
  <si>
    <t>DO-202609-2037</t>
  </si>
  <si>
    <t>OUT00245</t>
  </si>
  <si>
    <t>DO-202609-5668</t>
  </si>
  <si>
    <t>OUT01839</t>
  </si>
  <si>
    <t>DO-202609-7353</t>
  </si>
  <si>
    <t>OUT00292</t>
  </si>
  <si>
    <t>DO-202609-1054</t>
  </si>
  <si>
    <t>OUT01332</t>
  </si>
  <si>
    <t>DO-202609-8857</t>
  </si>
  <si>
    <t>OUT01024</t>
  </si>
  <si>
    <t>DO-202609-4837</t>
  </si>
  <si>
    <t>OUT01818</t>
  </si>
  <si>
    <t>DO-202609-5232</t>
  </si>
  <si>
    <t>OUT01306</t>
  </si>
  <si>
    <t>DO-202609-1522</t>
  </si>
  <si>
    <t>OUT01097</t>
  </si>
  <si>
    <t>DO-202609-1481</t>
  </si>
  <si>
    <t>OUT00267</t>
  </si>
  <si>
    <t>DO-202609-2298</t>
  </si>
  <si>
    <t>OUT01030</t>
  </si>
  <si>
    <t>DO-202609-2778</t>
  </si>
  <si>
    <t>OUT01365</t>
  </si>
  <si>
    <t>DO-202609-8158</t>
  </si>
  <si>
    <t>OUT01025</t>
  </si>
  <si>
    <t>DO-202609-4238</t>
  </si>
  <si>
    <t>OUT02063</t>
  </si>
  <si>
    <t>DO-202609-9126</t>
  </si>
  <si>
    <t>OUT01741</t>
  </si>
  <si>
    <t>DO-202609-1008</t>
  </si>
  <si>
    <t>OUT00431</t>
  </si>
  <si>
    <t>DO-202609-8984</t>
  </si>
  <si>
    <t>OUT01274</t>
  </si>
  <si>
    <t>DO-202609-4507</t>
  </si>
  <si>
    <t>OUT01765</t>
  </si>
  <si>
    <t>DO-202609-7326</t>
  </si>
  <si>
    <t>OUT01113</t>
  </si>
  <si>
    <t>DO-202609-4328</t>
  </si>
  <si>
    <t>OUT01173</t>
  </si>
  <si>
    <t>DO-202609-2217</t>
  </si>
  <si>
    <t>OUT01877</t>
  </si>
  <si>
    <t>DO-202609-6007</t>
  </si>
  <si>
    <t>OUT01319</t>
  </si>
  <si>
    <t>OUT01463</t>
  </si>
  <si>
    <t>DO-202609-9829</t>
  </si>
  <si>
    <t>OUT00798</t>
  </si>
  <si>
    <t>DO-202609-9110</t>
  </si>
  <si>
    <t>OUT00329</t>
  </si>
  <si>
    <t>DO-202609-7528</t>
  </si>
  <si>
    <t>OUT00547</t>
  </si>
  <si>
    <t>DO-202609-5152</t>
  </si>
  <si>
    <t>OUT00656</t>
  </si>
  <si>
    <t>DO-202609-4750</t>
  </si>
  <si>
    <t>OUT01693</t>
  </si>
  <si>
    <t>DO-202609-1414</t>
  </si>
  <si>
    <t>OUT01153</t>
  </si>
  <si>
    <t>DO-202609-4167</t>
  </si>
  <si>
    <t>OUT00553</t>
  </si>
  <si>
    <t>DO-202609-9158</t>
  </si>
  <si>
    <t>OUT01229</t>
  </si>
  <si>
    <t>DO-202609-4866</t>
  </si>
  <si>
    <t>OUT01559</t>
  </si>
  <si>
    <t>DO-202609-4588</t>
  </si>
  <si>
    <t>OUT00692</t>
  </si>
  <si>
    <t>DO-202609-5198</t>
  </si>
  <si>
    <t>OUT00908</t>
  </si>
  <si>
    <t>DO-202609-1801</t>
  </si>
  <si>
    <t>OUT01971</t>
  </si>
  <si>
    <t>DO-202609-4567</t>
  </si>
  <si>
    <t>OUT01050</t>
  </si>
  <si>
    <t>DO-202609-8192</t>
  </si>
  <si>
    <t>OUT02181</t>
  </si>
  <si>
    <t>DO-202609-4303</t>
  </si>
  <si>
    <t>OUT00448</t>
  </si>
  <si>
    <t>DO-202609-2155</t>
  </si>
  <si>
    <t>OUT00980</t>
  </si>
  <si>
    <t>DO-202609-3100</t>
  </si>
  <si>
    <t>OUT00581</t>
  </si>
  <si>
    <t>DO-202609-6954</t>
  </si>
  <si>
    <t>OUT01672</t>
  </si>
  <si>
    <t>DO-202609-8153</t>
  </si>
  <si>
    <t>OUT01745</t>
  </si>
  <si>
    <t>DO-202609-8045</t>
  </si>
  <si>
    <t>OUT02108</t>
  </si>
  <si>
    <t>DO-202609-3431</t>
  </si>
  <si>
    <t>OUT00353</t>
  </si>
  <si>
    <t>DO-202609-3814</t>
  </si>
  <si>
    <t>OUT01638</t>
  </si>
  <si>
    <t>DO-202609-9246</t>
  </si>
  <si>
    <t>OUT00950</t>
  </si>
  <si>
    <t>DO-202609-6823</t>
  </si>
  <si>
    <t>OUT01166</t>
  </si>
  <si>
    <t>DO-202609-8436</t>
  </si>
  <si>
    <t>OUT00988</t>
  </si>
  <si>
    <t>DO-202609-4387</t>
  </si>
  <si>
    <t>OUT00198</t>
  </si>
  <si>
    <t>DO-202609-1273</t>
  </si>
  <si>
    <t>OUT00111</t>
  </si>
  <si>
    <t>DO-202609-9459</t>
  </si>
  <si>
    <t>OUT00867</t>
  </si>
  <si>
    <t>DO-202609-7289</t>
  </si>
  <si>
    <t>OUT00627</t>
  </si>
  <si>
    <t>DO-202609-9880</t>
  </si>
  <si>
    <t>OUT01309</t>
  </si>
  <si>
    <t>DO-202609-6526</t>
  </si>
  <si>
    <t>OUT00212</t>
  </si>
  <si>
    <t>DO-202609-5249</t>
  </si>
  <si>
    <t>OUT01552</t>
  </si>
  <si>
    <t>DO-202609-9821</t>
  </si>
  <si>
    <t>OUT00020</t>
  </si>
  <si>
    <t>DO-202609-1949</t>
  </si>
  <si>
    <t>OUT01344</t>
  </si>
  <si>
    <t>DO-202609-8128</t>
  </si>
  <si>
    <t>OUT00588</t>
  </si>
  <si>
    <t>DO-202609-6185</t>
  </si>
  <si>
    <t>OUT00201</t>
  </si>
  <si>
    <t>DO-202609-3416</t>
  </si>
  <si>
    <t>OUT01716</t>
  </si>
  <si>
    <t>DO-202609-2616</t>
  </si>
  <si>
    <t>OUT00989</t>
  </si>
  <si>
    <t>DO-202609-9026</t>
  </si>
  <si>
    <t>OUT01335</t>
  </si>
  <si>
    <t>DO-202609-4765</t>
  </si>
  <si>
    <t>OUT00696</t>
  </si>
  <si>
    <t>DO-202609-5892</t>
  </si>
  <si>
    <t>OUT00234</t>
  </si>
  <si>
    <t>OUT01065</t>
  </si>
  <si>
    <t>DO-202609-8537</t>
  </si>
  <si>
    <t>OUT01675</t>
  </si>
  <si>
    <t>DO-202609-2295</t>
  </si>
  <si>
    <t>OUT00363</t>
  </si>
  <si>
    <t>DO-202609-8210</t>
  </si>
  <si>
    <t>OUT01087</t>
  </si>
  <si>
    <t>DO-202609-4183</t>
  </si>
  <si>
    <t>OUT02097</t>
  </si>
  <si>
    <t>DO-202609-1963</t>
  </si>
  <si>
    <t>OUT01291</t>
  </si>
  <si>
    <t>DO-202609-9426</t>
  </si>
  <si>
    <t>OUT00736</t>
  </si>
  <si>
    <t>DO-202609-4129</t>
  </si>
  <si>
    <t>OUT00814</t>
  </si>
  <si>
    <t>DO-202609-2343</t>
  </si>
  <si>
    <t>OUT00060</t>
  </si>
  <si>
    <t>DO-202609-7084</t>
  </si>
  <si>
    <t>OUT01635</t>
  </si>
  <si>
    <t>DO-202609-3445</t>
  </si>
  <si>
    <t>OUT00066</t>
  </si>
  <si>
    <t>DO-202609-1534</t>
  </si>
  <si>
    <t>OUT00289</t>
  </si>
  <si>
    <t>DO-202609-5569</t>
  </si>
  <si>
    <t>OUT00709</t>
  </si>
  <si>
    <t>DO-202609-8807</t>
  </si>
  <si>
    <t>OUT00130</t>
  </si>
  <si>
    <t>DO-202609-4251</t>
  </si>
  <si>
    <t>OUT00392</t>
  </si>
  <si>
    <t>DO-202609-3675</t>
  </si>
  <si>
    <t>OUT00407</t>
  </si>
  <si>
    <t>DO-202609-7089</t>
  </si>
  <si>
    <t>OUT00031</t>
  </si>
  <si>
    <t>DO-202609-4777</t>
  </si>
  <si>
    <t>OUT00690</t>
  </si>
  <si>
    <t>DO-202609-1120</t>
  </si>
  <si>
    <t>OUT00540</t>
  </si>
  <si>
    <t>DO-202609-1255</t>
  </si>
  <si>
    <t>OUT01016</t>
  </si>
  <si>
    <t>DO-202609-4878</t>
  </si>
  <si>
    <t>OUT00930</t>
  </si>
  <si>
    <t>DO-202609-5711</t>
  </si>
  <si>
    <t>OUT01259</t>
  </si>
  <si>
    <t>OUT02046</t>
  </si>
  <si>
    <t>DO-202609-9564</t>
  </si>
  <si>
    <t>OUT00321</t>
  </si>
  <si>
    <t>DO-202609-3430</t>
  </si>
  <si>
    <t>OUT01740</t>
  </si>
  <si>
    <t>DO-202609-8386</t>
  </si>
  <si>
    <t>OUT01800</t>
  </si>
  <si>
    <t>DO-202609-1306</t>
  </si>
  <si>
    <t>OUT00518</t>
  </si>
  <si>
    <t>DO-202609-3534</t>
  </si>
  <si>
    <t>OUT00886</t>
  </si>
  <si>
    <t>DO-202609-4852</t>
  </si>
  <si>
    <t>OUT01703</t>
  </si>
  <si>
    <t>OUT00218</t>
  </si>
  <si>
    <t>DO-202609-1515</t>
  </si>
  <si>
    <t>OUT01812</t>
  </si>
  <si>
    <t>DO-202609-1359</t>
  </si>
  <si>
    <t>OUT00973</t>
  </si>
  <si>
    <t>DO-202609-3774</t>
  </si>
  <si>
    <t>OUT01966</t>
  </si>
  <si>
    <t>DO-202609-5875</t>
  </si>
  <si>
    <t>OUT02125</t>
  </si>
  <si>
    <t>DO-202609-5550</t>
  </si>
  <si>
    <t>OUT02058</t>
  </si>
  <si>
    <t>DO-202609-7082</t>
  </si>
  <si>
    <t>OUT01401</t>
  </si>
  <si>
    <t>DO-202609-5067</t>
  </si>
  <si>
    <t>OUT00154</t>
  </si>
  <si>
    <t>DO-202609-9007</t>
  </si>
  <si>
    <t>OUT01252</t>
  </si>
  <si>
    <t>DO-202609-6569</t>
  </si>
  <si>
    <t>OUT01044</t>
  </si>
  <si>
    <t>DO-202609-2464</t>
  </si>
  <si>
    <t>OUT01797</t>
  </si>
  <si>
    <t>DO-202609-4121</t>
  </si>
  <si>
    <t>OUT01664</t>
  </si>
  <si>
    <t>DO-202609-6551</t>
  </si>
  <si>
    <t>OUT01941</t>
  </si>
  <si>
    <t>DO-202609-5964</t>
  </si>
  <si>
    <t>OUT01840</t>
  </si>
  <si>
    <t>DO-202609-3978</t>
  </si>
  <si>
    <t>OUT00227</t>
  </si>
  <si>
    <t>DO-202609-2767</t>
  </si>
  <si>
    <t>OUT00998</t>
  </si>
  <si>
    <t>DO-202609-3370</t>
  </si>
  <si>
    <t>OUT00016</t>
  </si>
  <si>
    <t>DO-202609-1431</t>
  </si>
  <si>
    <t>OUT00243</t>
  </si>
  <si>
    <t>DO-202609-4079</t>
  </si>
  <si>
    <t>OUT00374</t>
  </si>
  <si>
    <t>DO-202609-6456</t>
  </si>
  <si>
    <t>OUT00502</t>
  </si>
  <si>
    <t>DO-202609-7670</t>
  </si>
  <si>
    <t>OUT00486</t>
  </si>
  <si>
    <t>DO-202609-3381</t>
  </si>
  <si>
    <t>OUT01630</t>
  </si>
  <si>
    <t>DO-202609-1969</t>
  </si>
  <si>
    <t>OUT02135</t>
  </si>
  <si>
    <t>DO-202609-1285</t>
  </si>
  <si>
    <t>OUT00054</t>
  </si>
  <si>
    <t>DO-202609-3406</t>
  </si>
  <si>
    <t>OUT01403</t>
  </si>
  <si>
    <t>DO-202609-7678</t>
  </si>
  <si>
    <t>OUT01223</t>
  </si>
  <si>
    <t>DO-202609-7409</t>
  </si>
  <si>
    <t>OUT01010</t>
  </si>
  <si>
    <t>DO-202609-1269</t>
  </si>
  <si>
    <t>OUT00126</t>
  </si>
  <si>
    <t>DO-202609-9782</t>
  </si>
  <si>
    <t>OUT00852</t>
  </si>
  <si>
    <t>DO-202609-8975</t>
  </si>
  <si>
    <t>OUT01970</t>
  </si>
  <si>
    <t>DO-202609-9754</t>
  </si>
  <si>
    <t>OUT02120</t>
  </si>
  <si>
    <t>DO-202609-2945</t>
  </si>
  <si>
    <t>OUT00115</t>
  </si>
  <si>
    <t>DO-202609-9031</t>
  </si>
  <si>
    <t>OUT01040</t>
  </si>
  <si>
    <t>DO-202609-4940</t>
  </si>
  <si>
    <t>OUT00434</t>
  </si>
  <si>
    <t>DO-202609-2970</t>
  </si>
  <si>
    <t>OUT02149</t>
  </si>
  <si>
    <t>DO-202609-7272</t>
  </si>
  <si>
    <t>OUT00827</t>
  </si>
  <si>
    <t>DO-202609-9473</t>
  </si>
  <si>
    <t>OUT00393</t>
  </si>
  <si>
    <t>DO-202609-1447</t>
  </si>
  <si>
    <t>OUT01883</t>
  </si>
  <si>
    <t>DO-202609-7714</t>
  </si>
  <si>
    <t>OUT01952</t>
  </si>
  <si>
    <t>DO-202609-9013</t>
  </si>
  <si>
    <t>OUT01083</t>
  </si>
  <si>
    <t>DO-202609-7035</t>
  </si>
  <si>
    <t>OUT00104</t>
  </si>
  <si>
    <t>DO-202609-6359</t>
  </si>
  <si>
    <t>OUT00807</t>
  </si>
  <si>
    <t>DO-202609-5370</t>
  </si>
  <si>
    <t>OUT01778</t>
  </si>
  <si>
    <t>DO-202609-7716</t>
  </si>
  <si>
    <t>OUT01469</t>
  </si>
  <si>
    <t>DO-202609-6006</t>
  </si>
  <si>
    <t>OUT01323</t>
  </si>
  <si>
    <t>DO-202609-5553</t>
  </si>
  <si>
    <t>OUT00898</t>
  </si>
  <si>
    <t>DO-202609-1524</t>
  </si>
  <si>
    <t>OUT01603</t>
  </si>
  <si>
    <t>DO-202609-2560</t>
  </si>
  <si>
    <t>OUT00543</t>
  </si>
  <si>
    <t>DO-202609-1733</t>
  </si>
  <si>
    <t>OUT00146</t>
  </si>
  <si>
    <t>DO-202609-7510</t>
  </si>
  <si>
    <t>OUT01983</t>
  </si>
  <si>
    <t>OUT00555</t>
  </si>
  <si>
    <t>DO-202609-4022</t>
  </si>
  <si>
    <t>OUT00868</t>
  </si>
  <si>
    <t>DO-202609-5962</t>
  </si>
  <si>
    <t>OUT01707</t>
  </si>
  <si>
    <t>DO-202609-7119</t>
  </si>
  <si>
    <t>OUT01486</t>
  </si>
  <si>
    <t>DO-202609-2690</t>
  </si>
  <si>
    <t>OUT00764</t>
  </si>
  <si>
    <t>DO-202609-1395</t>
  </si>
  <si>
    <t>OUT01292</t>
  </si>
  <si>
    <t>DO-202609-7460</t>
  </si>
  <si>
    <t>OUT01070</t>
  </si>
  <si>
    <t>DO-202609-7194</t>
  </si>
  <si>
    <t>OUT01328</t>
  </si>
  <si>
    <t>DO-202609-1276</t>
  </si>
  <si>
    <t>OUT01059</t>
  </si>
  <si>
    <t>DO-202609-6594</t>
  </si>
  <si>
    <t>OUT01357</t>
  </si>
  <si>
    <t>DO-202609-6188</t>
  </si>
  <si>
    <t>OUT01002</t>
  </si>
  <si>
    <t>DO-202609-9682</t>
  </si>
  <si>
    <t>OUT01931</t>
  </si>
  <si>
    <t>OUT01819</t>
  </si>
  <si>
    <t>DO-202609-5437</t>
  </si>
  <si>
    <t>OUT00978</t>
  </si>
  <si>
    <t>DO-202609-7884</t>
  </si>
  <si>
    <t>OUT01107</t>
  </si>
  <si>
    <t>DO-202609-6491</t>
  </si>
  <si>
    <t>OUT01435</t>
  </si>
  <si>
    <t>DO-202609-5228</t>
  </si>
  <si>
    <t>OUT01955</t>
  </si>
  <si>
    <t>DO-202609-4028</t>
  </si>
  <si>
    <t>OUT01251</t>
  </si>
  <si>
    <t>DO-202609-6340</t>
  </si>
  <si>
    <t>OUT00901</t>
  </si>
  <si>
    <t>OUT00882</t>
  </si>
  <si>
    <t>DO-202609-8883</t>
  </si>
  <si>
    <t>OUT01497</t>
  </si>
  <si>
    <t>DO-202609-9361</t>
  </si>
  <si>
    <t>OUT01217</t>
  </si>
  <si>
    <t>DO-202609-9727</t>
  </si>
  <si>
    <t>OUT01782</t>
  </si>
  <si>
    <t>DO-202609-1130</t>
  </si>
  <si>
    <t>OUT00808</t>
  </si>
  <si>
    <t>DO-202609-6189</t>
  </si>
  <si>
    <t>OUT01859</t>
  </si>
  <si>
    <t>DO-202609-7694</t>
  </si>
  <si>
    <t>OUT00795</t>
  </si>
  <si>
    <t>DO-202609-5435</t>
  </si>
  <si>
    <t>OUT00771</t>
  </si>
  <si>
    <t>DO-202609-4091</t>
  </si>
  <si>
    <t>OUT01624</t>
  </si>
  <si>
    <t>DO-202609-4538</t>
  </si>
  <si>
    <t>OUT01667</t>
  </si>
  <si>
    <t>DO-202609-1569</t>
  </si>
  <si>
    <t>OUT00931</t>
  </si>
  <si>
    <t>DO-202609-6383</t>
  </si>
  <si>
    <t>OUT01730</t>
  </si>
  <si>
    <t>DO-202609-6165</t>
  </si>
  <si>
    <t>OUT02071</t>
  </si>
  <si>
    <t>DO-202609-3220</t>
  </si>
  <si>
    <t>OUT00447</t>
  </si>
  <si>
    <t>DO-202609-7865</t>
  </si>
  <si>
    <t>OUT02121</t>
  </si>
  <si>
    <t>DO-202609-2574</t>
  </si>
  <si>
    <t>OUT00405</t>
  </si>
  <si>
    <t>DO-202609-1151</t>
  </si>
  <si>
    <t>OUT00654</t>
  </si>
  <si>
    <t>DO-202609-4824</t>
  </si>
  <si>
    <t>OUT00618</t>
  </si>
  <si>
    <t>DO-202609-2235</t>
  </si>
  <si>
    <t>OUT00487</t>
  </si>
  <si>
    <t>DO-202609-8917</t>
  </si>
  <si>
    <t>OUT00657</t>
  </si>
  <si>
    <t>OUT00071</t>
  </si>
  <si>
    <t>DO-202609-4782</t>
  </si>
  <si>
    <t>OUT00491</t>
  </si>
  <si>
    <t>DO-202609-6850</t>
  </si>
  <si>
    <t>OUT00118</t>
  </si>
  <si>
    <t>DO-202609-2897</t>
  </si>
  <si>
    <t>OUT00121</t>
  </si>
  <si>
    <t>DO-202609-5389</t>
  </si>
  <si>
    <t>OUT00542</t>
  </si>
  <si>
    <t>DO-202609-3900</t>
  </si>
  <si>
    <t>OUT02029</t>
  </si>
  <si>
    <t>DO-202609-9539</t>
  </si>
  <si>
    <t>OUT02010</t>
  </si>
  <si>
    <t>DO-202609-2307</t>
  </si>
  <si>
    <t>OUT00033</t>
  </si>
  <si>
    <t>DO-202609-8434</t>
  </si>
  <si>
    <t>OUT00297</t>
  </si>
  <si>
    <t>DO-202609-8731</t>
  </si>
  <si>
    <t>OUT00743</t>
  </si>
  <si>
    <t>DO-202609-7287</t>
  </si>
  <si>
    <t>OUT00763</t>
  </si>
  <si>
    <t>DO-202609-8776</t>
  </si>
  <si>
    <t>OUT00411</t>
  </si>
  <si>
    <t>DO-202609-1466</t>
  </si>
  <si>
    <t>OUT01358</t>
  </si>
  <si>
    <t>DO-202609-9222</t>
  </si>
  <si>
    <t>OUT01333</t>
  </si>
  <si>
    <t>DO-202609-1044</t>
  </si>
  <si>
    <t>OUT01174</t>
  </si>
  <si>
    <t>DO-202609-3763</t>
  </si>
  <si>
    <t>OUT01825</t>
  </si>
  <si>
    <t>DO-202609-3996</t>
  </si>
  <si>
    <t>OUT01327</t>
  </si>
  <si>
    <t>DO-202609-4634</t>
  </si>
  <si>
    <t>OUT02113</t>
  </si>
  <si>
    <t>DO-202609-1043</t>
  </si>
  <si>
    <t>OUT00314</t>
  </si>
  <si>
    <t>DO-202609-8285</t>
  </si>
  <si>
    <t>OUT01355</t>
  </si>
  <si>
    <t>DO-202609-5303</t>
  </si>
  <si>
    <t>OUT00332</t>
  </si>
  <si>
    <t>DO-202609-5015</t>
  </si>
  <si>
    <t>OUT00356</t>
  </si>
  <si>
    <t>DO-202609-7075</t>
  </si>
  <si>
    <t>OUT00766</t>
  </si>
  <si>
    <t>DO-202609-4039</t>
  </si>
  <si>
    <t>OUT02030</t>
  </si>
  <si>
    <t>DO-202609-7753</t>
  </si>
  <si>
    <t>OUT00846</t>
  </si>
  <si>
    <t>DO-202609-3734</t>
  </si>
  <si>
    <t>OUT00572</t>
  </si>
  <si>
    <t>DO-202609-8850</t>
  </si>
  <si>
    <t>OUT00606</t>
  </si>
  <si>
    <t>DO-202609-5591</t>
  </si>
  <si>
    <t>OUT00897</t>
  </si>
  <si>
    <t>OUT00909</t>
  </si>
  <si>
    <t>DO-202609-9152</t>
  </si>
  <si>
    <t>OUT02080</t>
  </si>
  <si>
    <t>DO-202609-7676</t>
  </si>
  <si>
    <t>OUT02050</t>
  </si>
  <si>
    <t>DO-202609-1138</t>
  </si>
  <si>
    <t>OUT00935</t>
  </si>
  <si>
    <t>DO-202609-7986</t>
  </si>
  <si>
    <t>OUT00943</t>
  </si>
  <si>
    <t>DO-202609-2415</t>
  </si>
  <si>
    <t>OUT00790</t>
  </si>
  <si>
    <t>DO-202609-4085</t>
  </si>
  <si>
    <t>OUT01017</t>
  </si>
  <si>
    <t>DO-202609-9796</t>
  </si>
  <si>
    <t>OUT01035</t>
  </si>
  <si>
    <t>DO-202609-1328</t>
  </si>
  <si>
    <t>OUT00455</t>
  </si>
  <si>
    <t>DO-202609-7978</t>
  </si>
  <si>
    <t>OUT00926</t>
  </si>
  <si>
    <t>DO-202609-4755</t>
  </si>
  <si>
    <t>OUT01392</t>
  </si>
  <si>
    <t>DO-202609-1419</t>
  </si>
  <si>
    <t>OUT01281</t>
  </si>
  <si>
    <t>DO-202609-2908</t>
  </si>
  <si>
    <t>OUT01813</t>
  </si>
  <si>
    <t>DO-202609-8224</t>
  </si>
  <si>
    <t>OUT01721</t>
  </si>
  <si>
    <t>DO-202609-4437</t>
  </si>
  <si>
    <t>OUT01742</t>
  </si>
  <si>
    <t>DO-202609-3593</t>
  </si>
  <si>
    <t>OUT01683</t>
  </si>
  <si>
    <t>DO-202609-4201</t>
  </si>
  <si>
    <t>OUT00040</t>
  </si>
  <si>
    <t>DO-202609-4547</t>
  </si>
  <si>
    <t>OUT01999</t>
  </si>
  <si>
    <t>DO-202609-5356</t>
  </si>
  <si>
    <t>OUT00080</t>
  </si>
  <si>
    <t>DO-202609-8698</t>
  </si>
  <si>
    <t>OUT01600</t>
  </si>
  <si>
    <t>DO-202609-4008</t>
  </si>
  <si>
    <t>OUT01407</t>
  </si>
  <si>
    <t>DO-202609-2595</t>
  </si>
  <si>
    <t>OUT00124</t>
  </si>
  <si>
    <t>DO-202609-8954</t>
  </si>
  <si>
    <t>OUT01538</t>
  </si>
  <si>
    <t>DO-202609-4938</t>
  </si>
  <si>
    <t>OUT01484</t>
  </si>
  <si>
    <t>DO-202609-3165</t>
  </si>
  <si>
    <t>OUT01473</t>
  </si>
  <si>
    <t>DO-202609-5286</t>
  </si>
  <si>
    <t>OUT01456</t>
  </si>
  <si>
    <t>OUT02133</t>
  </si>
  <si>
    <t>DO-202609-3227</t>
  </si>
  <si>
    <t>OUT02166</t>
  </si>
  <si>
    <t>DO-202609-3680</t>
  </si>
  <si>
    <t>OUT01416</t>
  </si>
  <si>
    <t>OUT01411</t>
  </si>
  <si>
    <t>DO-202609-9955</t>
  </si>
  <si>
    <t>OUT01558</t>
  </si>
  <si>
    <t>DO-202609-1637</t>
  </si>
  <si>
    <t>OUT02041</t>
  </si>
  <si>
    <t>DO-202609-2833</t>
  </si>
  <si>
    <t>OUT00800</t>
  </si>
  <si>
    <t>DO-202609-9020</t>
  </si>
  <si>
    <t>OUT01082</t>
  </si>
  <si>
    <t>DO-202609-9689</t>
  </si>
  <si>
    <t>OUT00615</t>
  </si>
  <si>
    <t>DO-202609-2389</t>
  </si>
  <si>
    <t>OUT01817</t>
  </si>
  <si>
    <t>DO-202609-4450</t>
  </si>
  <si>
    <t>OUT00449</t>
  </si>
  <si>
    <t>DO-202609-3022</t>
  </si>
  <si>
    <t>OUT00097</t>
  </si>
  <si>
    <t>DO-202609-4388</t>
  </si>
  <si>
    <t>OUT00663</t>
  </si>
  <si>
    <t>DO-202609-6147</t>
  </si>
  <si>
    <t>OUT01062</t>
  </si>
  <si>
    <t>DO-202609-6269</t>
  </si>
  <si>
    <t>OUT01681</t>
  </si>
  <si>
    <t>DO-202609-7028</t>
  </si>
  <si>
    <t>OUT01918</t>
  </si>
  <si>
    <t>DO-202609-4170</t>
  </si>
  <si>
    <t>OUT00716</t>
  </si>
  <si>
    <t>DO-202609-4081</t>
  </si>
  <si>
    <t>OUT02061</t>
  </si>
  <si>
    <t>DO-202609-1461</t>
  </si>
  <si>
    <t>OUT01990</t>
  </si>
  <si>
    <t>DO-202609-9465</t>
  </si>
  <si>
    <t>OUT00485</t>
  </si>
  <si>
    <t>DO-202609-4677</t>
  </si>
  <si>
    <t>OUT01414</t>
  </si>
  <si>
    <t>DO-202609-2713</t>
  </si>
  <si>
    <t>OUT02183</t>
  </si>
  <si>
    <t>DO-202609-4438</t>
  </si>
  <si>
    <t>OUT01631</t>
  </si>
  <si>
    <t>DO-202609-5567</t>
  </si>
  <si>
    <t>OUT00990</t>
  </si>
  <si>
    <t>DO-202609-5130</t>
  </si>
  <si>
    <t>OUT00070</t>
  </si>
  <si>
    <t>DO-202609-5801</t>
  </si>
  <si>
    <t>OUT01352</t>
  </si>
  <si>
    <t>DO-202609-7972</t>
  </si>
  <si>
    <t>OUT00597</t>
  </si>
  <si>
    <t>DO-202609-2857</t>
  </si>
  <si>
    <t>OUT01148</t>
  </si>
  <si>
    <t>DO-202609-3440</t>
  </si>
  <si>
    <t>OUT00826</t>
  </si>
  <si>
    <t>DO-202609-8840</t>
  </si>
  <si>
    <t>OUT00821</t>
  </si>
  <si>
    <t>OUT00263</t>
  </si>
  <si>
    <t>DO-202609-4999</t>
  </si>
  <si>
    <t>OUT00841</t>
  </si>
  <si>
    <t>DO-202609-8453</t>
  </si>
  <si>
    <t>OUT00029</t>
  </si>
  <si>
    <t>DO-202609-9248</t>
  </si>
  <si>
    <t>OUT02159</t>
  </si>
  <si>
    <t>DO-202609-5807</t>
  </si>
  <si>
    <t>OUT00704</t>
  </si>
  <si>
    <t>DO-202609-8291</t>
  </si>
  <si>
    <t>OUT01852</t>
  </si>
  <si>
    <t>OUT00334</t>
  </si>
  <si>
    <t>DO-202609-2043</t>
  </si>
  <si>
    <t>OUT02104</t>
  </si>
  <si>
    <t>DO-202609-9353</t>
  </si>
  <si>
    <t>OUT00751</t>
  </si>
  <si>
    <t>DO-202609-7359</t>
  </si>
  <si>
    <t>OUT01692</t>
  </si>
  <si>
    <t>DO-202609-1796</t>
  </si>
  <si>
    <t>OUT00345</t>
  </si>
  <si>
    <t>DO-202609-9242</t>
  </si>
  <si>
    <t>OUT01526</t>
  </si>
  <si>
    <t>DO-202609-3308</t>
  </si>
  <si>
    <t>OUT02087</t>
  </si>
  <si>
    <t>DO-202609-8773</t>
  </si>
  <si>
    <t>OUT01864</t>
  </si>
  <si>
    <t>OUT01211</t>
  </si>
  <si>
    <t>DO-202609-7392</t>
  </si>
  <si>
    <t>OUT00670</t>
  </si>
  <si>
    <t>OUT00964</t>
  </si>
  <si>
    <t>DO-202609-9868</t>
  </si>
  <si>
    <t>OUT01969</t>
  </si>
  <si>
    <t>OUT01676</t>
  </si>
  <si>
    <t>DO-202609-9773</t>
  </si>
  <si>
    <t>OUT01950</t>
  </si>
  <si>
    <t>DO-202609-7100</t>
  </si>
  <si>
    <t>OUT00005</t>
  </si>
  <si>
    <t>DO-202609-7396</t>
  </si>
  <si>
    <t>OUT01390</t>
  </si>
  <si>
    <t>DO-202609-7908</t>
  </si>
  <si>
    <t>OUT00960</t>
  </si>
  <si>
    <t>DO-202609-2524</t>
  </si>
  <si>
    <t>OUT02025</t>
  </si>
  <si>
    <t>DO-202609-1697</t>
  </si>
  <si>
    <t>OUT01388</t>
  </si>
  <si>
    <t>DO-202609-4672</t>
  </si>
  <si>
    <t>OUT00276</t>
  </si>
  <si>
    <t>DO-202609-8547</t>
  </si>
  <si>
    <t>OUT00993</t>
  </si>
  <si>
    <t>DO-202609-7982</t>
  </si>
  <si>
    <t>OUT00283</t>
  </si>
  <si>
    <t>OUT01805</t>
  </si>
  <si>
    <t>DO-202609-5317</t>
  </si>
  <si>
    <t>OUT00272</t>
  </si>
  <si>
    <t>DO-202609-7671</t>
  </si>
  <si>
    <t>OUT02111</t>
  </si>
  <si>
    <t>DO-202609-8429</t>
  </si>
  <si>
    <t>OUT00144</t>
  </si>
  <si>
    <t>DO-202609-9300</t>
  </si>
  <si>
    <t>OUT01257</t>
  </si>
  <si>
    <t>DO-202609-3452</t>
  </si>
  <si>
    <t>OUT00368</t>
  </si>
  <si>
    <t>DO-202609-3200</t>
  </si>
  <si>
    <t>OUT01878</t>
  </si>
  <si>
    <t>DO-202609-5144</t>
  </si>
  <si>
    <t>OUT01785</t>
  </si>
  <si>
    <t>DO-202609-7070</t>
  </si>
  <si>
    <t>OUT01086</t>
  </si>
  <si>
    <t>OUT00259</t>
  </si>
  <si>
    <t>DO-202609-1287</t>
  </si>
  <si>
    <t>OUT01571</t>
  </si>
  <si>
    <t>DO-202609-7374</t>
  </si>
  <si>
    <t>OUT01583</t>
  </si>
  <si>
    <t>DO-202609-4542</t>
  </si>
  <si>
    <t>OUT01429</t>
  </si>
  <si>
    <t>DO-202609-5488</t>
  </si>
  <si>
    <t>OUT01036</t>
  </si>
  <si>
    <t>DO-202609-8616</t>
  </si>
  <si>
    <t>OUT01921</t>
  </si>
  <si>
    <t>DO-202609-9744</t>
  </si>
  <si>
    <t>OUT01922</t>
  </si>
  <si>
    <t>DO-202609-3730</t>
  </si>
  <si>
    <t>OUT00077</t>
  </si>
  <si>
    <t>DO-202609-2932</t>
  </si>
  <si>
    <t>OUT01925</t>
  </si>
  <si>
    <t>DO-202609-2002</t>
  </si>
  <si>
    <t>OUT00992</t>
  </si>
  <si>
    <t>DO-202609-2809</t>
  </si>
  <si>
    <t>OUT01053</t>
  </si>
  <si>
    <t>DO-202609-2393</t>
  </si>
  <si>
    <t>OUT02200</t>
  </si>
  <si>
    <t>DO-202609-9995</t>
  </si>
  <si>
    <t>OUT02015</t>
  </si>
  <si>
    <t>DO-202609-3222</t>
  </si>
  <si>
    <t>OUT00652</t>
  </si>
  <si>
    <t>DO-202609-3099</t>
  </si>
  <si>
    <t>OUT00675</t>
  </si>
  <si>
    <t>DO-202609-1645</t>
  </si>
  <si>
    <t>OUT00851</t>
  </si>
  <si>
    <t>DO-202609-3331</t>
  </si>
  <si>
    <t>OUT00521</t>
  </si>
  <si>
    <t>DO-202609-6718</t>
  </si>
  <si>
    <t>OUT00893</t>
  </si>
  <si>
    <t>OUT01076</t>
  </si>
  <si>
    <t>DO-202609-2346</t>
  </si>
  <si>
    <t>OUT01944</t>
  </si>
  <si>
    <t>DO-202609-3322</t>
  </si>
  <si>
    <t>OUT01276</t>
  </si>
  <si>
    <t>DO-202609-3357</t>
  </si>
  <si>
    <t>OUT01869</t>
  </si>
  <si>
    <t>OUT01685</t>
  </si>
  <si>
    <t>DO-202609-8418</t>
  </si>
  <si>
    <t>OUT00637</t>
  </si>
  <si>
    <t>DO-202609-6135</t>
  </si>
  <si>
    <t>OUT00536</t>
  </si>
  <si>
    <t>DO-202609-6763</t>
  </si>
  <si>
    <t>OUT00244</t>
  </si>
  <si>
    <t>DO-202609-6563</t>
  </si>
  <si>
    <t>OUT01294</t>
  </si>
  <si>
    <t>OUT01298</t>
  </si>
  <si>
    <t>DO-202609-5541</t>
  </si>
  <si>
    <t>OUT01627</t>
  </si>
  <si>
    <t>DO-202609-9419</t>
  </si>
  <si>
    <t>OUT00741</t>
  </si>
  <si>
    <t>OUT00370</t>
  </si>
  <si>
    <t>DO-202609-2441</t>
  </si>
  <si>
    <t>OUT01965</t>
  </si>
  <si>
    <t>DO-202609-4773</t>
  </si>
  <si>
    <t>OUT01122</t>
  </si>
  <si>
    <t>DO-202609-9660</t>
  </si>
  <si>
    <t>OUT01964</t>
  </si>
  <si>
    <t>OUT02091</t>
  </si>
  <si>
    <t>DO-202609-1394</t>
  </si>
  <si>
    <t>OUT00260</t>
  </si>
  <si>
    <t>DO-202609-2829</t>
  </si>
  <si>
    <t>OUT01343</t>
  </si>
  <si>
    <t>DO-202609-3866</t>
  </si>
  <si>
    <t>OUT00885</t>
  </si>
  <si>
    <t>DO-202609-9058</t>
  </si>
  <si>
    <t>OUT01330</t>
  </si>
  <si>
    <t>DO-202609-7076</t>
  </si>
  <si>
    <t>OUT00352</t>
  </si>
  <si>
    <t>DO-202609-3532</t>
  </si>
  <si>
    <t>OUT00351</t>
  </si>
  <si>
    <t>OUT01320</t>
  </si>
  <si>
    <t>DO-202609-4473</t>
  </si>
  <si>
    <t>OUT00789</t>
  </si>
  <si>
    <t>DO-202609-9481</t>
  </si>
  <si>
    <t>OUT00335</t>
  </si>
  <si>
    <t>DO-202609-4728</t>
  </si>
  <si>
    <t>OUT01520</t>
  </si>
  <si>
    <t>DO-202609-1095</t>
  </si>
  <si>
    <t>OUT00135</t>
  </si>
  <si>
    <t>DO-202609-5051</t>
  </si>
  <si>
    <t>OUT01499</t>
  </si>
  <si>
    <t>DO-202609-6183</t>
  </si>
  <si>
    <t>OUT00475</t>
  </si>
  <si>
    <t>DO-202609-7652</t>
  </si>
  <si>
    <t>OUT01799</t>
  </si>
  <si>
    <t>DO-202609-4000</t>
  </si>
  <si>
    <t>OUT00650</t>
  </si>
  <si>
    <t>DO-202609-6547</t>
  </si>
  <si>
    <t>OUT01560</t>
  </si>
  <si>
    <t>DO-202609-4198</t>
  </si>
  <si>
    <t>OUT01845</t>
  </si>
  <si>
    <t>DO-202609-5992</t>
  </si>
  <si>
    <t>OUT02067</t>
  </si>
  <si>
    <t>DO-202609-8071</t>
  </si>
  <si>
    <t>OUT01254</t>
  </si>
  <si>
    <t>DO-202609-9598</t>
  </si>
  <si>
    <t>OUT00326</t>
  </si>
  <si>
    <t>DO-202609-3459</t>
  </si>
  <si>
    <t>OUT01587</t>
  </si>
  <si>
    <t>DO-202609-2536</t>
  </si>
  <si>
    <t>OUT01774</t>
  </si>
  <si>
    <t>DO-202609-5786</t>
  </si>
  <si>
    <t>OUT01262</t>
  </si>
  <si>
    <t>DO-202609-1966</t>
  </si>
  <si>
    <t>OUT01806</t>
  </si>
  <si>
    <t>DO-202609-1957</t>
  </si>
  <si>
    <t>OUT00607</t>
  </si>
  <si>
    <t>DO-202609-4912</t>
  </si>
  <si>
    <t>OUT00119</t>
  </si>
  <si>
    <t>DO-202609-6694</t>
  </si>
  <si>
    <t>OUT00693</t>
  </si>
  <si>
    <t>DO-202609-2952</t>
  </si>
  <si>
    <t>OUT00123</t>
  </si>
  <si>
    <t>DO-202609-8240</t>
  </si>
  <si>
    <t>OUT01946</t>
  </si>
  <si>
    <t>OUT00905</t>
  </si>
  <si>
    <t>DO-202609-8890</t>
  </si>
  <si>
    <t>OUT00056</t>
  </si>
  <si>
    <t>DO-202609-4734</t>
  </si>
  <si>
    <t>OUT00648</t>
  </si>
  <si>
    <t>DO-202609-5740</t>
  </si>
  <si>
    <t>OUT00092</t>
  </si>
  <si>
    <t>DO-202609-3923</t>
  </si>
  <si>
    <t>OUT00952</t>
  </si>
  <si>
    <t>DO-202609-3196</t>
  </si>
  <si>
    <t>OUT00629</t>
  </si>
  <si>
    <t>DO-202609-3661</t>
  </si>
  <si>
    <t>OUT01598</t>
  </si>
  <si>
    <t>DO-202609-3632</t>
  </si>
  <si>
    <t>OUT00089</t>
  </si>
  <si>
    <t>DO-202609-9334</t>
  </si>
  <si>
    <t>OUT02154</t>
  </si>
  <si>
    <t>DO-202609-3067</t>
  </si>
  <si>
    <t>OUT01522</t>
  </si>
  <si>
    <t>OUT00788</t>
  </si>
  <si>
    <t>DO-202609-4133</t>
  </si>
  <si>
    <t>OUT02163</t>
  </si>
  <si>
    <t>DO-202609-6039</t>
  </si>
  <si>
    <t>OUT00249</t>
  </si>
  <si>
    <t>DO-202609-9306</t>
  </si>
  <si>
    <t>OUT01577</t>
  </si>
  <si>
    <t>DO-202609-4515</t>
  </si>
  <si>
    <t>OUT00535</t>
  </si>
  <si>
    <t>DO-202609-9753</t>
  </si>
  <si>
    <t>OUT00636</t>
  </si>
  <si>
    <t>DO-202609-8871</t>
  </si>
  <si>
    <t>OUT01911</t>
  </si>
  <si>
    <t>DO-202609-5470</t>
  </si>
  <si>
    <t>OUT01095</t>
  </si>
  <si>
    <t>DO-202609-8564</t>
  </si>
  <si>
    <t>OUT01415</t>
  </si>
  <si>
    <t>DO-202609-7463</t>
  </si>
  <si>
    <t>OUT01945</t>
  </si>
  <si>
    <t>DO-202609-8146</t>
  </si>
  <si>
    <t>OUT01052</t>
  </si>
  <si>
    <t>DO-202609-9257</t>
  </si>
  <si>
    <t>OUT01088</t>
  </si>
  <si>
    <t>DO-202609-7467</t>
  </si>
  <si>
    <t>OUT01425</t>
  </si>
  <si>
    <t>DO-202609-3060</t>
  </si>
  <si>
    <t>OUT00673</t>
  </si>
  <si>
    <t>DO-202609-1417</t>
  </si>
  <si>
    <t>OUT00911</t>
  </si>
  <si>
    <t>DO-202609-6157</t>
  </si>
  <si>
    <t>OUT00862</t>
  </si>
  <si>
    <t>OUT01976</t>
  </si>
  <si>
    <t>OUT01267</t>
  </si>
  <si>
    <t>DO-202609-5352</t>
  </si>
  <si>
    <t>OUT01873</t>
  </si>
  <si>
    <t>DO-202609-7352</t>
  </si>
  <si>
    <t>OUT00362</t>
  </si>
  <si>
    <t>DO-202609-6336</t>
  </si>
  <si>
    <t>OUT00399</t>
  </si>
  <si>
    <t>DO-202609-4446</t>
  </si>
  <si>
    <t>OUT00371</t>
  </si>
  <si>
    <t>DO-202609-5271</t>
  </si>
  <si>
    <t>OUT01226</t>
  </si>
  <si>
    <t>DO-202609-5707</t>
  </si>
  <si>
    <t>OUT01858</t>
  </si>
  <si>
    <t>DO-202609-7590</t>
  </si>
  <si>
    <t>OUT01242</t>
  </si>
  <si>
    <t>DO-202609-9297</t>
  </si>
  <si>
    <t>OUT01696</t>
  </si>
  <si>
    <t>DO-202609-4194</t>
  </si>
  <si>
    <t>OUT00674</t>
  </si>
  <si>
    <t>OUT01232</t>
  </si>
  <si>
    <t>DO-202609-4548</t>
  </si>
  <si>
    <t>OUT00883</t>
  </si>
  <si>
    <t>DO-202609-7650</t>
  </si>
  <si>
    <t>OUT01736</t>
  </si>
  <si>
    <t>OUT00888</t>
  </si>
  <si>
    <t>DO-202609-2357</t>
  </si>
  <si>
    <t>OUT01735</t>
  </si>
  <si>
    <t>DO-202609-8801</t>
  </si>
  <si>
    <t>OUT00748</t>
  </si>
  <si>
    <t>DO-202609-8392</t>
  </si>
  <si>
    <t>OUT00084</t>
  </si>
  <si>
    <t>DO-202609-2765</t>
  </si>
  <si>
    <t>OUT02172</t>
  </si>
  <si>
    <t>DO-202609-5710</t>
  </si>
  <si>
    <t>OUT01198</t>
  </si>
  <si>
    <t>OUT00357</t>
  </si>
  <si>
    <t>DO-202609-6166</t>
  </si>
  <si>
    <t>OUT01694</t>
  </si>
  <si>
    <t>DO-202609-4646</t>
  </si>
  <si>
    <t>OUT02073</t>
  </si>
  <si>
    <t>DO-202609-6128</t>
  </si>
  <si>
    <t>OUT01419</t>
  </si>
  <si>
    <t>DO-202609-6137</t>
  </si>
  <si>
    <t>OUT01438</t>
  </si>
  <si>
    <t>DO-202609-6685</t>
  </si>
  <si>
    <t>OUT02023</t>
  </si>
  <si>
    <t>DO-202609-4922</t>
  </si>
  <si>
    <t>OUT00754</t>
  </si>
  <si>
    <t>DO-202609-3536</t>
  </si>
  <si>
    <t>OUT01588</t>
  </si>
  <si>
    <t>DO-202609-3855</t>
  </si>
  <si>
    <t>OUT00585</t>
  </si>
  <si>
    <t>DO-202609-7296</t>
  </si>
  <si>
    <t>OUT01998</t>
  </si>
  <si>
    <t>DO-202609-9669</t>
  </si>
  <si>
    <t>OUT00105</t>
  </si>
  <si>
    <t>DO-202609-9402</t>
  </si>
  <si>
    <t>OUT01221</t>
  </si>
  <si>
    <t>DO-202609-3815</t>
  </si>
  <si>
    <t>OUT01047</t>
  </si>
  <si>
    <t>DO-202609-1188</t>
  </si>
  <si>
    <t>OUT00010</t>
  </si>
  <si>
    <t>DO-202609-3282</t>
  </si>
  <si>
    <t>OUT00330</t>
  </si>
  <si>
    <t>DO-202609-5447</t>
  </si>
  <si>
    <t>OUT00700</t>
  </si>
  <si>
    <t>DO-202609-7366</t>
  </si>
  <si>
    <t>OUT00152</t>
  </si>
  <si>
    <t>DO-202609-1598</t>
  </si>
  <si>
    <t>OUT02198</t>
  </si>
  <si>
    <t>DO-202609-1660</t>
  </si>
  <si>
    <t>OUT00958</t>
  </si>
  <si>
    <t>DO-202609-2218</t>
  </si>
  <si>
    <t>OUT02017</t>
  </si>
  <si>
    <t>DO-202609-9129</t>
  </si>
  <si>
    <t>OUT01009</t>
  </si>
  <si>
    <t>DO-202609-4951</t>
  </si>
  <si>
    <t>OUT01284</t>
  </si>
  <si>
    <t>DO-202609-8676</t>
  </si>
  <si>
    <t>OUT00913</t>
  </si>
  <si>
    <t>DO-202609-3299</t>
  </si>
  <si>
    <t>OUT01677</t>
  </si>
  <si>
    <t>OUT02021</t>
  </si>
  <si>
    <t>OUT01678</t>
  </si>
  <si>
    <t>DO-202609-3336</t>
  </si>
  <si>
    <t>OUT00796</t>
  </si>
  <si>
    <t>DO-202609-2180</t>
  </si>
  <si>
    <t>OUT01313</t>
  </si>
  <si>
    <t>OUT00918</t>
  </si>
  <si>
    <t>DO-202609-5480</t>
  </si>
  <si>
    <t>OUT00226</t>
  </si>
  <si>
    <t>DO-202609-5918</t>
  </si>
  <si>
    <t>OUT01353</t>
  </si>
  <si>
    <t>DO-202609-1408</t>
  </si>
  <si>
    <t>OUT02109</t>
  </si>
  <si>
    <t>DO-202609-4568</t>
  </si>
  <si>
    <t>OUT02004</t>
  </si>
  <si>
    <t>DO-202609-1371</t>
  </si>
  <si>
    <t>OUT01147</t>
  </si>
  <si>
    <t>DO-202609-5127</t>
  </si>
  <si>
    <t>OUT00899</t>
  </si>
  <si>
    <t>DO-202609-8744</t>
  </si>
  <si>
    <t>OUT01750</t>
  </si>
  <si>
    <t>DO-202609-9690</t>
  </si>
  <si>
    <t>OUT01639</t>
  </si>
  <si>
    <t>OUT00725</t>
  </si>
  <si>
    <t>DO-202609-8385</t>
  </si>
  <si>
    <t>OUT01791</t>
  </si>
  <si>
    <t>DO-202609-7416</t>
  </si>
  <si>
    <t>OUT01724</t>
  </si>
  <si>
    <t>DO-202609-3527</t>
  </si>
  <si>
    <t>OUT00689</t>
  </si>
  <si>
    <t>DO-202609-7031</t>
  </si>
  <si>
    <t>OUT01022</t>
  </si>
  <si>
    <t>DO-202609-3691</t>
  </si>
  <si>
    <t>OUT01935</t>
  </si>
  <si>
    <t>DO-202609-2590</t>
  </si>
  <si>
    <t>OUT01216</t>
  </si>
  <si>
    <t>DO-202609-5819</t>
  </si>
  <si>
    <t>OUT01933</t>
  </si>
  <si>
    <t>OUT02020</t>
  </si>
  <si>
    <t>DO-202609-1988</t>
  </si>
  <si>
    <t>OUT00473</t>
  </si>
  <si>
    <t>OUT00474</t>
  </si>
  <si>
    <t>OUT00170</t>
  </si>
  <si>
    <t>DO-202609-4703</t>
  </si>
  <si>
    <t>OUT02092</t>
  </si>
  <si>
    <t>DO-202609-9848</t>
  </si>
  <si>
    <t>OUT00114</t>
  </si>
  <si>
    <t>DO-202609-3950</t>
  </si>
  <si>
    <t>OUT01885</t>
  </si>
  <si>
    <t>DO-202609-9834</t>
  </si>
  <si>
    <t>OUT00051</t>
  </si>
  <si>
    <t>DO-202609-4569</t>
  </si>
  <si>
    <t>OUT02187</t>
  </si>
  <si>
    <t>OUT00116</t>
  </si>
  <si>
    <t>DO-202609-5840</t>
  </si>
  <si>
    <t>OUT01713</t>
  </si>
  <si>
    <t>DO-202609-7506</t>
  </si>
  <si>
    <t>OUT00391</t>
  </si>
  <si>
    <t>OUT01578</t>
  </si>
  <si>
    <t>DO-202609-5253</t>
  </si>
  <si>
    <t>OUT00282</t>
  </si>
  <si>
    <t>DO-202609-9676</t>
  </si>
  <si>
    <t>OUT01102</t>
  </si>
  <si>
    <t>DO-202609-2249</t>
  </si>
  <si>
    <t>OUT00236</t>
  </si>
  <si>
    <t>DO-202609-7456</t>
  </si>
  <si>
    <t>OUT00614</t>
  </si>
  <si>
    <t>DO-202609-4160</t>
  </si>
  <si>
    <t>OUT02134</t>
  </si>
  <si>
    <t>DO-202609-7743</t>
  </si>
  <si>
    <t>OUT02053</t>
  </si>
  <si>
    <t>DO-202609-1647</t>
  </si>
  <si>
    <t>OUT01191</t>
  </si>
  <si>
    <t>DO-202609-2412</t>
  </si>
  <si>
    <t>OUT00435</t>
  </si>
  <si>
    <t>OUT01968</t>
  </si>
  <si>
    <t>DO-202609-8527</t>
  </si>
  <si>
    <t>OUT00510</t>
  </si>
  <si>
    <t>DO-202609-5128</t>
  </si>
  <si>
    <t>OUT00223</t>
  </si>
  <si>
    <t>DO-202609-8648</t>
  </si>
  <si>
    <t>OUT00858</t>
  </si>
  <si>
    <t>DO-202609-6084</t>
  </si>
  <si>
    <t>OUT01618</t>
  </si>
  <si>
    <t>DO-202609-9556</t>
  </si>
  <si>
    <t>OUT01585</t>
  </si>
  <si>
    <t>DO-202609-4514</t>
  </si>
  <si>
    <t>OUT00186</t>
  </si>
  <si>
    <t>DO-202609-6991</t>
  </si>
  <si>
    <t>OUT00030</t>
  </si>
  <si>
    <t>DO-202609-8966</t>
  </si>
  <si>
    <t>OUT01078</t>
  </si>
  <si>
    <t>DO-202609-5761</t>
  </si>
  <si>
    <t>OUT01515</t>
  </si>
  <si>
    <t>DO-202609-8024</t>
  </si>
  <si>
    <t>OUT01823</t>
  </si>
  <si>
    <t>DO-202609-7776</t>
  </si>
  <si>
    <t>OUT01014</t>
  </si>
  <si>
    <t>OUT00478</t>
  </si>
  <si>
    <t>DO-202609-3761</t>
  </si>
  <si>
    <t>OUT02072</t>
  </si>
  <si>
    <t>DO-202609-9908</t>
  </si>
  <si>
    <t>OUT01432</t>
  </si>
  <si>
    <t>OUT00760</t>
  </si>
  <si>
    <t>DO-202609-1336</t>
  </si>
  <si>
    <t>OUT01258</t>
  </si>
  <si>
    <t>DO-202609-3747</t>
  </si>
  <si>
    <t>OUT00317</t>
  </si>
  <si>
    <t>DO-202609-5771</t>
  </si>
  <si>
    <t>OUT00324</t>
  </si>
  <si>
    <t>DO-202609-3770</t>
  </si>
  <si>
    <t>OUT02007</t>
  </si>
  <si>
    <t>DO-202609-9267</t>
  </si>
  <si>
    <t>OUT01841</t>
  </si>
  <si>
    <t>DO-202609-3451</t>
  </si>
  <si>
    <t>OUT01246</t>
  </si>
  <si>
    <t>DO-202609-5719</t>
  </si>
  <si>
    <t>OUT00290</t>
  </si>
  <si>
    <t>DO-202609-6206</t>
  </si>
  <si>
    <t>OUT00642</t>
  </si>
  <si>
    <t>DO-202609-3830</t>
  </si>
  <si>
    <t>OUT00298</t>
  </si>
  <si>
    <t>DO-202609-7378</t>
  </si>
  <si>
    <t>OUT01444</t>
  </si>
  <si>
    <t>DO-202609-5115</t>
  </si>
  <si>
    <t>OUT00190</t>
  </si>
  <si>
    <t>DO-202609-1212</t>
  </si>
  <si>
    <t>OUT00188</t>
  </si>
  <si>
    <t>DO-202609-4208</t>
  </si>
  <si>
    <t>OUT01372</t>
  </si>
  <si>
    <t>DO-202609-9404</t>
  </si>
  <si>
    <t>OUT00322</t>
  </si>
  <si>
    <t>DO-202609-9467</t>
  </si>
  <si>
    <t>OUT00208</t>
  </si>
  <si>
    <t>DO-202609-5042</t>
  </si>
  <si>
    <t>OUT00433</t>
  </si>
  <si>
    <t>DO-202609-9901</t>
  </si>
  <si>
    <t>OUT00147</t>
  </si>
  <si>
    <t>DO-202609-2785</t>
  </si>
  <si>
    <t>OUT00970</t>
  </si>
  <si>
    <t>DO-202609-2751</t>
  </si>
  <si>
    <t>OUT00579</t>
  </si>
  <si>
    <t>DO-202609-7535</t>
  </si>
  <si>
    <t>OUT01699</t>
  </si>
  <si>
    <t>DO-202609-1747</t>
  </si>
  <si>
    <t>OUT02189</t>
  </si>
  <si>
    <t>DO-202609-2262</t>
  </si>
  <si>
    <t>OUT01666</t>
  </si>
  <si>
    <t>DO-202609-6974</t>
  </si>
  <si>
    <t>OUT01621</t>
  </si>
  <si>
    <t>DO-202609-2336</t>
  </si>
  <si>
    <t>OUT00668</t>
  </si>
  <si>
    <t>DO-202609-8318</t>
  </si>
  <si>
    <t>OUT00074</t>
  </si>
  <si>
    <t>DO-202609-4774</t>
  </si>
  <si>
    <t>OUT00538</t>
  </si>
  <si>
    <t>OUT01564</t>
  </si>
  <si>
    <t>DO-202609-6497</t>
  </si>
  <si>
    <t>OUT00490</t>
  </si>
  <si>
    <t>DO-202609-8066</t>
  </si>
  <si>
    <t>OUT01565</t>
  </si>
  <si>
    <t>DO-202609-4374</t>
  </si>
  <si>
    <t>OUT00525</t>
  </si>
  <si>
    <t>DO-202609-9040</t>
  </si>
  <si>
    <t>OUT01613</t>
  </si>
  <si>
    <t>DO-202609-4056</t>
  </si>
  <si>
    <t>OUT01633</t>
  </si>
  <si>
    <t>DO-202609-4215</t>
  </si>
  <si>
    <t>OUT01679</t>
  </si>
  <si>
    <t>DO-202609-7505</t>
  </si>
  <si>
    <t>OUT01711</t>
  </si>
  <si>
    <t>DO-202609-4638</t>
  </si>
  <si>
    <t>OUT01770</t>
  </si>
  <si>
    <t>DO-202609-3646</t>
  </si>
  <si>
    <t>OUT00132</t>
  </si>
  <si>
    <t>OUT00064</t>
  </si>
  <si>
    <t>OUT00951</t>
  </si>
  <si>
    <t>DO-202609-7808</t>
  </si>
  <si>
    <t>OUT00557</t>
  </si>
  <si>
    <t>DO-202609-8242</t>
  </si>
  <si>
    <t>OUT00602</t>
  </si>
  <si>
    <t>DO-202609-3210</t>
  </si>
  <si>
    <t>OUT01650</t>
  </si>
  <si>
    <t>DO-202609-7443</t>
  </si>
  <si>
    <t>OUT01653</t>
  </si>
  <si>
    <t>DO-202609-5701</t>
  </si>
  <si>
    <t>OUT02033</t>
  </si>
  <si>
    <t>DO-202609-4095</t>
  </si>
  <si>
    <t>OUT00855</t>
  </si>
  <si>
    <t>DO-202609-8620</t>
  </si>
  <si>
    <t>OUT01901</t>
  </si>
  <si>
    <t>DO-202609-7922</t>
  </si>
  <si>
    <t>OUT01422</t>
  </si>
  <si>
    <t>DO-202609-6755</t>
  </si>
  <si>
    <t>OUT02068</t>
  </si>
  <si>
    <t>DO-202609-8780</t>
  </si>
  <si>
    <t>OUT02093</t>
  </si>
  <si>
    <t>DO-202609-2732</t>
  </si>
  <si>
    <t>OUT00713</t>
  </si>
  <si>
    <t>DO-202609-9149</t>
  </si>
  <si>
    <t>OUT00660</t>
  </si>
  <si>
    <t>DO-202609-5525</t>
  </si>
  <si>
    <t>OUT01436</t>
  </si>
  <si>
    <t>DO-202609-4019</t>
  </si>
  <si>
    <t>OUT00210</t>
  </si>
  <si>
    <t>DO-202609-3916</t>
  </si>
  <si>
    <t>OUT00946</t>
  </si>
  <si>
    <t>DO-202609-2696</t>
  </si>
  <si>
    <t>OUT01625</t>
  </si>
  <si>
    <t>DO-202609-9331</t>
  </si>
  <si>
    <t>OUT01984</t>
  </si>
  <si>
    <t>DO-202609-5292</t>
  </si>
  <si>
    <t>OUT00686</t>
  </si>
  <si>
    <t>DO-202609-1315</t>
  </si>
  <si>
    <t>OUT00045</t>
  </si>
  <si>
    <t>DO-202609-3160</t>
  </si>
  <si>
    <t>OUT01757</t>
  </si>
  <si>
    <t>DO-202609-8472</t>
  </si>
  <si>
    <t>OUT01152</t>
  </si>
  <si>
    <t>DO-202609-2913</t>
  </si>
  <si>
    <t>OUT01130</t>
  </si>
  <si>
    <t>DO-202609-5066</t>
  </si>
  <si>
    <t>OUT01363</t>
  </si>
  <si>
    <t>DO-202609-4543</t>
  </si>
  <si>
    <t>OUT00035</t>
  </si>
  <si>
    <t>DO-202609-1978</t>
  </si>
  <si>
    <t>OUT00286</t>
  </si>
  <si>
    <t>DO-202609-7200</t>
  </si>
  <si>
    <t>OUT01826</t>
  </si>
  <si>
    <t>OUT00797</t>
  </si>
  <si>
    <t>DO-202609-7440</t>
  </si>
  <si>
    <t>OUT00541</t>
  </si>
  <si>
    <t>DO-202609-5758</t>
  </si>
  <si>
    <t>OUT02079</t>
  </si>
  <si>
    <t>OUT00561</t>
  </si>
  <si>
    <t>DO-202609-9283</t>
  </si>
  <si>
    <t>OUT01389</t>
  </si>
  <si>
    <t>DO-202609-8540</t>
  </si>
  <si>
    <t>OUT00386</t>
  </si>
  <si>
    <t>DO-202609-4690</t>
  </si>
  <si>
    <t>OUT00666</t>
  </si>
  <si>
    <t>DO-202609-5885</t>
  </si>
  <si>
    <t>OUT02045</t>
  </si>
  <si>
    <t>DO-202609-1575</t>
  </si>
  <si>
    <t>OUT00483</t>
  </si>
  <si>
    <t>OUT00745</t>
  </si>
  <si>
    <t>DO-202609-2422</t>
  </si>
  <si>
    <t>OUT01593</t>
  </si>
  <si>
    <t>DO-202609-8823</t>
  </si>
  <si>
    <t>OUT00987</t>
  </si>
  <si>
    <t>DO-202609-5506</t>
  </si>
  <si>
    <t>OUT01495</t>
  </si>
  <si>
    <t>OUT00843</t>
  </si>
  <si>
    <t>DO-202609-5705</t>
  </si>
  <si>
    <t>OUT01029</t>
  </si>
  <si>
    <t>DO-202609-7136</t>
  </si>
  <si>
    <t>OUT00182</t>
  </si>
  <si>
    <t>DO-202609-6816</t>
  </si>
  <si>
    <t>OUT01225</t>
  </si>
  <si>
    <t>DO-202609-6314</t>
  </si>
  <si>
    <t>OUT00611</t>
  </si>
  <si>
    <t>DO-202609-7226</t>
  </si>
  <si>
    <t>OUT00809</t>
  </si>
  <si>
    <t>OUT00824</t>
  </si>
  <si>
    <t>DO-202609-8148</t>
  </si>
  <si>
    <t>OUT01268</t>
  </si>
  <si>
    <t>DO-202609-1535</t>
  </si>
  <si>
    <t>OUT01842</t>
  </si>
  <si>
    <t>DO-202609-6251</t>
  </si>
  <si>
    <t>OUT01982</t>
  </si>
  <si>
    <t>DO-202609-7512</t>
  </si>
  <si>
    <t>OUT01727</t>
  </si>
  <si>
    <t>DO-202609-5008</t>
  </si>
  <si>
    <t>OUT00747</t>
  </si>
  <si>
    <t>DO-202609-4954</t>
  </si>
  <si>
    <t>OUT01861</t>
  </si>
  <si>
    <t>DO-202609-5246</t>
  </si>
  <si>
    <t>OUT01981</t>
  </si>
  <si>
    <t>DO-202609-8851</t>
  </si>
  <si>
    <t>OUT00599</t>
  </si>
  <si>
    <t>DO-202609-1326</t>
  </si>
  <si>
    <t>OUT01466</t>
  </si>
  <si>
    <t>DO-202609-5176</t>
  </si>
  <si>
    <t>OUT01061</t>
  </si>
  <si>
    <t>DO-202609-4863</t>
  </si>
  <si>
    <t>OUT02049</t>
  </si>
  <si>
    <t>DO-202609-8364</t>
  </si>
  <si>
    <t>OUT01329</t>
  </si>
  <si>
    <t>DO-202609-8396</t>
  </si>
  <si>
    <t>OUT01165</t>
  </si>
  <si>
    <t>DO-202609-5305</t>
  </si>
  <si>
    <t>OUT01111</t>
  </si>
  <si>
    <t>DO-202609-1759</t>
  </si>
  <si>
    <t>OUT01218</t>
  </si>
  <si>
    <t>DO-202609-4187</t>
  </si>
  <si>
    <t>OUT00287</t>
  </si>
  <si>
    <t>DO-202609-2812</t>
  </si>
  <si>
    <t>OUT00820</t>
  </si>
  <si>
    <t>DO-202609-6148</t>
  </si>
  <si>
    <t>OUT01114</t>
  </si>
  <si>
    <t>DO-202609-1446</t>
  </si>
  <si>
    <t>OUT01874</t>
  </si>
  <si>
    <t>OUT01219</t>
  </si>
  <si>
    <t>DO-202609-2304</t>
  </si>
  <si>
    <t>OUT00701</t>
  </si>
  <si>
    <t>OUT01924</t>
  </si>
  <si>
    <t>DO-202609-1640</t>
  </si>
  <si>
    <t>OUT00778</t>
  </si>
  <si>
    <t>DO-202609-7122</t>
  </si>
  <si>
    <t>OUT00910</t>
  </si>
  <si>
    <t>OUT01720</t>
  </si>
  <si>
    <t>DO-202609-6313</t>
  </si>
  <si>
    <t>OUT00134</t>
  </si>
  <si>
    <t>DO-202609-1692</t>
  </si>
  <si>
    <t>OUT02085</t>
  </si>
  <si>
    <t>DO-202609-6608</t>
  </si>
  <si>
    <t>OUT00783</t>
  </si>
  <si>
    <t>OUT00359</t>
  </si>
  <si>
    <t>DO-202609-6793</t>
  </si>
  <si>
    <t>OUT00291</t>
  </si>
  <si>
    <t>DO-202609-5690</t>
  </si>
  <si>
    <t>OUT00232</t>
  </si>
  <si>
    <t>DO-202609-1013</t>
  </si>
  <si>
    <t>OUT01068</t>
  </si>
  <si>
    <t>DO-202609-3035</t>
  </si>
  <si>
    <t>OUT01908</t>
  </si>
  <si>
    <t>DO-202609-7541</t>
  </si>
  <si>
    <t>OUT01597</t>
  </si>
  <si>
    <t>DO-202609-7176</t>
  </si>
  <si>
    <t>OUT01773</t>
  </si>
  <si>
    <t>DO-202609-7782</t>
  </si>
  <si>
    <t>OUT00508</t>
  </si>
  <si>
    <t>DO-202609-7677</t>
  </si>
  <si>
    <t>OUT01336</t>
  </si>
  <si>
    <t>DO-202609-9011</t>
  </si>
  <si>
    <t>OUT01280</t>
  </si>
  <si>
    <t>DO-202609-1320</t>
  </si>
  <si>
    <t>OUT01079</t>
  </si>
  <si>
    <t>DO-202609-7046</t>
  </si>
  <si>
    <t>OUT00861</t>
  </si>
  <si>
    <t>DO-202609-8541</t>
  </si>
  <si>
    <t>OUT00026</t>
  </si>
  <si>
    <t>DO-202609-2258</t>
  </si>
  <si>
    <t>OUT01471</t>
  </si>
  <si>
    <t>DO-202609-9276</t>
  </si>
  <si>
    <t>OUT00526</t>
  </si>
  <si>
    <t>DO-202609-1960</t>
  </si>
  <si>
    <t>OUT00722</t>
  </si>
  <si>
    <t>DO-202609-6692</t>
  </si>
  <si>
    <t>OUT00983</t>
  </si>
  <si>
    <t>DO-202609-5530</t>
  </si>
  <si>
    <t>OUT01007</t>
  </si>
  <si>
    <t>DO-202609-6847</t>
  </si>
  <si>
    <t>OUT00225</t>
  </si>
  <si>
    <t>DO-202609-5138</t>
  </si>
  <si>
    <t>OUT00442</t>
  </si>
  <si>
    <t>DO-202609-9548</t>
  </si>
  <si>
    <t>OUT01168</t>
  </si>
  <si>
    <t>OUT00645</t>
  </si>
  <si>
    <t>DO-202609-5549</t>
  </si>
  <si>
    <t>OUT02039</t>
  </si>
  <si>
    <t>DO-202609-1058</t>
  </si>
  <si>
    <t>OUT00583</t>
  </si>
  <si>
    <t>DO-202609-2780</t>
  </si>
  <si>
    <t>OUT00603</t>
  </si>
  <si>
    <t>DO-202609-4229</t>
  </si>
  <si>
    <t>OUT01829</t>
  </si>
  <si>
    <t>DO-202609-5616</t>
  </si>
  <si>
    <t>OUT00578</t>
  </si>
  <si>
    <t>DO-202609-8272</t>
  </si>
  <si>
    <t>OUT00854</t>
  </si>
  <si>
    <t>DO-202609-3384</t>
  </si>
  <si>
    <t>OUT00884</t>
  </si>
  <si>
    <t>OUT00311</t>
  </si>
  <si>
    <t>DO-202609-3325</t>
  </si>
  <si>
    <t>OUT00013</t>
  </si>
  <si>
    <t>DO-202609-2320</t>
  </si>
  <si>
    <t>OUT02194</t>
  </si>
  <si>
    <t>DO-202609-1450</t>
  </si>
  <si>
    <t>OUT02035</t>
  </si>
  <si>
    <t>OUT00306</t>
  </si>
  <si>
    <t>DO-202609-2982</t>
  </si>
  <si>
    <t>OUT01656</t>
  </si>
  <si>
    <t>DO-202609-5952</t>
  </si>
  <si>
    <t>OUT01158</t>
  </si>
  <si>
    <t>DO-202609-1824</t>
  </si>
  <si>
    <t>OUT00749</t>
  </si>
  <si>
    <t>DO-202609-3103</t>
  </si>
  <si>
    <t>OUT00733</t>
  </si>
  <si>
    <t>DO-202609-4699</t>
  </si>
  <si>
    <t>OUT00273</t>
  </si>
  <si>
    <t>DO-202609-5501</t>
  </si>
  <si>
    <t>OUT00469</t>
  </si>
  <si>
    <t>DO-202609-8481</t>
  </si>
  <si>
    <t>OUT00922</t>
  </si>
  <si>
    <t>DO-202609-8774</t>
  </si>
  <si>
    <t>OUT00075</t>
  </si>
  <si>
    <t>DO-202609-3052</t>
  </si>
  <si>
    <t>OUT02199</t>
  </si>
  <si>
    <t>DO-202609-1114</t>
  </si>
  <si>
    <t>OUT00076</t>
  </si>
  <si>
    <t>DO-202609-3263</t>
  </si>
  <si>
    <t>OUT00113</t>
  </si>
  <si>
    <t>DO-202609-7230</t>
  </si>
  <si>
    <t>OUT01591</t>
  </si>
  <si>
    <t>DO-202609-1213</t>
  </si>
  <si>
    <t>OUT02138</t>
  </si>
  <si>
    <t>DO-202609-6363</t>
  </si>
  <si>
    <t>OUT01764</t>
  </si>
  <si>
    <t>OUT00078</t>
  </si>
  <si>
    <t>DO-202609-9096</t>
  </si>
  <si>
    <t>OUT00196</t>
  </si>
  <si>
    <t>DO-202609-1918</t>
  </si>
  <si>
    <t>OUT01771</t>
  </si>
  <si>
    <t>DO-202609-7988</t>
  </si>
  <si>
    <t>OUT01939</t>
  </si>
  <si>
    <t>DO-202609-1511</t>
  </si>
  <si>
    <t>OUT01449</t>
  </si>
  <si>
    <t>DO-202609-3688</t>
  </si>
  <si>
    <t>OUT00247</t>
  </si>
  <si>
    <t>DO-202609-7524</t>
  </si>
  <si>
    <t>OUT00446</t>
  </si>
  <si>
    <t>DO-202609-8879</t>
  </si>
  <si>
    <t>OUT00707</t>
  </si>
  <si>
    <t>DO-202609-5873</t>
  </si>
  <si>
    <t>OUT02156</t>
  </si>
  <si>
    <t>DO-202609-6752</t>
  </si>
  <si>
    <t>OUT01020</t>
  </si>
  <si>
    <t>DO-202609-2453</t>
  </si>
  <si>
    <t>OUT00122</t>
  </si>
  <si>
    <t>DO-202609-6295</t>
  </si>
  <si>
    <t>OUT01539</t>
  </si>
  <si>
    <t>DO-202609-9884</t>
  </si>
  <si>
    <t>OUT01919</t>
  </si>
  <si>
    <t>DO-202609-5734</t>
  </si>
  <si>
    <t>OUT00143</t>
  </si>
  <si>
    <t>DO-202609-7657</t>
  </si>
  <si>
    <t>OUT01868</t>
  </si>
  <si>
    <t>DO-202609-9778</t>
  </si>
  <si>
    <t>OUT01513</t>
  </si>
  <si>
    <t>DO-202609-9520</t>
  </si>
  <si>
    <t>OUT00825</t>
  </si>
  <si>
    <t>OUT01196</t>
  </si>
  <si>
    <t>DO-202609-9877</t>
  </si>
  <si>
    <t>OUT01234</t>
  </si>
  <si>
    <t>DO-202609-1750</t>
  </si>
  <si>
    <t>OUT00850</t>
  </si>
  <si>
    <t>DO-202609-8371</t>
  </si>
  <si>
    <t>OUT01452</t>
  </si>
  <si>
    <t>DO-202609-7322</t>
  </si>
  <si>
    <t>OUT01457</t>
  </si>
  <si>
    <t>DO-202609-7019</t>
  </si>
  <si>
    <t>OUT01543</t>
  </si>
  <si>
    <t>DO-202609-6942</t>
  </si>
  <si>
    <t>OUT01739</t>
  </si>
  <si>
    <t>DO-202609-2496</t>
  </si>
  <si>
    <t>OUT00831</t>
  </si>
  <si>
    <t>DO-202609-4753</t>
  </si>
  <si>
    <t>OUT00102</t>
  </si>
  <si>
    <t>DO-202609-2423</t>
  </si>
  <si>
    <t>OUT01032</t>
  </si>
  <si>
    <t>OUT01980</t>
  </si>
  <si>
    <t>DO-202609-4080</t>
  </si>
  <si>
    <t>OUT01492</t>
  </si>
  <si>
    <t>DO-202609-1742</t>
  </si>
  <si>
    <t>OUT02141</t>
  </si>
  <si>
    <t>DO-202609-1881</t>
  </si>
  <si>
    <t>OUT00834</t>
  </si>
  <si>
    <t>DO-202609-1281</t>
  </si>
  <si>
    <t>OUT00358</t>
  </si>
  <si>
    <t>DO-202609-7834</t>
  </si>
  <si>
    <t>OUT00112</t>
  </si>
  <si>
    <t>DO-202609-4416</t>
  </si>
  <si>
    <t>OUT00086</t>
  </si>
  <si>
    <t>DO-202609-3205</t>
  </si>
  <si>
    <t>OUT00424</t>
  </si>
  <si>
    <t>DO-202609-1560</t>
  </si>
  <si>
    <t>OUT01325</t>
  </si>
  <si>
    <t>DO-202609-7755</t>
  </si>
  <si>
    <t>OUT01146</t>
  </si>
  <si>
    <t>DO-202609-4117</t>
  </si>
  <si>
    <t>OUT01346</t>
  </si>
  <si>
    <t>OUT01134</t>
  </si>
  <si>
    <t>DO-202609-1897</t>
  </si>
  <si>
    <t>OUT02013</t>
  </si>
  <si>
    <t>DO-202609-1967</t>
  </si>
  <si>
    <t>OUT00762</t>
  </si>
  <si>
    <t>DO-202609-2096</t>
  </si>
  <si>
    <t>OUT01658</t>
  </si>
  <si>
    <t>DO-202609-2449</t>
  </si>
  <si>
    <t>OUT00285</t>
  </si>
  <si>
    <t>DO-202609-5651</t>
  </si>
  <si>
    <t>OUT00631</t>
  </si>
  <si>
    <t>DO-202609-4944</t>
  </si>
  <si>
    <t>OUT00258</t>
  </si>
  <si>
    <t>DO-202609-1385</t>
  </si>
  <si>
    <t>OUT00724</t>
  </si>
  <si>
    <t>DO-202609-5148</t>
  </si>
  <si>
    <t>OUT01387</t>
  </si>
  <si>
    <t>DO-202609-5065</t>
  </si>
  <si>
    <t>OUT01951</t>
  </si>
  <si>
    <t>DO-202609-2579</t>
  </si>
  <si>
    <t>OUT01171</t>
  </si>
  <si>
    <t>OUT01368</t>
  </si>
  <si>
    <t>OUT00801</t>
  </si>
  <si>
    <t>DO-202609-2956</t>
  </si>
  <si>
    <t>OUT01617</t>
  </si>
  <si>
    <t>DO-202609-2621</t>
  </si>
  <si>
    <t>OUT02095</t>
  </si>
  <si>
    <t>DO-202609-5678</t>
  </si>
  <si>
    <t>OUT01766</t>
  </si>
  <si>
    <t>DO-202609-8608</t>
  </si>
  <si>
    <t>OUT00531</t>
  </si>
  <si>
    <t>DO-202609-9035</t>
  </si>
  <si>
    <t>OUT00216</t>
  </si>
  <si>
    <t>DO-202609-4398</t>
  </si>
  <si>
    <t>OUT01695</t>
  </si>
  <si>
    <t>DO-202609-8044</t>
  </si>
  <si>
    <t>OUT01641</t>
  </si>
  <si>
    <t>DO-202609-6830</t>
  </si>
  <si>
    <t>OUT02105</t>
  </si>
  <si>
    <t>DO-202609-3584</t>
  </si>
  <si>
    <t>OUT00717</t>
  </si>
  <si>
    <t>DO-202609-1722</t>
  </si>
  <si>
    <t>OUT01680</t>
  </si>
  <si>
    <t>OUT01608</t>
  </si>
  <si>
    <t>DO-202609-1106</t>
  </si>
  <si>
    <t>OUT02182</t>
  </si>
  <si>
    <t>DO-202609-1810</t>
  </si>
  <si>
    <t>OUT01507</t>
  </si>
  <si>
    <t>DO-202609-2647</t>
  </si>
  <si>
    <t>OUT00279</t>
  </si>
  <si>
    <t>DO-202609-9175</t>
  </si>
  <si>
    <t>OUT00315</t>
  </si>
  <si>
    <t>DO-202609-5510</t>
  </si>
  <si>
    <t>OUT01544</t>
  </si>
  <si>
    <t>DO-202609-3230</t>
  </si>
  <si>
    <t>OUT01349</t>
  </si>
  <si>
    <t>DO-202609-7449</t>
  </si>
  <si>
    <t>OUT00319</t>
  </si>
  <si>
    <t>DO-202609-3530</t>
  </si>
  <si>
    <t>OUT02190</t>
  </si>
  <si>
    <t>DO-202609-6532</t>
  </si>
  <si>
    <t>OUT01367</t>
  </si>
  <si>
    <t>DO-202609-2097</t>
  </si>
  <si>
    <t>OUT00252</t>
  </si>
  <si>
    <t>DO-202609-8758</t>
  </si>
  <si>
    <t>OUT01482</t>
  </si>
  <si>
    <t>DO-202609-5158</t>
  </si>
  <si>
    <t>OUT00024</t>
  </si>
  <si>
    <t>OUT01433</t>
  </si>
  <si>
    <t>DO-202609-6225</t>
  </si>
  <si>
    <t>OUT00180</t>
  </si>
  <si>
    <t>OUT01749</t>
  </si>
  <si>
    <t>DO-202609-1463</t>
  </si>
  <si>
    <t>OUT01563</t>
  </si>
  <si>
    <t>DO-202609-5533</t>
  </si>
  <si>
    <t>OUT00037</t>
  </si>
  <si>
    <t>DO-202609-4370</t>
  </si>
  <si>
    <t>OUT00185</t>
  </si>
  <si>
    <t>OUT01615</t>
  </si>
  <si>
    <t>DO-202609-6640</t>
  </si>
  <si>
    <t>OUT01282</t>
  </si>
  <si>
    <t>DO-202609-8189</t>
  </si>
  <si>
    <t>OUT00598</t>
  </si>
  <si>
    <t>DO-202609-3221</t>
  </si>
  <si>
    <t>OUT01910</t>
  </si>
  <si>
    <t>DO-202609-9310</t>
  </si>
  <si>
    <t>OUT00520</t>
  </si>
  <si>
    <t>DO-202609-1635</t>
  </si>
  <si>
    <t>OUT00563</t>
  </si>
  <si>
    <t>DO-202609-9659</t>
  </si>
  <si>
    <t>OUT01045</t>
  </si>
  <si>
    <t>DO-202609-9957</t>
  </si>
  <si>
    <t>OUT01137</t>
  </si>
  <si>
    <t>DO-202609-6070</t>
  </si>
  <si>
    <t>OUT00753</t>
  </si>
  <si>
    <t>OUT01937</t>
  </si>
  <si>
    <t>DO-202609-9235</t>
  </si>
  <si>
    <t>OUT01034</t>
  </si>
  <si>
    <t>DO-202609-8292</t>
  </si>
  <si>
    <t>OUT00484</t>
  </si>
  <si>
    <t>DO-202609-5028</t>
  </si>
  <si>
    <t>OUT01033</t>
  </si>
  <si>
    <t>DO-202609-9730</t>
  </si>
  <si>
    <t>OUT00863</t>
  </si>
  <si>
    <t>DO-202609-8100</t>
  </si>
  <si>
    <t>OUT00758</t>
  </si>
  <si>
    <t>DO-202609-2663</t>
  </si>
  <si>
    <t>OUT00396</t>
  </si>
  <si>
    <t>DO-202609-4369</t>
  </si>
  <si>
    <t>OUT00586</t>
  </si>
  <si>
    <t>DO-202609-7323</t>
  </si>
  <si>
    <t>OUT00394</t>
  </si>
  <si>
    <t>DO-202609-1416</t>
  </si>
  <si>
    <t>OUT00497</t>
  </si>
  <si>
    <t>DO-202609-6695</t>
  </si>
  <si>
    <t>OUT01160</t>
  </si>
  <si>
    <t>DO-202609-7401</t>
  </si>
  <si>
    <t>OUT01177</t>
  </si>
  <si>
    <t>DO-202609-2664</t>
  </si>
  <si>
    <t>OUT01890</t>
  </si>
  <si>
    <t>DO-202609-8081</t>
  </si>
  <si>
    <t>OUT00997</t>
  </si>
  <si>
    <t>DO-202609-4840</t>
  </si>
  <si>
    <t>OUT01977</t>
  </si>
  <si>
    <t>OUT00450</t>
  </si>
  <si>
    <t>DO-202609-6365</t>
  </si>
  <si>
    <t>OUT00608</t>
  </si>
  <si>
    <t>DO-202609-1662</t>
  </si>
  <si>
    <t>OUT00346</t>
  </si>
  <si>
    <t>DO-202609-8988</t>
  </si>
  <si>
    <t>OUT00524</t>
  </si>
  <si>
    <t>DO-202609-2072</t>
  </si>
  <si>
    <t>OUT00927</t>
  </si>
  <si>
    <t>DO-202609-1036</t>
  </si>
  <si>
    <t>OUT00530</t>
  </si>
  <si>
    <t>DO-202609-5799</t>
  </si>
  <si>
    <t>OUT00338</t>
  </si>
  <si>
    <t>DO-202609-4234</t>
  </si>
  <si>
    <t>OUT00940</t>
  </si>
  <si>
    <t>DO-202609-9199</t>
  </si>
  <si>
    <t>OUT00600</t>
  </si>
  <si>
    <t>DO-202609-3979</t>
  </si>
  <si>
    <t>OUT00815</t>
  </si>
  <si>
    <t>DO-202609-7299</t>
  </si>
  <si>
    <t>OUT00293</t>
  </si>
  <si>
    <t>DO-202609-2610</t>
  </si>
  <si>
    <t>OUT01895</t>
  </si>
  <si>
    <t>DO-202609-8111</t>
  </si>
  <si>
    <t>OUT01614</t>
  </si>
  <si>
    <t>DO-202609-3065</t>
  </si>
  <si>
    <t>OUT00576</t>
  </si>
  <si>
    <t>DO-202609-4718</t>
  </si>
  <si>
    <t>OUT00101</t>
  </si>
  <si>
    <t>OUT00714</t>
  </si>
  <si>
    <t>DO-202609-1217</t>
  </si>
  <si>
    <t>OUT00303</t>
  </si>
  <si>
    <t>DO-202609-6427</t>
  </si>
  <si>
    <t>OUT00304</t>
  </si>
  <si>
    <t>DO-202609-1112</t>
  </si>
  <si>
    <t>OUT01026</t>
  </si>
  <si>
    <t>DO-202609-4696</t>
  </si>
  <si>
    <t>OUT02076</t>
  </si>
  <si>
    <t>DO-202609-1567</t>
  </si>
  <si>
    <t>OUT00923</t>
  </si>
  <si>
    <t>OUT00429</t>
  </si>
  <si>
    <t>DO-202609-9943</t>
  </si>
  <si>
    <t>OUT01891</t>
  </si>
  <si>
    <t>DO-202609-4998</t>
  </si>
  <si>
    <t>OUT01601</t>
  </si>
  <si>
    <t>DO-202609-4010</t>
  </si>
  <si>
    <t>OUT01957</t>
  </si>
  <si>
    <t>DO-202609-7973</t>
  </si>
  <si>
    <t>OUT00050</t>
  </si>
  <si>
    <t>DO-202609-1145</t>
  </si>
  <si>
    <t>OUT01657</t>
  </si>
  <si>
    <t>DO-202609-3767</t>
  </si>
  <si>
    <t>OUT00250</t>
  </si>
  <si>
    <t>DO-202609-7581</t>
  </si>
  <si>
    <t>OUT00401</t>
  </si>
  <si>
    <t>OUT01833</t>
  </si>
  <si>
    <t>DO-202609-4861</t>
  </si>
  <si>
    <t>OUT01458</t>
  </si>
  <si>
    <t>DO-202609-4224</t>
  </si>
  <si>
    <t>OUT00639</t>
  </si>
  <si>
    <t>DO-202609-8596</t>
  </si>
  <si>
    <t>OUT02140</t>
  </si>
  <si>
    <t>DO-202609-4589</t>
  </si>
  <si>
    <t>OUT01671</t>
  </si>
  <si>
    <t>DO-202609-5395</t>
  </si>
  <si>
    <t>OUT00902</t>
  </si>
  <si>
    <t>DO-202609-1602</t>
  </si>
  <si>
    <t>OUT00165</t>
  </si>
  <si>
    <t>DO-202609-3217</t>
  </si>
  <si>
    <t>OUT01361</t>
  </si>
  <si>
    <t>OUT01237</t>
  </si>
  <si>
    <t>DO-202609-9670</t>
  </si>
  <si>
    <t>OUT01905</t>
  </si>
  <si>
    <t>DO-202609-6772</t>
  </si>
  <si>
    <t>OUT01295</t>
  </si>
  <si>
    <t>DO-202609-3670</t>
  </si>
  <si>
    <t>OUT01266</t>
  </si>
  <si>
    <t>DO-202609-6735</t>
  </si>
  <si>
    <t>OUT01012</t>
  </si>
  <si>
    <t>DO-202609-2189</t>
  </si>
  <si>
    <t>OUT00991</t>
  </si>
  <si>
    <t>DO-202609-1976</t>
  </si>
  <si>
    <t>OUT00328</t>
  </si>
  <si>
    <t>DO-202609-9587</t>
  </si>
  <si>
    <t>OUT01542</t>
  </si>
  <si>
    <t>DO-202609-2411</t>
  </si>
  <si>
    <t>OUT01516</t>
  </si>
  <si>
    <t>DO-202609-8446</t>
  </si>
  <si>
    <t>OUT00360</t>
  </si>
  <si>
    <t>DO-202609-1319</t>
  </si>
  <si>
    <t>OUT01204</t>
  </si>
  <si>
    <t>DO-202610-4059</t>
  </si>
  <si>
    <t>OUT01057</t>
  </si>
  <si>
    <t>DO-202610-8121</t>
  </si>
  <si>
    <t>OUT00270</t>
  </si>
  <si>
    <t>DO-202610-5502</t>
  </si>
  <si>
    <t>OUT01481</t>
  </si>
  <si>
    <t>DO-202610-8853</t>
  </si>
  <si>
    <t>OUT00509</t>
  </si>
  <si>
    <t>DO-202610-3998</t>
  </si>
  <si>
    <t>OUT00417</t>
  </si>
  <si>
    <t>DO-202610-6290</t>
  </si>
  <si>
    <t>OUT00874</t>
  </si>
  <si>
    <t>DO-202610-9977</t>
  </si>
  <si>
    <t>OUT02184</t>
  </si>
  <si>
    <t>DO-202610-4943</t>
  </si>
  <si>
    <t>OUT00996</t>
  </si>
  <si>
    <t>DO-202610-3628</t>
  </si>
  <si>
    <t>OUT00877</t>
  </si>
  <si>
    <t>DO-202610-9336</t>
  </si>
  <si>
    <t>OUT00237</t>
  </si>
  <si>
    <t>DO-202610-8593</t>
  </si>
  <si>
    <t>OUT01008</t>
  </si>
  <si>
    <t>DO-202610-5012</t>
  </si>
  <si>
    <t>OUT00772</t>
  </si>
  <si>
    <t>DO-202610-3824</t>
  </si>
  <si>
    <t>OUT01441</t>
  </si>
  <si>
    <t>DO-202610-6089</t>
  </si>
  <si>
    <t>OUT00655</t>
  </si>
  <si>
    <t>DO-202610-6582</t>
  </si>
  <si>
    <t>OUT01239</t>
  </si>
  <si>
    <t>DO-202610-6914</t>
  </si>
  <si>
    <t>OUT01540</t>
  </si>
  <si>
    <t>DO-202610-6757</t>
  </si>
  <si>
    <t>OUT01535</t>
  </si>
  <si>
    <t>DO-202610-3669</t>
  </si>
  <si>
    <t>OUT00194</t>
  </si>
  <si>
    <t>DO-202610-2702</t>
  </si>
  <si>
    <t>OUT01423</t>
  </si>
  <si>
    <t>DO-202610-2013</t>
  </si>
  <si>
    <t>OUT00443</t>
  </si>
  <si>
    <t>DO-202610-3230</t>
  </si>
  <si>
    <t>OUT01975</t>
  </si>
  <si>
    <t>DO-202610-5673</t>
  </si>
  <si>
    <t>OUT00907</t>
  </si>
  <si>
    <t>DO-202610-6967</t>
  </si>
  <si>
    <t>OUT01005</t>
  </si>
  <si>
    <t>DO-202610-2777</t>
  </si>
  <si>
    <t>OUT00222</t>
  </si>
  <si>
    <t>DO-202610-2641</t>
  </si>
  <si>
    <t>OUT01893</t>
  </si>
  <si>
    <t>DO-202610-9284</t>
  </si>
  <si>
    <t>OUT00325</t>
  </si>
  <si>
    <t>DO-202610-2060</t>
  </si>
  <si>
    <t>OUT01105</t>
  </si>
  <si>
    <t>DO-202610-3282</t>
  </si>
  <si>
    <t>OUT00822</t>
  </si>
  <si>
    <t>DO-202610-4998</t>
  </si>
  <si>
    <t>OUT00404</t>
  </si>
  <si>
    <t>DO-202610-6296</t>
  </si>
  <si>
    <t>OUT01673</t>
  </si>
  <si>
    <t>DO-202610-7439</t>
  </si>
  <si>
    <t>OUT00312</t>
  </si>
  <si>
    <t>DO-202610-2591</t>
  </si>
  <si>
    <t>OUT01018</t>
  </si>
  <si>
    <t>DO-202610-9864</t>
  </si>
  <si>
    <t>OUT00307</t>
  </si>
  <si>
    <t>DO-202610-5799</t>
  </si>
  <si>
    <t>OUT00840</t>
  </si>
  <si>
    <t>DO-202610-4963</t>
  </si>
  <si>
    <t>OUT01498</t>
  </si>
  <si>
    <t>DO-202610-3265</t>
  </si>
  <si>
    <t>OUT01880</t>
  </si>
  <si>
    <t>DO-202610-3513</t>
  </si>
  <si>
    <t>OUT00653</t>
  </si>
  <si>
    <t>DO-202610-8324</t>
  </si>
  <si>
    <t>OUT02096</t>
  </si>
  <si>
    <t>DO-202610-9416</t>
  </si>
  <si>
    <t>OUT00755</t>
  </si>
  <si>
    <t>DO-202610-1093</t>
  </si>
  <si>
    <t>OUT00785</t>
  </si>
  <si>
    <t>DO-202610-3248</t>
  </si>
  <si>
    <t>OUT01748</t>
  </si>
  <si>
    <t>DO-202610-2309</t>
  </si>
  <si>
    <t>OUT01172</t>
  </si>
  <si>
    <t>DO-202610-6651</t>
  </si>
  <si>
    <t>OUT00099</t>
  </si>
  <si>
    <t>DO-202610-7054</t>
  </si>
  <si>
    <t>OUT00257</t>
  </si>
  <si>
    <t>DO-202610-1820</t>
  </si>
  <si>
    <t>OUT01427</t>
  </si>
  <si>
    <t>DO-202610-1405</t>
  </si>
  <si>
    <t>OUT00742</t>
  </si>
  <si>
    <t>DO-202610-6236</t>
  </si>
  <si>
    <t>OUT00844</t>
  </si>
  <si>
    <t>DO-202610-9871</t>
  </si>
  <si>
    <t>OUT01537</t>
  </si>
  <si>
    <t>DO-202610-3994</t>
  </si>
  <si>
    <t>OUT01003</t>
  </si>
  <si>
    <t>DO-202610-3442</t>
  </si>
  <si>
    <t>OUT00533</t>
  </si>
  <si>
    <t>DO-202610-1903</t>
  </si>
  <si>
    <t>OUT00507</t>
  </si>
  <si>
    <t>DO-202610-6436</t>
  </si>
  <si>
    <t>OUT02000</t>
  </si>
  <si>
    <t>DO-202610-9570</t>
  </si>
  <si>
    <t>OUT01188</t>
  </si>
  <si>
    <t>DO-202610-9491</t>
  </si>
  <si>
    <t>OUT01264</t>
  </si>
  <si>
    <t>DO-202610-8588</t>
  </si>
  <si>
    <t>OUT02043</t>
  </si>
  <si>
    <t>DO-202610-5356</t>
  </si>
  <si>
    <t>OUT00895</t>
  </si>
  <si>
    <t>DO-202610-5774</t>
  </si>
  <si>
    <t>OUT02146</t>
  </si>
  <si>
    <t>DO-202610-8130</t>
  </si>
  <si>
    <t>OUT02047</t>
  </si>
  <si>
    <t>DO-202610-8698</t>
  </si>
  <si>
    <t>OUT00149</t>
  </si>
  <si>
    <t>DO-202610-2374</t>
  </si>
  <si>
    <t>OUT00550</t>
  </si>
  <si>
    <t>DO-202610-9797</t>
  </si>
  <si>
    <t>OUT00646</t>
  </si>
  <si>
    <t>DO-202610-8091</t>
  </si>
  <si>
    <t>OUT00476</t>
  </si>
  <si>
    <t>DO-202610-7270</t>
  </si>
  <si>
    <t>OUT02034</t>
  </si>
  <si>
    <t>DO-202610-5326</t>
  </si>
  <si>
    <t>OUT02197</t>
  </si>
  <si>
    <t>DO-202610-9773</t>
  </si>
  <si>
    <t>OUT01580</t>
  </si>
  <si>
    <t>DO-202610-4133</t>
  </si>
  <si>
    <t>OUT01719</t>
  </si>
  <si>
    <t>DO-202610-5294</t>
  </si>
  <si>
    <t>OUT01949</t>
  </si>
  <si>
    <t>DO-202610-7370</t>
  </si>
  <si>
    <t>OUT02153</t>
  </si>
  <si>
    <t>DO-202610-3770</t>
  </si>
  <si>
    <t>OUT01430</t>
  </si>
  <si>
    <t>DO-202610-6355</t>
  </si>
  <si>
    <t>OUT02151</t>
  </si>
  <si>
    <t>DO-202610-6064</t>
  </si>
  <si>
    <t>OUT00034</t>
  </si>
  <si>
    <t>DO-202610-5428</t>
  </si>
  <si>
    <t>OUT00959</t>
  </si>
  <si>
    <t>DO-202610-7666</t>
  </si>
  <si>
    <t>OUT00410</t>
  </si>
  <si>
    <t>DO-202610-7613</t>
  </si>
  <si>
    <t>OUT01454</t>
  </si>
  <si>
    <t>DO-202610-3095</t>
  </si>
  <si>
    <t>OUT00068</t>
  </si>
  <si>
    <t>DO-202610-7849</t>
  </si>
  <si>
    <t>OUT01405</t>
  </si>
  <si>
    <t>DO-202610-6446</t>
  </si>
  <si>
    <t>OUT00217</t>
  </si>
  <si>
    <t>DO-202610-2486</t>
  </si>
  <si>
    <t>OUT00658</t>
  </si>
  <si>
    <t>DO-202610-3430</t>
  </si>
  <si>
    <t>OUT00436</t>
  </si>
  <si>
    <t>DO-202610-9370</t>
  </si>
  <si>
    <t>OUT00929</t>
  </si>
  <si>
    <t>DO-202610-1838</t>
  </si>
  <si>
    <t>OUT01418</t>
  </si>
  <si>
    <t>DO-202610-6117</t>
  </si>
  <si>
    <t>OUT00750</t>
  </si>
  <si>
    <t>DO-202610-9225</t>
  </si>
  <si>
    <t>OUT00460</t>
  </si>
  <si>
    <t>DO-202610-5116</t>
  </si>
  <si>
    <t>OUT00309</t>
  </si>
  <si>
    <t>DO-202610-8021</t>
  </si>
  <si>
    <t>OUT01290</t>
  </si>
  <si>
    <t>DO-202610-8182</t>
  </si>
  <si>
    <t>OUT01830</t>
  </si>
  <si>
    <t>DO-202610-5053</t>
  </si>
  <si>
    <t>OUT00780</t>
  </si>
  <si>
    <t>DO-202610-4954</t>
  </si>
  <si>
    <t>OUT01240</t>
  </si>
  <si>
    <t>DO-202610-6706</t>
  </si>
  <si>
    <t>OUT00769</t>
  </si>
  <si>
    <t>DO-202610-2847</t>
  </si>
  <si>
    <t>OUT01434</t>
  </si>
  <si>
    <t>DO-202610-1473</t>
  </si>
  <si>
    <t>OUT02130</t>
  </si>
  <si>
    <t>DO-202610-4645</t>
  </si>
  <si>
    <t>OUT01179</t>
  </si>
  <si>
    <t>DO-202610-2231</t>
  </si>
  <si>
    <t>OUT00203</t>
  </si>
  <si>
    <t>DO-202610-1052</t>
  </si>
  <si>
    <t>OUT00347</t>
  </si>
  <si>
    <t>DO-202610-3672</t>
  </si>
  <si>
    <t>OUT00900</t>
  </si>
  <si>
    <t>DO-202610-7571</t>
  </si>
  <si>
    <t>OUT02099</t>
  </si>
  <si>
    <t>DO-202610-8181</t>
  </si>
  <si>
    <t>OUT00229</t>
  </si>
  <si>
    <t>DO-202610-9586</t>
  </si>
  <si>
    <t>OUT00558</t>
  </si>
  <si>
    <t>DO-202610-4447</t>
  </si>
  <si>
    <t>OUT00616</t>
  </si>
  <si>
    <t>DO-202610-3105</t>
  </si>
  <si>
    <t>OUT01962</t>
  </si>
  <si>
    <t>DO-202610-7033</t>
  </si>
  <si>
    <t>OUT00269</t>
  </si>
  <si>
    <t>DO-202610-1800</t>
  </si>
  <si>
    <t>OUT00400</t>
  </si>
  <si>
    <t>DO-202610-5182</t>
  </si>
  <si>
    <t>OUT00381</t>
  </si>
  <si>
    <t>DO-202610-8675</t>
  </si>
  <si>
    <t>OUT01377</t>
  </si>
  <si>
    <t>DO-202610-8214</t>
  </si>
  <si>
    <t>OUT02123</t>
  </si>
  <si>
    <t>DO-202610-6063</t>
  </si>
  <si>
    <t>OUT00015</t>
  </si>
  <si>
    <t>DO-202610-8069</t>
  </si>
  <si>
    <t>OUT00242</t>
  </si>
  <si>
    <t>DO-202610-7523</t>
  </si>
  <si>
    <t>OUT01478</t>
  </si>
  <si>
    <t>DO-202610-9828</t>
  </si>
  <si>
    <t>OUT00493</t>
  </si>
  <si>
    <t>DO-202610-9771</t>
  </si>
  <si>
    <t>OUT00860</t>
  </si>
  <si>
    <t>DO-202610-7082</t>
  </si>
  <si>
    <t>OUT00839</t>
  </si>
  <si>
    <t>DO-202610-3211</t>
  </si>
  <si>
    <t>OUT02026</t>
  </si>
  <si>
    <t>DO-202610-8965</t>
  </si>
  <si>
    <t>OUT01586</t>
  </si>
  <si>
    <t>DO-202610-2055</t>
  </si>
  <si>
    <t>OUT02040</t>
  </si>
  <si>
    <t>DO-202610-9341</t>
  </si>
  <si>
    <t>OUT00775</t>
  </si>
  <si>
    <t>DO-202610-3698</t>
  </si>
  <si>
    <t>OUT01393</t>
  </si>
  <si>
    <t>DO-202610-2061</t>
  </si>
  <si>
    <t>OUT01547</t>
  </si>
  <si>
    <t>DO-202610-6361</t>
  </si>
  <si>
    <t>OUT00857</t>
  </si>
  <si>
    <t>DO-202610-1663</t>
  </si>
  <si>
    <t>OUT01527</t>
  </si>
  <si>
    <t>DO-202610-8360</t>
  </si>
  <si>
    <t>OUT00613</t>
  </si>
  <si>
    <t>DO-202610-7671</t>
  </si>
  <si>
    <t>OUT00271</t>
  </si>
  <si>
    <t>DO-202610-7531</t>
  </si>
  <si>
    <t>OUT01979</t>
  </si>
  <si>
    <t>DO-202610-9386</t>
  </si>
  <si>
    <t>OUT01514</t>
  </si>
  <si>
    <t>DO-202610-2190</t>
  </si>
  <si>
    <t>OUT00793</t>
  </si>
  <si>
    <t>DO-202610-5775</t>
  </si>
  <si>
    <t>OUT01042</t>
  </si>
  <si>
    <t>DO-202610-5254</t>
  </si>
  <si>
    <t>OUT01055</t>
  </si>
  <si>
    <t>DO-202610-3467</t>
  </si>
  <si>
    <t>OUT00953</t>
  </si>
  <si>
    <t>DO-202610-3224</t>
  </si>
  <si>
    <t>OUT00183</t>
  </si>
  <si>
    <t>DO-202610-2281</t>
  </si>
  <si>
    <t>OUT01779</t>
  </si>
  <si>
    <t>DO-202610-3807</t>
  </si>
  <si>
    <t>OUT01927</t>
  </si>
  <si>
    <t>DO-202610-1008</t>
  </si>
  <si>
    <t>OUT01451</t>
  </si>
  <si>
    <t>DO-202610-8843</t>
  </si>
  <si>
    <t>OUT00467</t>
  </si>
  <si>
    <t>DO-202610-8074</t>
  </si>
  <si>
    <t>OUT00522</t>
  </si>
  <si>
    <t>DO-202610-9153</t>
  </si>
  <si>
    <t>OUT00160</t>
  </si>
  <si>
    <t>DO-202610-9963</t>
  </si>
  <si>
    <t>OUT00489</t>
  </si>
  <si>
    <t>DO-202610-7342</t>
  </si>
  <si>
    <t>OUT00189</t>
  </si>
  <si>
    <t>DO-202610-6085</t>
  </si>
  <si>
    <t>OUT00961</t>
  </si>
  <si>
    <t>DO-202610-2640</t>
  </si>
  <si>
    <t>OUT00515</t>
  </si>
  <si>
    <t>OUT01109</t>
  </si>
  <si>
    <t>DO-202610-1702</t>
  </si>
  <si>
    <t>OUT00649</t>
  </si>
  <si>
    <t>DO-202610-7821</t>
  </si>
  <si>
    <t>OUT00624</t>
  </si>
  <si>
    <t>DO-202610-4232</t>
  </si>
  <si>
    <t>OUT00007</t>
  </si>
  <si>
    <t>DO-202610-6115</t>
  </si>
  <si>
    <t>OUT01989</t>
  </si>
  <si>
    <t>DO-202610-3788</t>
  </si>
  <si>
    <t>OUT01710</t>
  </si>
  <si>
    <t>DO-202610-3855</t>
  </si>
  <si>
    <t>OUT00830</t>
  </si>
  <si>
    <t>DO-202610-3441</t>
  </si>
  <si>
    <t>OUT00580</t>
  </si>
  <si>
    <t>DO-202610-4554</t>
  </si>
  <si>
    <t>OUT01129</t>
  </si>
  <si>
    <t>DO-202610-9769</t>
  </si>
  <si>
    <t>OUT00845</t>
  </si>
  <si>
    <t>DO-202610-6798</t>
  </si>
  <si>
    <t>OUT01747</t>
  </si>
  <si>
    <t>DO-202610-2215</t>
  </si>
  <si>
    <t>OUT01139</t>
  </si>
  <si>
    <t>DO-202610-1286</t>
  </si>
  <si>
    <t>OUT02002</t>
  </si>
  <si>
    <t>DO-202610-8117</t>
  </si>
  <si>
    <t>OUT01311</t>
  </si>
  <si>
    <t>DO-202610-5621</t>
  </si>
  <si>
    <t>OUT01337</t>
  </si>
  <si>
    <t>DO-202610-1215</t>
  </si>
  <si>
    <t>OUT00659</t>
  </si>
  <si>
    <t>DO-202610-5358</t>
  </si>
  <si>
    <t>OUT01688</t>
  </si>
  <si>
    <t>DO-202610-3736</t>
  </si>
  <si>
    <t>OUT01888</t>
  </si>
  <si>
    <t>DO-202610-1031</t>
  </si>
  <si>
    <t>OUT00554</t>
  </si>
  <si>
    <t>DO-202610-8844</t>
  </si>
  <si>
    <t>OUT01967</t>
  </si>
  <si>
    <t>DO-202610-2837</t>
  </si>
  <si>
    <t>OUT00069</t>
  </si>
  <si>
    <t>DO-202610-8738</t>
  </si>
  <si>
    <t>OUT02098</t>
  </si>
  <si>
    <t>DO-202610-8474</t>
  </si>
  <si>
    <t>OUT00003</t>
  </si>
  <si>
    <t>DO-202610-2932</t>
  </si>
  <si>
    <t>OUT01253</t>
  </si>
  <si>
    <t>DO-202610-3984</t>
  </si>
  <si>
    <t>OUT00817</t>
  </si>
  <si>
    <t>DO-202610-1339</t>
  </si>
  <si>
    <t>OUT01994</t>
  </si>
  <si>
    <t>DO-202610-1841</t>
  </si>
  <si>
    <t>OUT00919</t>
  </si>
  <si>
    <t>DO-202610-4222</t>
  </si>
  <si>
    <t>OUT01215</t>
  </si>
  <si>
    <t>DO-202610-7456</t>
  </si>
  <si>
    <t>OUT00770</t>
  </si>
  <si>
    <t>DO-202610-3245</t>
  </si>
  <si>
    <t>OUT00379</t>
  </si>
  <si>
    <t>DO-202610-6468</t>
  </si>
  <si>
    <t>OUT02032</t>
  </si>
  <si>
    <t>DO-202610-7710</t>
  </si>
  <si>
    <t>OUT02014</t>
  </si>
  <si>
    <t>DO-202610-9229</t>
  </si>
  <si>
    <t>OUT00128</t>
  </si>
  <si>
    <t>DO-202610-7212</t>
  </si>
  <si>
    <t>OUT00746</t>
  </si>
  <si>
    <t>DO-202610-5020</t>
  </si>
  <si>
    <t>OUT00680</t>
  </si>
  <si>
    <t>OUT00816</t>
  </si>
  <si>
    <t>DO-202610-4360</t>
  </si>
  <si>
    <t>OUT00131</t>
  </si>
  <si>
    <t>DO-202610-5754</t>
  </si>
  <si>
    <t>OUT01260</t>
  </si>
  <si>
    <t>DO-202610-3190</t>
  </si>
  <si>
    <t>OUT00784</t>
  </si>
  <si>
    <t>DO-202610-6048</t>
  </si>
  <si>
    <t>OUT00503</t>
  </si>
  <si>
    <t>DO-202610-6152</t>
  </si>
  <si>
    <t>OUT00027</t>
  </si>
  <si>
    <t>DO-202610-6848</t>
  </si>
  <si>
    <t>OUT01926</t>
  </si>
  <si>
    <t>DO-202610-9759</t>
  </si>
  <si>
    <t>OUT01220</t>
  </si>
  <si>
    <t>DO-202610-8918</t>
  </si>
  <si>
    <t>OUT01197</t>
  </si>
  <si>
    <t>DO-202610-3078</t>
  </si>
  <si>
    <t>OUT01844</t>
  </si>
  <si>
    <t>DO-202610-4315</t>
  </si>
  <si>
    <t>OUT00596</t>
  </si>
  <si>
    <t>DO-202610-3593</t>
  </si>
  <si>
    <t>OUT01265</t>
  </si>
  <si>
    <t>DO-202610-7619</t>
  </si>
  <si>
    <t>OUT00139</t>
  </si>
  <si>
    <t>DO-202610-2565</t>
  </si>
  <si>
    <t>OUT01178</t>
  </si>
  <si>
    <t>DO-202610-8589</t>
  </si>
  <si>
    <t>OUT01207</t>
  </si>
  <si>
    <t>DO-202610-8151</t>
  </si>
  <si>
    <t>OUT01906</t>
  </si>
  <si>
    <t>OUT02069</t>
  </si>
  <si>
    <t>DO-202610-3782</t>
  </si>
  <si>
    <t>OUT00529</t>
  </si>
  <si>
    <t>DO-202610-5629</t>
  </si>
  <si>
    <t>OUT00439</t>
  </si>
  <si>
    <t>DO-202610-4775</t>
  </si>
  <si>
    <t>OUT00792</t>
  </si>
  <si>
    <t>DO-202610-4349</t>
  </si>
  <si>
    <t>OUT01412</t>
  </si>
  <si>
    <t>DO-202610-7565</t>
  </si>
  <si>
    <t>OUT01104</t>
  </si>
  <si>
    <t>DO-202610-4790</t>
  </si>
  <si>
    <t>OUT01397</t>
  </si>
  <si>
    <t>DO-202610-9221</t>
  </si>
  <si>
    <t>OUT01396</t>
  </si>
  <si>
    <t>DO-202610-1005</t>
  </si>
  <si>
    <t>OUT01460</t>
  </si>
  <si>
    <t>DO-202610-2390</t>
  </si>
  <si>
    <t>OUT01807</t>
  </si>
  <si>
    <t>DO-202610-1768</t>
  </si>
  <si>
    <t>OUT01751</t>
  </si>
  <si>
    <t>DO-202610-4886</t>
  </si>
  <si>
    <t>OUT01379</t>
  </si>
  <si>
    <t>DO-202610-8771</t>
  </si>
  <si>
    <t>OUT01374</t>
  </si>
  <si>
    <t>DO-202610-5747</t>
  </si>
  <si>
    <t>OUT00253</t>
  </si>
  <si>
    <t>DO-202610-3930</t>
  </si>
  <si>
    <t>OUT00416</t>
  </si>
  <si>
    <t>DO-202610-1011</t>
  </si>
  <si>
    <t>OUT00729</t>
  </si>
  <si>
    <t>DO-202610-2700</t>
  </si>
  <si>
    <t>OUT00039</t>
  </si>
  <si>
    <t>DO-202610-1425</t>
  </si>
  <si>
    <t>OUT01345</t>
  </si>
  <si>
    <t>DO-202610-8320</t>
  </si>
  <si>
    <t>OUT00573</t>
  </si>
  <si>
    <t>DO-202610-3365</t>
  </si>
  <si>
    <t>OUT00173</t>
  </si>
  <si>
    <t>DO-202610-2269</t>
  </si>
  <si>
    <t>OUT01824</t>
  </si>
  <si>
    <t>DO-202610-8803</t>
  </si>
  <si>
    <t>OUT01746</t>
  </si>
  <si>
    <t>DO-202610-7651</t>
  </si>
  <si>
    <t>OUT00413</t>
  </si>
  <si>
    <t>DO-202610-9604</t>
  </si>
  <si>
    <t>OUT00761</t>
  </si>
  <si>
    <t>DO-202610-8760</t>
  </si>
  <si>
    <t>OUT01802</t>
  </si>
  <si>
    <t>DO-202610-1535</t>
  </si>
  <si>
    <t>OUT01886</t>
  </si>
  <si>
    <t>DO-202610-2578</t>
  </si>
  <si>
    <t>OUT02011</t>
  </si>
  <si>
    <t>OUT00262</t>
  </si>
  <si>
    <t>DO-202610-3369</t>
  </si>
  <si>
    <t>OUT00691</t>
  </si>
  <si>
    <t>DO-202610-7363</t>
  </si>
  <si>
    <t>OUT01759</t>
  </si>
  <si>
    <t>DO-202610-6016</t>
  </si>
  <si>
    <t>OUT00032</t>
  </si>
  <si>
    <t>DO-202610-7101</t>
  </si>
  <si>
    <t>OUT01623</t>
  </si>
  <si>
    <t>DO-202610-1824</t>
  </si>
  <si>
    <t>OUT02170</t>
  </si>
  <si>
    <t>DO-202610-3404</t>
  </si>
  <si>
    <t>OUT00966</t>
  </si>
  <si>
    <t>DO-202610-2645</t>
  </si>
  <si>
    <t>OUT01718</t>
  </si>
  <si>
    <t>DO-202610-3996</t>
  </si>
  <si>
    <t>OUT01974</t>
  </si>
  <si>
    <t>DO-202610-3852</t>
  </si>
  <si>
    <t>OUT01690</t>
  </si>
  <si>
    <t>DO-202610-3562</t>
  </si>
  <si>
    <t>OUT00595</t>
  </si>
  <si>
    <t>DO-202610-3674</t>
  </si>
  <si>
    <t>OUT01731</t>
  </si>
  <si>
    <t>DO-202610-6307</t>
  </si>
  <si>
    <t>OUT02059</t>
  </si>
  <si>
    <t>DO-202610-1974</t>
  </si>
  <si>
    <t>OUT00799</t>
  </si>
  <si>
    <t>DO-202610-9374</t>
  </si>
  <si>
    <t>OUT00975</t>
  </si>
  <si>
    <t>DO-202610-8040</t>
  </si>
  <si>
    <t>OUT00954</t>
  </si>
  <si>
    <t>DO-202610-2962</t>
  </si>
  <si>
    <t>OUT00108</t>
  </si>
  <si>
    <t>DO-202610-1130</t>
  </si>
  <si>
    <t>OUT02142</t>
  </si>
  <si>
    <t>DO-202610-3348</t>
  </si>
  <si>
    <t>OUT00480</t>
  </si>
  <si>
    <t>DO-202610-7520</t>
  </si>
  <si>
    <t>OUT00278</t>
  </si>
  <si>
    <t>DO-202610-6580</t>
  </si>
  <si>
    <t>OUT01142</t>
  </si>
  <si>
    <t>DO-202610-7655</t>
  </si>
  <si>
    <t>OUT01334</t>
  </si>
  <si>
    <t>DO-202610-9424</t>
  </si>
  <si>
    <t>OUT00730</t>
  </si>
  <si>
    <t>DO-202610-4715</t>
  </si>
  <si>
    <t>OUT01121</t>
  </si>
  <si>
    <t>DO-202610-8330</t>
  </si>
  <si>
    <t>OUT00156</t>
  </si>
  <si>
    <t>DO-202610-2721</t>
  </si>
  <si>
    <t>OUT01119</t>
  </si>
  <si>
    <t>DO-202610-4454</t>
  </si>
  <si>
    <t>OUT01485</t>
  </si>
  <si>
    <t>DO-202610-8365</t>
  </si>
  <si>
    <t>OUT00235</t>
  </si>
  <si>
    <t>DO-202610-1081</t>
  </si>
  <si>
    <t>OUT01144</t>
  </si>
  <si>
    <t>DO-202610-7198</t>
  </si>
  <si>
    <t>OUT01892</t>
  </si>
  <si>
    <t>DO-202610-7313</t>
  </si>
  <si>
    <t>OUT01476</t>
  </si>
  <si>
    <t>DO-202610-6251</t>
  </si>
  <si>
    <t>OUT01043</t>
  </si>
  <si>
    <t>DO-202610-1721</t>
  </si>
  <si>
    <t>OUT01916</t>
  </si>
  <si>
    <t>DO-202610-8492</t>
  </si>
  <si>
    <t>OUT01413</t>
  </si>
  <si>
    <t>DO-202610-5448</t>
  </si>
  <si>
    <t>OUT00472</t>
  </si>
  <si>
    <t>DO-202610-6273</t>
  </si>
  <si>
    <t>OUT01808</t>
  </si>
  <si>
    <t>DO-202610-7916</t>
  </si>
  <si>
    <t>OUT00767</t>
  </si>
  <si>
    <t>DO-202610-4316</t>
  </si>
  <si>
    <t>OUT01455</t>
  </si>
  <si>
    <t>DO-202610-9248</t>
  </si>
  <si>
    <t>OUT01453</t>
  </si>
  <si>
    <t>DO-202610-7037</t>
  </si>
  <si>
    <t>OUT01096</t>
  </si>
  <si>
    <t>DO-202610-1137</t>
  </si>
  <si>
    <t>OUT02118</t>
  </si>
  <si>
    <t>DO-202610-5227</t>
  </si>
  <si>
    <t>OUT00204</t>
  </si>
  <si>
    <t>DO-202610-6594</t>
  </si>
  <si>
    <t>OUT01510</t>
  </si>
  <si>
    <t>DO-202610-3307</t>
  </si>
  <si>
    <t>OUT00782</t>
  </si>
  <si>
    <t>DO-202610-1654</t>
  </si>
  <si>
    <t>OUT01278</t>
  </si>
  <si>
    <t>DO-202610-7846</t>
  </si>
  <si>
    <t>OUT01013</t>
  </si>
  <si>
    <t>DO-202610-4616</t>
  </si>
  <si>
    <t>OUT01286</t>
  </si>
  <si>
    <t>DO-202610-3140</t>
  </si>
  <si>
    <t>OUT01271</t>
  </si>
  <si>
    <t>DO-202610-2981</t>
  </si>
  <si>
    <t>OUT01870</t>
  </si>
  <si>
    <t>DO-202610-7380</t>
  </si>
  <si>
    <t>OUT00488</t>
  </si>
  <si>
    <t>DO-202610-4149</t>
  </si>
  <si>
    <t>OUT01529</t>
  </si>
  <si>
    <t>DO-202610-7108</t>
  </si>
  <si>
    <t>OUT01834</t>
  </si>
  <si>
    <t>DO-202610-1819</t>
  </si>
  <si>
    <t>OUT00230</t>
  </si>
  <si>
    <t>DO-202610-3128</t>
  </si>
  <si>
    <t>OUT01734</t>
  </si>
  <si>
    <t>DO-202610-6986</t>
  </si>
  <si>
    <t>OUT01001</t>
  </si>
  <si>
    <t>DO-202610-5633</t>
  </si>
  <si>
    <t>OUT01409</t>
  </si>
  <si>
    <t>DO-202610-2035</t>
  </si>
  <si>
    <t>OUT00012</t>
  </si>
  <si>
    <t>DO-202610-6666</t>
  </si>
  <si>
    <t>OUT00211</t>
  </si>
  <si>
    <t>DO-202610-4702</t>
  </si>
  <si>
    <t>OUT01283</t>
  </si>
  <si>
    <t>DO-202610-2144</t>
  </si>
  <si>
    <t>OUT00810</t>
  </si>
  <si>
    <t>DO-202610-5419</t>
  </si>
  <si>
    <t>OUT01761</t>
  </si>
  <si>
    <t>DO-202610-8375</t>
  </si>
  <si>
    <t>OUT00765</t>
  </si>
  <si>
    <t>DO-202610-8308</t>
  </si>
  <si>
    <t>OUT02106</t>
  </si>
  <si>
    <t>DO-202610-6219</t>
  </si>
  <si>
    <t>OUT01195</t>
  </si>
  <si>
    <t>DO-202610-1646</t>
  </si>
  <si>
    <t>OUT02101</t>
  </si>
  <si>
    <t>DO-202610-8162</t>
  </si>
  <si>
    <t>OUT00049</t>
  </si>
  <si>
    <t>DO-202610-5333</t>
  </si>
  <si>
    <t>OUT00047</t>
  </si>
  <si>
    <t>DO-202610-5493</t>
  </si>
  <si>
    <t>OUT00378</t>
  </si>
  <si>
    <t>DO-202610-9261</t>
  </si>
  <si>
    <t>OUT00296</t>
  </si>
  <si>
    <t>DO-202610-1374</t>
  </si>
  <si>
    <t>OUT01297</t>
  </si>
  <si>
    <t>DO-202610-6705</t>
  </si>
  <si>
    <t>OUT00568</t>
  </si>
  <si>
    <t>DO-202610-2960</t>
  </si>
  <si>
    <t>OUT01987</t>
  </si>
  <si>
    <t>DO-202610-4833</t>
  </si>
  <si>
    <t>OUT01131</t>
  </si>
  <si>
    <t>DO-202610-1348</t>
  </si>
  <si>
    <t>OUT01182</t>
  </si>
  <si>
    <t>DO-202610-9049</t>
  </si>
  <si>
    <t>OUT00384</t>
  </si>
  <si>
    <t>DO-202610-9646</t>
  </si>
  <si>
    <t>OUT01610</t>
  </si>
  <si>
    <t>DO-202610-3801</t>
  </si>
  <si>
    <t>OUT00559</t>
  </si>
  <si>
    <t>DO-202610-6592</t>
  </si>
  <si>
    <t>OUT01872</t>
  </si>
  <si>
    <t>DO-202610-8245</t>
  </si>
  <si>
    <t>OUT01118</t>
  </si>
  <si>
    <t>DO-202610-8950</t>
  </si>
  <si>
    <t>OUT00419</t>
  </si>
  <si>
    <t>DO-202610-4593</t>
  </si>
  <si>
    <t>OUT00552</t>
  </si>
  <si>
    <t>DO-202610-2956</t>
  </si>
  <si>
    <t>OUT00044</t>
  </si>
  <si>
    <t>DO-202610-9501</t>
  </si>
  <si>
    <t>OUT02075</t>
  </si>
  <si>
    <t>DO-202610-8559</t>
  </si>
  <si>
    <t>OUT01126</t>
  </si>
  <si>
    <t>DO-202610-8423</t>
  </si>
  <si>
    <t>OUT00705</t>
  </si>
  <si>
    <t>DO-202610-1877</t>
  </si>
  <si>
    <t>OUT00545</t>
  </si>
  <si>
    <t>DO-202610-4356</t>
  </si>
  <si>
    <t>OUT01489</t>
  </si>
  <si>
    <t>DO-202610-3748</t>
  </si>
  <si>
    <t>OUT01011</t>
  </si>
  <si>
    <t>DO-202610-7729</t>
  </si>
  <si>
    <t>OUT01936</t>
  </si>
  <si>
    <t>DO-202610-9869</t>
  </si>
  <si>
    <t>OUT02167</t>
  </si>
  <si>
    <t>DO-202610-1281</t>
  </si>
  <si>
    <t>OUT01592</t>
  </si>
  <si>
    <t>DO-202610-1963</t>
  </si>
  <si>
    <t>OUT01776</t>
  </si>
  <si>
    <t>DO-202610-5007</t>
  </si>
  <si>
    <t>OUT00153</t>
  </si>
  <si>
    <t>DO-202610-1091</t>
  </si>
  <si>
    <t>OUT02162</t>
  </si>
  <si>
    <t>DO-202610-3385</t>
  </si>
  <si>
    <t>OUT00495</t>
  </si>
  <si>
    <t>DO-202610-8540</t>
  </si>
  <si>
    <t>OUT00100</t>
  </si>
  <si>
    <t>DO-202610-9534</t>
  </si>
  <si>
    <t>OUT00963</t>
  </si>
  <si>
    <t>DO-202610-2291</t>
  </si>
  <si>
    <t>OUT00468</t>
  </si>
  <si>
    <t>DO-202610-6389</t>
  </si>
  <si>
    <t>OUT01021</t>
  </si>
  <si>
    <t>DO-202610-7997</t>
  </si>
  <si>
    <t>OUT01531</t>
  </si>
  <si>
    <t>DO-202610-7015</t>
  </si>
  <si>
    <t>OUT01508</t>
  </si>
  <si>
    <t>DO-202610-8691</t>
  </si>
  <si>
    <t>OUT02086</t>
  </si>
  <si>
    <t>DO-202610-3325</t>
  </si>
  <si>
    <t>OUT01315</t>
  </si>
  <si>
    <t>DO-202610-6733</t>
  </si>
  <si>
    <t>OUT00423</t>
  </si>
  <si>
    <t>DO-202610-5370</t>
  </si>
  <si>
    <t>OUT01960</t>
  </si>
  <si>
    <t>DO-202610-3790</t>
  </si>
  <si>
    <t>OUT00969</t>
  </si>
  <si>
    <t>DO-202610-8814</t>
  </si>
  <si>
    <t>OUT01015</t>
  </si>
  <si>
    <t>DO-202610-5594</t>
  </si>
  <si>
    <t>OUT01383</t>
  </si>
  <si>
    <t>DO-202610-7938</t>
  </si>
  <si>
    <t>OUT00496</t>
  </si>
  <si>
    <t>OUT00630</t>
  </si>
  <si>
    <t>DO-202610-7754</t>
  </si>
  <si>
    <t>OUT00971</t>
  </si>
  <si>
    <t>DO-202610-2343</t>
  </si>
  <si>
    <t>OUT01821</t>
  </si>
  <si>
    <t>DO-202610-2488</t>
  </si>
  <si>
    <t>OUT01339</t>
  </si>
  <si>
    <t>DO-202610-6615</t>
  </si>
  <si>
    <t>OUT01549</t>
  </si>
  <si>
    <t>DO-202610-4495</t>
  </si>
  <si>
    <t>OUT02188</t>
  </si>
  <si>
    <t>DO-202610-8645</t>
  </si>
  <si>
    <t>OUT01837</t>
  </si>
  <si>
    <t>DO-202610-5125</t>
  </si>
  <si>
    <t>OUT00109</t>
  </si>
  <si>
    <t>DO-202610-4205</t>
  </si>
  <si>
    <t>OUT01359</t>
  </si>
  <si>
    <t>DO-202610-9141</t>
  </si>
  <si>
    <t>OUT00462</t>
  </si>
  <si>
    <t>DO-202610-2703</t>
  </si>
  <si>
    <t>OUT00697</t>
  </si>
  <si>
    <t>DO-202610-6913</t>
  </si>
  <si>
    <t>OUT01037</t>
  </si>
  <si>
    <t>DO-202610-1881</t>
  </si>
  <si>
    <t>OUT01446</t>
  </si>
  <si>
    <t>DO-202610-8883</t>
  </si>
  <si>
    <t>OUT00924</t>
  </si>
  <si>
    <t>DO-202610-5336</t>
  </si>
  <si>
    <t>OUT01786</t>
  </si>
  <si>
    <t>DO-202610-1610</t>
  </si>
  <si>
    <t>OUT01238</t>
  </si>
  <si>
    <t>DO-202610-1985</t>
  </si>
  <si>
    <t>OUT00339</t>
  </si>
  <si>
    <t>DO-202610-8982</t>
  </si>
  <si>
    <t>OUT01902</t>
  </si>
  <si>
    <t>DO-202610-9818</t>
  </si>
  <si>
    <t>OUT01222</t>
  </si>
  <si>
    <t>DO-202610-6625</t>
  </si>
  <si>
    <t>OUT01426</t>
  </si>
  <si>
    <t>OUT01804</t>
  </si>
  <si>
    <t>DO-202610-2469</t>
  </si>
  <si>
    <t>OUT01255</t>
  </si>
  <si>
    <t>DO-202610-3360</t>
  </si>
  <si>
    <t>OUT00215</t>
  </si>
  <si>
    <t>DO-202610-9813</t>
  </si>
  <si>
    <t>OUT01417</t>
  </si>
  <si>
    <t>OUT01642</t>
  </si>
  <si>
    <t>DO-202610-9802</t>
  </si>
  <si>
    <t>OUT00638</t>
  </si>
  <si>
    <t>DO-202610-6781</t>
  </si>
  <si>
    <t>OUT01856</t>
  </si>
  <si>
    <t>DO-202610-2168</t>
  </si>
  <si>
    <t>OUT00752</t>
  </si>
  <si>
    <t>DO-202610-9046</t>
  </si>
  <si>
    <t>OUT01792</t>
  </si>
  <si>
    <t>DO-202610-1037</t>
  </si>
  <si>
    <t>OUT00688</t>
  </si>
  <si>
    <t>DO-202610-4760</t>
  </si>
  <si>
    <t>OUT01596</t>
  </si>
  <si>
    <t>DO-202610-4686</t>
  </si>
  <si>
    <t>OUT00220</t>
  </si>
  <si>
    <t>DO-202610-7191</t>
  </si>
  <si>
    <t>OUT00635</t>
  </si>
  <si>
    <t>DO-202610-2079</t>
  </si>
  <si>
    <t>OUT02127</t>
  </si>
  <si>
    <t>DO-202610-7626</t>
  </si>
  <si>
    <t>OUT00052</t>
  </si>
  <si>
    <t>DO-202610-6145</t>
  </si>
  <si>
    <t>OUT00903</t>
  </si>
  <si>
    <t>DO-202610-2764</t>
  </si>
  <si>
    <t>OUT01838</t>
  </si>
  <si>
    <t>DO-202610-9093</t>
  </si>
  <si>
    <t>OUT00979</t>
  </si>
  <si>
    <t>DO-202610-2877</t>
  </si>
  <si>
    <t>OUT01314</t>
  </si>
  <si>
    <t>DO-202610-3110</t>
  </si>
  <si>
    <t>OUT01512</t>
  </si>
  <si>
    <t>DO-202610-9650</t>
  </si>
  <si>
    <t>OUT00140</t>
  </si>
  <si>
    <t>DO-202610-6303</t>
  </si>
  <si>
    <t>OUT00740</t>
  </si>
  <si>
    <t>DO-202610-7352</t>
  </si>
  <si>
    <t>OUT01846</t>
  </si>
  <si>
    <t>DO-202610-1192</t>
  </si>
  <si>
    <t>OUT00017</t>
  </si>
  <si>
    <t>DO-202610-8899</t>
  </si>
  <si>
    <t>OUT01715</t>
  </si>
  <si>
    <t>OUT00355</t>
  </si>
  <si>
    <t>DO-202610-5413</t>
  </si>
  <si>
    <t>OUT01997</t>
  </si>
  <si>
    <t>DO-202610-8571</t>
  </si>
  <si>
    <t>OUT01855</t>
  </si>
  <si>
    <t>DO-202610-7043</t>
  </si>
  <si>
    <t>OUT02196</t>
  </si>
  <si>
    <t>DO-202610-7294</t>
  </si>
  <si>
    <t>OUT00494</t>
  </si>
  <si>
    <t>DO-202610-4669</t>
  </si>
  <si>
    <t>OUT00702</t>
  </si>
  <si>
    <t>DO-202610-2272</t>
  </si>
  <si>
    <t>OUT00025</t>
  </si>
  <si>
    <t>DO-202610-5790</t>
  </si>
  <si>
    <t>OUT00848</t>
  </si>
  <si>
    <t>DO-202610-7159</t>
  </si>
  <si>
    <t>OUT01524</t>
  </si>
  <si>
    <t>DO-202610-2582</t>
  </si>
  <si>
    <t>OUT00876</t>
  </si>
  <si>
    <t>DO-202610-4706</t>
  </si>
  <si>
    <t>OUT00500</t>
  </si>
  <si>
    <t>DO-202610-3184</t>
  </si>
  <si>
    <t>OUT02103</t>
  </si>
  <si>
    <t>DO-202610-4233</t>
  </si>
  <si>
    <t>OUT01041</t>
  </si>
  <si>
    <t>DO-202610-4956</t>
  </si>
  <si>
    <t>OUT00062</t>
  </si>
  <si>
    <t>DO-202610-6488</t>
  </si>
  <si>
    <t>OUT00065</t>
  </si>
  <si>
    <t>DO-202610-9368</t>
  </si>
  <si>
    <t>OUT01477</t>
  </si>
  <si>
    <t>DO-202610-9792</t>
  </si>
  <si>
    <t>OUT00544</t>
  </si>
  <si>
    <t>DO-202610-5230</t>
  </si>
  <si>
    <t>OUT00914</t>
  </si>
  <si>
    <t>DO-202610-4313</t>
  </si>
  <si>
    <t>OUT00438</t>
  </si>
  <si>
    <t>DO-202610-9692</t>
  </si>
  <si>
    <t>OUT01090</t>
  </si>
  <si>
    <t>DO-202610-8642</t>
  </si>
  <si>
    <t>OUT01913</t>
  </si>
  <si>
    <t>DO-202610-5392</t>
  </si>
  <si>
    <t>OUT01424</t>
  </si>
  <si>
    <t>DO-202610-7469</t>
  </si>
  <si>
    <t>OUT01898</t>
  </si>
  <si>
    <t>DO-202610-9856</t>
  </si>
  <si>
    <t>OUT01942</t>
  </si>
  <si>
    <t>DO-202610-7445</t>
  </si>
  <si>
    <t>OUT00794</t>
  </si>
  <si>
    <t>DO-202610-3999</t>
  </si>
  <si>
    <t>OUT01947</t>
  </si>
  <si>
    <t>DO-202610-4865</t>
  </si>
  <si>
    <t>OUT00464</t>
  </si>
  <si>
    <t>DO-202610-2615</t>
  </si>
  <si>
    <t>OUT00463</t>
  </si>
  <si>
    <t>DO-202610-7157</t>
  </si>
  <si>
    <t>OUT01324</t>
  </si>
  <si>
    <t>DO-202610-8259</t>
  </si>
  <si>
    <t>OUT01645</t>
  </si>
  <si>
    <t>DO-202610-9698</t>
  </si>
  <si>
    <t>OUT00320</t>
  </si>
  <si>
    <t>DO-202610-5215</t>
  </si>
  <si>
    <t>OUT00779</t>
  </si>
  <si>
    <t>DO-202610-3086</t>
  </si>
  <si>
    <t>OUT01581</t>
  </si>
  <si>
    <t>DO-202610-6797</t>
  </si>
  <si>
    <t>OUT01781</t>
  </si>
  <si>
    <t>DO-202610-4580</t>
  </si>
  <si>
    <t>OUT00277</t>
  </si>
  <si>
    <t>DO-202610-7374</t>
  </si>
  <si>
    <t>OUT01753</t>
  </si>
  <si>
    <t>DO-202610-6387</t>
  </si>
  <si>
    <t>OUT00241</t>
  </si>
  <si>
    <t>DO-202610-7047</t>
  </si>
  <si>
    <t>OUT00098</t>
  </si>
  <si>
    <t>OUT01362</t>
  </si>
  <si>
    <t>DO-202610-2672</t>
  </si>
  <si>
    <t>OUT01360</t>
  </si>
  <si>
    <t>DO-202610-4664</t>
  </si>
  <si>
    <t>OUT01138</t>
  </si>
  <si>
    <t>DO-202610-6927</t>
  </si>
  <si>
    <t>OUT00274</t>
  </si>
  <si>
    <t>OUT01570</t>
  </si>
  <si>
    <t>DO-202610-3331</t>
  </si>
  <si>
    <t>OUT00506</t>
  </si>
  <si>
    <t>DO-202610-3969</t>
  </si>
  <si>
    <t>OUT01743</t>
  </si>
  <si>
    <t>DO-202610-2574</t>
  </si>
  <si>
    <t>OUT01850</t>
  </si>
  <si>
    <t>DO-202610-7508</t>
  </si>
  <si>
    <t>OUT01881</t>
  </si>
  <si>
    <t>DO-202610-5549</t>
  </si>
  <si>
    <t>OUT02150</t>
  </si>
  <si>
    <t>DO-202610-4876</t>
  </si>
  <si>
    <t>OUT01816</t>
  </si>
  <si>
    <t>DO-202610-5081</t>
  </si>
  <si>
    <t>OUT01860</t>
  </si>
  <si>
    <t>DO-202610-3947</t>
  </si>
  <si>
    <t>OUT02060</t>
  </si>
  <si>
    <t>DO-202610-3366</t>
  </si>
  <si>
    <t>OUT01985</t>
  </si>
  <si>
    <t>DO-202610-1475</t>
  </si>
  <si>
    <t>OUT02195</t>
  </si>
  <si>
    <t>DO-202610-3126</t>
  </si>
  <si>
    <t>OUT02088</t>
  </si>
  <si>
    <t>DO-202610-3992</t>
  </si>
  <si>
    <t>OUT02158</t>
  </si>
  <si>
    <t>DO-202610-9942</t>
  </si>
  <si>
    <t>OUT00001</t>
  </si>
  <si>
    <t>DO-202610-2100</t>
  </si>
  <si>
    <t>OUT01579</t>
  </si>
  <si>
    <t>DO-202610-8177</t>
  </si>
  <si>
    <t>OUT01235</t>
  </si>
  <si>
    <t>DO-202610-2787</t>
  </si>
  <si>
    <t>OUT00571</t>
  </si>
  <si>
    <t>DO-202610-4893</t>
  </si>
  <si>
    <t>OUT00806</t>
  </si>
  <si>
    <t>DO-202610-5656</t>
  </si>
  <si>
    <t>OUT01132</t>
  </si>
  <si>
    <t>DO-202610-3869</t>
  </si>
  <si>
    <t>OUT00812</t>
  </si>
  <si>
    <t>DO-202610-4610</t>
  </si>
  <si>
    <t>OUT00504</t>
  </si>
  <si>
    <t>OUT01573</t>
  </si>
  <si>
    <t>DO-202610-6163</t>
  </si>
  <si>
    <t>OUT01269</t>
  </si>
  <si>
    <t>DO-202610-8431</t>
  </si>
  <si>
    <t>OUT00593</t>
  </si>
  <si>
    <t>DO-202610-8317</t>
  </si>
  <si>
    <t>OUT00094</t>
  </si>
  <si>
    <t>DO-202610-6690</t>
  </si>
  <si>
    <t>OUT00818</t>
  </si>
  <si>
    <t>DO-202610-4366</t>
  </si>
  <si>
    <t>OUT00605</t>
  </si>
  <si>
    <t>DO-202610-3769</t>
  </si>
  <si>
    <t>OUT00896</t>
  </si>
  <si>
    <t>DO-202610-2064</t>
  </si>
  <si>
    <t>OUT01509</t>
  </si>
  <si>
    <t>DO-202610-4189</t>
  </si>
  <si>
    <t>OUT00323</t>
  </si>
  <si>
    <t>DO-202610-3553</t>
  </si>
  <si>
    <t>OUT00894</t>
  </si>
  <si>
    <t>DO-202610-3784</t>
  </si>
  <si>
    <t>OUT00441</t>
  </si>
  <si>
    <t>DO-202610-5561</t>
  </si>
  <si>
    <t>OUT01479</t>
  </si>
  <si>
    <t>DO-202610-7972</t>
  </si>
  <si>
    <t>OUT00651</t>
  </si>
  <si>
    <t>DO-202610-2996</t>
  </si>
  <si>
    <t>OUT01299</t>
  </si>
  <si>
    <t>DO-202610-1080</t>
  </si>
  <si>
    <t>OUT00150</t>
  </si>
  <si>
    <t>DO-202610-9575</t>
  </si>
  <si>
    <t>OUT00178</t>
  </si>
  <si>
    <t>DO-202610-3700</t>
  </si>
  <si>
    <t>OUT01308</t>
  </si>
  <si>
    <t>DO-202610-1606</t>
  </si>
  <si>
    <t>OUT00887</t>
  </si>
  <si>
    <t>DO-202610-6506</t>
  </si>
  <si>
    <t>OUT01391</t>
  </si>
  <si>
    <t>DO-202610-9958</t>
  </si>
  <si>
    <t>OUT01233</t>
  </si>
  <si>
    <t>DO-202610-8796</t>
  </si>
  <si>
    <t>OUT00916</t>
  </si>
  <si>
    <t>DO-202610-1044</t>
  </si>
  <si>
    <t>OUT00164</t>
  </si>
  <si>
    <t>DO-202610-9509</t>
  </si>
  <si>
    <t>OUT01205</t>
  </si>
  <si>
    <t>DO-202610-7233</t>
  </si>
  <si>
    <t>OUT00036</t>
  </si>
  <si>
    <t>DO-202610-1308</t>
  </si>
  <si>
    <t>OUT01726</t>
  </si>
  <si>
    <t>DO-202610-7088</t>
  </si>
  <si>
    <t>OUT01647</t>
  </si>
  <si>
    <t>DO-202610-3657</t>
  </si>
  <si>
    <t>OUT00421</t>
  </si>
  <si>
    <t>OUT01206</t>
  </si>
  <si>
    <t>DO-202610-9108</t>
  </si>
  <si>
    <t>OUT00418</t>
  </si>
  <si>
    <t>DO-202610-8828</t>
  </si>
  <si>
    <t>OUT01212</t>
  </si>
  <si>
    <t>DO-202610-1627</t>
  </si>
  <si>
    <t>OUT01705</t>
  </si>
  <si>
    <t>DO-202610-3525</t>
  </si>
  <si>
    <t>OUT01145</t>
  </si>
  <si>
    <t>DO-202610-1244</t>
  </si>
  <si>
    <t>OUT01920</t>
  </si>
  <si>
    <t>OUT01159</t>
  </si>
  <si>
    <t>DO-202610-1275</t>
  </si>
  <si>
    <t>OUT00125</t>
  </si>
  <si>
    <t>DO-202610-6054</t>
  </si>
  <si>
    <t>OUT01836</t>
  </si>
  <si>
    <t>DO-202610-3474</t>
  </si>
  <si>
    <t>OUT01493</t>
  </si>
  <si>
    <t>DO-202610-8878</t>
  </si>
  <si>
    <t>OUT00127</t>
  </si>
  <si>
    <t>DO-202610-6401</t>
  </si>
  <si>
    <t>OUT00787</t>
  </si>
  <si>
    <t>DO-202610-5734</t>
  </si>
  <si>
    <t>OUT01467</t>
  </si>
  <si>
    <t>DO-202610-7334</t>
  </si>
  <si>
    <t>OUT01831</t>
  </si>
  <si>
    <t>DO-202610-2250</t>
  </si>
  <si>
    <t>OUT01737</t>
  </si>
  <si>
    <t>DO-202610-7034</t>
  </si>
  <si>
    <t>OUT01912</t>
  </si>
  <si>
    <t>DO-202610-5880</t>
  </si>
  <si>
    <t>OUT01051</t>
  </si>
  <si>
    <t>DO-202610-1423</t>
  </si>
  <si>
    <t>OUT00002</t>
  </si>
  <si>
    <t>DO-202610-2280</t>
  </si>
  <si>
    <t>OUT00426</t>
  </si>
  <si>
    <t>DO-202610-3652</t>
  </si>
  <si>
    <t>OUT01181</t>
  </si>
  <si>
    <t>DO-202610-9510</t>
  </si>
  <si>
    <t>OUT01948</t>
  </si>
  <si>
    <t>DO-202610-8202</t>
  </si>
  <si>
    <t>OUT01069</t>
  </si>
  <si>
    <t>DO-202610-3907</t>
  </si>
  <si>
    <t>OUT00452</t>
  </si>
  <si>
    <t>DO-202610-4804</t>
  </si>
  <si>
    <t>OUT02089</t>
  </si>
  <si>
    <t>DO-202610-2546</t>
  </si>
  <si>
    <t>OUT00620</t>
  </si>
  <si>
    <t>DO-202610-2733</t>
  </si>
  <si>
    <t>OUT00428</t>
  </si>
  <si>
    <t>DO-202610-7646</t>
  </si>
  <si>
    <t>OUT00207</t>
  </si>
  <si>
    <t>DO-202610-1171</t>
  </si>
  <si>
    <t>OUT02036</t>
  </si>
  <si>
    <t>DO-202610-8426</t>
  </si>
  <si>
    <t>OUT00569</t>
  </si>
  <si>
    <t>DO-202610-9938</t>
  </si>
  <si>
    <t>OUT01136</t>
  </si>
  <si>
    <t>DO-202610-7843</t>
  </si>
  <si>
    <t>OUT00349</t>
  </si>
  <si>
    <t>OUT00577</t>
  </si>
  <si>
    <t>DO-202610-7648</t>
  </si>
  <si>
    <t>OUT00266</t>
  </si>
  <si>
    <t>DO-202610-7922</t>
  </si>
  <si>
    <t>OUT01887</t>
  </si>
  <si>
    <t>DO-202610-3940</t>
  </si>
  <si>
    <t>OUT01250</t>
  </si>
  <si>
    <t>DO-202610-4802</t>
  </si>
  <si>
    <t>OUT01519</t>
  </si>
  <si>
    <t>DO-202610-4060</t>
  </si>
  <si>
    <t>OUT00727</t>
  </si>
  <si>
    <t>DO-202610-3285</t>
  </si>
  <si>
    <t>OUT01533</t>
  </si>
  <si>
    <t>DO-202610-6606</t>
  </si>
  <si>
    <t>OUT02022</t>
  </si>
  <si>
    <t>DO-202610-5035</t>
  </si>
  <si>
    <t>OUT01663</t>
  </si>
  <si>
    <t>DO-202610-2386</t>
  </si>
  <si>
    <t>OUT00955</t>
  </si>
  <si>
    <t>DO-202610-6112</t>
  </si>
  <si>
    <t>OUT00773</t>
  </si>
  <si>
    <t>DO-202610-2161</t>
  </si>
  <si>
    <t>OUT01752</t>
  </si>
  <si>
    <t>DO-202610-6058</t>
  </si>
  <si>
    <t>OUT00294</t>
  </si>
  <si>
    <t>DO-202610-7722</t>
  </si>
  <si>
    <t>OUT00933</t>
  </si>
  <si>
    <t>DO-202610-1338</t>
  </si>
  <si>
    <t>OUT01843</t>
  </si>
  <si>
    <t>DO-202610-4199</t>
  </si>
  <si>
    <t>OUT00698</t>
  </si>
  <si>
    <t>DO-202610-5134</t>
  </si>
  <si>
    <t>OUT01865</t>
  </si>
  <si>
    <t>DO-202610-3487</t>
  </si>
  <si>
    <t>OUT01210</t>
  </si>
  <si>
    <t>DO-202610-7040</t>
  </si>
  <si>
    <t>OUT00856</t>
  </si>
  <si>
    <t>DO-202610-5816</t>
  </si>
  <si>
    <t>OUT01093</t>
  </si>
  <si>
    <t>DO-202610-1642</t>
  </si>
  <si>
    <t>OUT00214</t>
  </si>
  <si>
    <t>DO-202610-3793</t>
  </si>
  <si>
    <t>OUT01903</t>
  </si>
  <si>
    <t>DO-202610-5052</t>
  </si>
  <si>
    <t>OUT00706</t>
  </si>
  <si>
    <t>OUT01155</t>
  </si>
  <si>
    <t>DO-202610-5801</t>
  </si>
  <si>
    <t>OUT00191</t>
  </si>
  <si>
    <t>DO-202610-7525</t>
  </si>
  <si>
    <t>OUT00932</t>
  </si>
  <si>
    <t>DO-202610-8036</t>
  </si>
  <si>
    <t>OUT01382</t>
  </si>
  <si>
    <t>DO-202610-3585</t>
  </si>
  <si>
    <t>OUT02054</t>
  </si>
  <si>
    <t>DO-202610-4811</t>
  </si>
  <si>
    <t>OUT00995</t>
  </si>
  <si>
    <t>DO-202610-4291</t>
  </si>
  <si>
    <t>OUT00063</t>
  </si>
  <si>
    <t>DO-202610-5817</t>
  </si>
  <si>
    <t>OUT01071</t>
  </si>
  <si>
    <t>DO-202610-5387</t>
  </si>
  <si>
    <t>OUT00512</t>
  </si>
  <si>
    <t>DO-202610-6565</t>
  </si>
  <si>
    <t>OUT00528</t>
  </si>
  <si>
    <t>DO-202610-9715</t>
  </si>
  <si>
    <t>OUT00981</t>
  </si>
  <si>
    <t>DO-202610-5076</t>
  </si>
  <si>
    <t>OUT00570</t>
  </si>
  <si>
    <t>DO-202610-7325</t>
  </si>
  <si>
    <t>OUT01654</t>
  </si>
  <si>
    <t>OUT00949</t>
  </si>
  <si>
    <t>DO-202610-1687</t>
  </si>
  <si>
    <t>OUT00376</t>
  </si>
  <si>
    <t>DO-202610-7493</t>
  </si>
  <si>
    <t>OUT00925</t>
  </si>
  <si>
    <t>DO-202610-4759</t>
  </si>
  <si>
    <t>OUT00403</t>
  </si>
  <si>
    <t>DO-202610-2383</t>
  </si>
  <si>
    <t>OUT02044</t>
  </si>
  <si>
    <t>DO-202610-2963</t>
  </si>
  <si>
    <t>OUT01728</t>
  </si>
  <si>
    <t>DO-202610-1908</t>
  </si>
  <si>
    <t>OUT00344</t>
  </si>
  <si>
    <t>DO-202610-9719</t>
  </si>
  <si>
    <t>OUT02028</t>
  </si>
  <si>
    <t>DO-202610-1076</t>
  </si>
  <si>
    <t>OUT00061</t>
  </si>
  <si>
    <t>DO-202610-3344</t>
  </si>
  <si>
    <t>OUT01958</t>
  </si>
  <si>
    <t>DO-202610-6677</t>
  </si>
  <si>
    <t>OUT01548</t>
  </si>
  <si>
    <t>DO-202610-9550</t>
  </si>
  <si>
    <t>OUT00664</t>
  </si>
  <si>
    <t>DO-202610-2972</t>
  </si>
  <si>
    <t>OUT00155</t>
  </si>
  <si>
    <t>OUT01408</t>
  </si>
  <si>
    <t>DO-202610-5737</t>
  </si>
  <si>
    <t>OUT01462</t>
  </si>
  <si>
    <t>DO-202610-9016</t>
  </si>
  <si>
    <t>OUT00683</t>
  </si>
  <si>
    <t>DO-202610-1396</t>
  </si>
  <si>
    <t>OUT00163</t>
  </si>
  <si>
    <t>OUT01039</t>
  </si>
  <si>
    <t>DO-202610-1865</t>
  </si>
  <si>
    <t>OUT02012</t>
  </si>
  <si>
    <t>DO-202610-2986</t>
  </si>
  <si>
    <t>OUT00341</t>
  </si>
  <si>
    <t>DO-202610-8475</t>
  </si>
  <si>
    <t>OUT00875</t>
  </si>
  <si>
    <t>DO-202610-3549</t>
  </si>
  <si>
    <t>OUT01907</t>
  </si>
  <si>
    <t>DO-202610-1272</t>
  </si>
  <si>
    <t>OUT01943</t>
  </si>
  <si>
    <t>DO-202610-7567</t>
  </si>
  <si>
    <t>OUT00409</t>
  </si>
  <si>
    <t>DO-202610-2792</t>
  </si>
  <si>
    <t>OUT01054</t>
  </si>
  <si>
    <t>DO-202610-8811</t>
  </si>
  <si>
    <t>OUT00388</t>
  </si>
  <si>
    <t>DO-202610-6810</t>
  </si>
  <si>
    <t>OUT01000</t>
  </si>
  <si>
    <t>DO-202610-7614</t>
  </si>
  <si>
    <t>OUT01897</t>
  </si>
  <si>
    <t>DO-202610-4295</t>
  </si>
  <si>
    <t>OUT00361</t>
  </si>
  <si>
    <t>DO-202610-5829</t>
  </si>
  <si>
    <t>OUT01978</t>
  </si>
  <si>
    <t>DO-202610-4709</t>
  </si>
  <si>
    <t>OUT00354</t>
  </si>
  <si>
    <t>DO-202610-9461</t>
  </si>
  <si>
    <t>OUT00805</t>
  </si>
  <si>
    <t>DO-202610-1161</t>
  </si>
  <si>
    <t>OUT01929</t>
  </si>
  <si>
    <t>DO-202610-4882</t>
  </si>
  <si>
    <t>OUT00281</t>
  </si>
  <si>
    <t>DO-202610-2287</t>
  </si>
  <si>
    <t>OUT01928</t>
  </si>
  <si>
    <t>DO-202610-6404</t>
  </si>
  <si>
    <t>OUT01048</t>
  </si>
  <si>
    <t>DO-202610-1497</t>
  </si>
  <si>
    <t>OUT02094</t>
  </si>
  <si>
    <t>DO-202610-9798</t>
  </si>
  <si>
    <t>OUT00976</t>
  </si>
  <si>
    <t>DO-202610-9647</t>
  </si>
  <si>
    <t>OUT01732</t>
  </si>
  <si>
    <t>OUT01190</t>
  </si>
  <si>
    <t>DO-202610-3956</t>
  </si>
  <si>
    <t>OUT01371</t>
  </si>
  <si>
    <t>DO-202610-2557</t>
  </si>
  <si>
    <t>OUT01380</t>
  </si>
  <si>
    <t>DO-202610-4095</t>
  </si>
  <si>
    <t>OUT01801</t>
  </si>
  <si>
    <t>DO-202610-7810</t>
  </si>
  <si>
    <t>OUT01798</t>
  </si>
  <si>
    <t>DO-202610-1548</t>
  </si>
  <si>
    <t>OUT01504</t>
  </si>
  <si>
    <t>DO-202610-5401</t>
  </si>
  <si>
    <t>OUT00501</t>
  </si>
  <si>
    <t>DO-202610-9821</t>
  </si>
  <si>
    <t>OUT02169</t>
  </si>
  <si>
    <t>DO-202610-9078</t>
  </si>
  <si>
    <t>OUT00527</t>
  </si>
  <si>
    <t>DO-202610-2618</t>
  </si>
  <si>
    <t>OUT01612</t>
  </si>
  <si>
    <t>DO-202610-1138</t>
  </si>
  <si>
    <t>OUT00048</t>
  </si>
  <si>
    <t>DO-202610-1202</t>
  </si>
  <si>
    <t>OUT01760</t>
  </si>
  <si>
    <t>DO-202610-9133</t>
  </si>
  <si>
    <t>OUT00038</t>
  </si>
  <si>
    <t>DO-202610-1856</t>
  </si>
  <si>
    <t>OUT01686</t>
  </si>
  <si>
    <t>OUT01744</t>
  </si>
  <si>
    <t>DO-202610-6037</t>
  </si>
  <si>
    <t>OUT01691</t>
  </si>
  <si>
    <t>DO-202610-8093</t>
  </si>
  <si>
    <t>OUT01708</t>
  </si>
  <si>
    <t>DO-202610-4844</t>
  </si>
  <si>
    <t>OUT01733</t>
  </si>
  <si>
    <t>DO-202610-5699</t>
  </si>
  <si>
    <t>OUT01304</t>
  </si>
  <si>
    <t>DO-202610-2886</t>
  </si>
  <si>
    <t>OUT00187</t>
  </si>
  <si>
    <t>DO-202610-4502</t>
  </si>
  <si>
    <t>OUT01270</t>
  </si>
  <si>
    <t>DO-202610-2675</t>
  </si>
  <si>
    <t>OUT01245</t>
  </si>
  <si>
    <t>DO-202610-6562</t>
  </si>
  <si>
    <t>OUT01192</t>
  </si>
  <si>
    <t>DO-202610-6489</t>
  </si>
  <si>
    <t>OUT01867</t>
  </si>
  <si>
    <t>DO-202610-9819</t>
  </si>
  <si>
    <t>OUT00219</t>
  </si>
  <si>
    <t>DO-202610-8785</t>
  </si>
  <si>
    <t>OUT01862</t>
  </si>
  <si>
    <t>DO-202610-2590</t>
  </si>
  <si>
    <t>OUT00732</t>
  </si>
  <si>
    <t>DO-202610-4589</t>
  </si>
  <si>
    <t>OUT01851</t>
  </si>
  <si>
    <t>DO-202610-6186</t>
  </si>
  <si>
    <t>OUT00458</t>
  </si>
  <si>
    <t>DO-202610-7908</t>
  </si>
  <si>
    <t>OUT00632</t>
  </si>
  <si>
    <t>DO-202610-3642</t>
  </si>
  <si>
    <t>OUT01729</t>
  </si>
  <si>
    <t>DO-202610-5518</t>
  </si>
  <si>
    <t>OUT01848</t>
  </si>
  <si>
    <t>DO-202610-6723</t>
  </si>
  <si>
    <t>OUT01595</t>
  </si>
  <si>
    <t>DO-202610-4175</t>
  </si>
  <si>
    <t>OUT01605</t>
  </si>
  <si>
    <t>DO-202610-5002</t>
  </si>
  <si>
    <t>OUT01609</t>
  </si>
  <si>
    <t>DO-202610-6473</t>
  </si>
  <si>
    <t>OUT00199</t>
  </si>
  <si>
    <t>DO-202610-3772</t>
  </si>
  <si>
    <t>OUT02115</t>
  </si>
  <si>
    <t>DO-202610-8483</t>
  </si>
  <si>
    <t>OUT02009</t>
  </si>
  <si>
    <t>DO-202610-2991</t>
  </si>
  <si>
    <t>OUT01644</t>
  </si>
  <si>
    <t>DO-202610-8695</t>
  </si>
  <si>
    <t>OUT00537</t>
  </si>
  <si>
    <t>DO-202610-9584</t>
  </si>
  <si>
    <t>OUT01655</t>
  </si>
  <si>
    <t>DO-202610-4089</t>
  </si>
  <si>
    <t>OUT00565</t>
  </si>
  <si>
    <t>DO-202610-9487</t>
  </si>
  <si>
    <t>OUT00209</t>
  </si>
  <si>
    <t>DO-202610-3174</t>
  </si>
  <si>
    <t>OUT00437</t>
  </si>
  <si>
    <t>DO-202610-4255</t>
  </si>
  <si>
    <t>OUT01687</t>
  </si>
  <si>
    <t>DO-202610-9751</t>
  </si>
  <si>
    <t>OUT01143</t>
  </si>
  <si>
    <t>OUT00046</t>
  </si>
  <si>
    <t>DO-202610-5094</t>
  </si>
  <si>
    <t>OUT01028</t>
  </si>
  <si>
    <t>DO-202610-2036</t>
  </si>
  <si>
    <t>OUT00723</t>
  </si>
  <si>
    <t>DO-202610-9884</t>
  </si>
  <si>
    <t>OUT01092</t>
  </si>
  <si>
    <t>DO-202610-4551</t>
  </si>
  <si>
    <t>OUT01287</t>
  </si>
  <si>
    <t>DO-202610-3207</t>
  </si>
  <si>
    <t>OUT01303</t>
  </si>
  <si>
    <t>DO-202610-7719</t>
  </si>
  <si>
    <t>OUT01115</t>
  </si>
  <si>
    <t>DO-202610-6249</t>
  </si>
  <si>
    <t>OUT01827</t>
  </si>
  <si>
    <t>OUT01080</t>
  </si>
  <si>
    <t>DO-202610-4140</t>
  </si>
  <si>
    <t>OUT01331</t>
  </si>
  <si>
    <t>DO-202610-7094</t>
  </si>
  <si>
    <t>OUT01072</t>
  </si>
  <si>
    <t>DO-202610-7554</t>
  </si>
  <si>
    <t>OUT01917</t>
  </si>
  <si>
    <t>DO-202610-6766</t>
  </si>
  <si>
    <t>OUT00162</t>
  </si>
  <si>
    <t>DO-202610-6281</t>
  </si>
  <si>
    <t>OUT00302</t>
  </si>
  <si>
    <t>OUT01421</t>
  </si>
  <si>
    <t>DO-202610-6919</t>
  </si>
  <si>
    <t>OUT00470</t>
  </si>
  <si>
    <t>DO-202610-5074</t>
  </si>
  <si>
    <t>OUT00246</t>
  </si>
  <si>
    <t>DO-202610-1570</t>
  </si>
  <si>
    <t>OUT01959</t>
  </si>
  <si>
    <t>DO-202610-6320</t>
  </si>
  <si>
    <t>OUT00892</t>
  </si>
  <si>
    <t>DO-202610-2433</t>
  </si>
  <si>
    <t>OUT00634</t>
  </si>
  <si>
    <t>DO-202610-1196</t>
  </si>
  <si>
    <t>OUT00305</t>
  </si>
  <si>
    <t>DO-202610-8703</t>
  </si>
  <si>
    <t>OUT02065</t>
  </si>
  <si>
    <t>OUT00556</t>
  </si>
  <si>
    <t>DO-202610-4960</t>
  </si>
  <si>
    <t>OUT00612</t>
  </si>
  <si>
    <t>DO-202610-7146</t>
  </si>
  <si>
    <t>OUT00492</t>
  </si>
  <si>
    <t>DO-202610-5045</t>
  </si>
  <si>
    <t>OUT00546</t>
  </si>
  <si>
    <t>DO-202610-7777</t>
  </si>
  <si>
    <t>OUT00718</t>
  </si>
  <si>
    <t>DO-202610-1774</t>
  </si>
  <si>
    <t>OUT00734</t>
  </si>
  <si>
    <t>DO-202610-1009</t>
  </si>
  <si>
    <t>OUT00712</t>
  </si>
  <si>
    <t>DO-202610-2067</t>
  </si>
  <si>
    <t>OUT00684</t>
  </si>
  <si>
    <t>DO-202610-1694</t>
  </si>
  <si>
    <t>OUT00744</t>
  </si>
  <si>
    <t>DO-202610-6751</t>
  </si>
  <si>
    <t>OUT02019</t>
  </si>
  <si>
    <t>DO-202610-7569</t>
  </si>
  <si>
    <t>OUT00728</t>
  </si>
  <si>
    <t>DO-202610-7864</t>
  </si>
  <si>
    <t>OUT01889</t>
  </si>
  <si>
    <t>DO-202610-3800</t>
  </si>
  <si>
    <t>OUT01814</t>
  </si>
  <si>
    <t>OUT01141</t>
  </si>
  <si>
    <t>DO-202610-8113</t>
  </si>
  <si>
    <t>OUT01186</t>
  </si>
  <si>
    <t>DO-202610-8023</t>
  </si>
  <si>
    <t>OUT00221</t>
  </si>
  <si>
    <t>DO-202610-1129</t>
  </si>
  <si>
    <t>OUT00205</t>
  </si>
  <si>
    <t>DO-202610-8585</t>
  </si>
  <si>
    <t>OUT01248</t>
  </si>
  <si>
    <t>DO-202610-1416</t>
  </si>
  <si>
    <t>OUT01256</t>
  </si>
  <si>
    <t>DO-202610-8356</t>
  </si>
  <si>
    <t>OUT02137</t>
  </si>
  <si>
    <t>DO-202610-9994</t>
  </si>
  <si>
    <t>OUT00168</t>
  </si>
  <si>
    <t>DO-202610-2537</t>
  </si>
  <si>
    <t>OUT00937</t>
  </si>
  <si>
    <t>DO-202610-2248</t>
  </si>
  <si>
    <t>OUT01437</t>
  </si>
  <si>
    <t>DO-202610-2776</t>
  </si>
  <si>
    <t>OUT01470</t>
  </si>
  <si>
    <t>DO-202610-9432</t>
  </si>
  <si>
    <t>OUT01795</t>
  </si>
  <si>
    <t>DO-202610-7355</t>
  </si>
  <si>
    <t>OUT01517</t>
  </si>
  <si>
    <t>DO-202610-3072</t>
  </si>
  <si>
    <t>OUT00106</t>
  </si>
  <si>
    <t>DO-202610-8100</t>
  </si>
  <si>
    <t>OUT02168</t>
  </si>
  <si>
    <t>DO-202610-2440</t>
  </si>
  <si>
    <t>OUT01568</t>
  </si>
  <si>
    <t>DO-202610-2666</t>
  </si>
  <si>
    <t>OUT01572</t>
  </si>
  <si>
    <t>DO-202610-1389</t>
  </si>
  <si>
    <t>OUT01769</t>
  </si>
  <si>
    <t>DO-202610-8634</t>
  </si>
  <si>
    <t>OUT01768</t>
  </si>
  <si>
    <t>DO-202610-6260</t>
  </si>
  <si>
    <t>OUT01763</t>
  </si>
  <si>
    <t>DO-202610-6416</t>
  </si>
  <si>
    <t>OUT02185</t>
  </si>
  <si>
    <t>OUT01135</t>
  </si>
  <si>
    <t>DO-202610-8749</t>
  </si>
  <si>
    <t>OUT01884</t>
  </si>
  <si>
    <t>DO-202610-1034</t>
  </si>
  <si>
    <t>OUT00549</t>
  </si>
  <si>
    <t>DO-202610-2874</t>
  </si>
  <si>
    <t>OUT00280</t>
  </si>
  <si>
    <t>DO-202610-5189</t>
  </si>
  <si>
    <t>OUT01084</t>
  </si>
  <si>
    <t>DO-202610-3923</t>
  </si>
  <si>
    <t>OUT01099</t>
  </si>
  <si>
    <t>DO-202610-8737</t>
  </si>
  <si>
    <t>OUT01038</t>
  </si>
  <si>
    <t>OUT00548</t>
  </si>
  <si>
    <t>DO-202610-8358</t>
  </si>
  <si>
    <t>OUT00313</t>
  </si>
  <si>
    <t>DO-202610-9053</t>
  </si>
  <si>
    <t>OUT00625</t>
  </si>
  <si>
    <t>DO-202610-5719</t>
  </si>
  <si>
    <t>OUT00300</t>
  </si>
  <si>
    <t>DO-202610-3173</t>
  </si>
  <si>
    <t>OUT01794</t>
  </si>
  <si>
    <t>DO-202610-5888</t>
  </si>
  <si>
    <t>OUT00622</t>
  </si>
  <si>
    <t>OUT00621</t>
  </si>
  <si>
    <t>DO-202610-2329</t>
  </si>
  <si>
    <t>OUT02016</t>
  </si>
  <si>
    <t>DO-202610-7561</t>
  </si>
  <si>
    <t>OUT01961</t>
  </si>
  <si>
    <t>DO-202610-2661</t>
  </si>
  <si>
    <t>OUT01523</t>
  </si>
  <si>
    <t>DO-202610-8999</t>
  </si>
  <si>
    <t>OUT01528</t>
  </si>
  <si>
    <t>DO-202610-5364</t>
  </si>
  <si>
    <t>OUT00498</t>
  </si>
  <si>
    <t>DO-202610-6806</t>
  </si>
  <si>
    <t>OUT00594</t>
  </si>
  <si>
    <t>DO-202610-5968</t>
  </si>
  <si>
    <t>OUT00107</t>
  </si>
  <si>
    <t>DO-202610-6202</t>
  </si>
  <si>
    <t>OUT02057</t>
  </si>
  <si>
    <t>DO-202610-5458</t>
  </si>
  <si>
    <t>OUT00318</t>
  </si>
  <si>
    <t>DO-202610-5992</t>
  </si>
  <si>
    <t>OUT01777</t>
  </si>
  <si>
    <t>OUT01775</t>
  </si>
  <si>
    <t>DO-202610-6002</t>
  </si>
  <si>
    <t>OUT00058</t>
  </si>
  <si>
    <t>DO-202610-4845</t>
  </si>
  <si>
    <t>OUT00333</t>
  </si>
  <si>
    <t>DO-202610-1659</t>
  </si>
  <si>
    <t>OUT00057</t>
  </si>
  <si>
    <t>DO-202610-1264</t>
  </si>
  <si>
    <t>OUT00965</t>
  </si>
  <si>
    <t>DO-202610-9946</t>
  </si>
  <si>
    <t>OUT01616</t>
  </si>
  <si>
    <t>DO-202610-1100</t>
  </si>
  <si>
    <t>OUT00366</t>
  </si>
  <si>
    <t>DO-202610-5589</t>
  </si>
  <si>
    <t>OUT00028</t>
  </si>
  <si>
    <t>DO-202610-5795</t>
  </si>
  <si>
    <t>OUT00604</t>
  </si>
  <si>
    <t>DO-202610-6811</t>
  </si>
  <si>
    <t>OUT00482</t>
  </si>
  <si>
    <t>DO-202610-6796</t>
  </si>
  <si>
    <t>OUT00375</t>
  </si>
  <si>
    <t>DO-202610-1379</t>
  </si>
  <si>
    <t>OUT00853</t>
  </si>
  <si>
    <t>DO-202610-4353</t>
  </si>
  <si>
    <t>OUT00823</t>
  </si>
  <si>
    <t>DO-202610-7371</t>
  </si>
  <si>
    <t>OUT00829</t>
  </si>
  <si>
    <t>OUT00835</t>
  </si>
  <si>
    <t>DO-202610-2663</t>
  </si>
  <si>
    <t>OUT00456</t>
  </si>
  <si>
    <t>DO-202610-5769</t>
  </si>
  <si>
    <t>OUT00197</t>
  </si>
  <si>
    <t>DO-202610-2597</t>
  </si>
  <si>
    <t>OUT00193</t>
  </si>
  <si>
    <t>DO-202610-8446</t>
  </si>
  <si>
    <t>OUT01803</t>
  </si>
  <si>
    <t>DO-202610-5597</t>
  </si>
  <si>
    <t>OUT01273</t>
  </si>
  <si>
    <t>DO-202610-4049</t>
  </si>
  <si>
    <t>OUT00192</t>
  </si>
  <si>
    <t>DO-202610-1937</t>
  </si>
  <si>
    <t>OUT01993</t>
  </si>
  <si>
    <t>DO-202610-9518</t>
  </si>
  <si>
    <t>OUT01161</t>
  </si>
  <si>
    <t>DO-202610-7606</t>
  </si>
  <si>
    <t>OUT00255</t>
  </si>
  <si>
    <t>DO-202610-4237</t>
  </si>
  <si>
    <t>OUT02116</t>
  </si>
  <si>
    <t>DO-202610-7360</t>
  </si>
  <si>
    <t>OUT00819</t>
  </si>
  <si>
    <t>DO-202610-7187</t>
  </si>
  <si>
    <t>OUT00166</t>
  </si>
  <si>
    <t>DO-202610-1160</t>
  </si>
  <si>
    <t>OUT01900</t>
  </si>
  <si>
    <t>DO-202610-7652</t>
  </si>
  <si>
    <t>OUT00678</t>
  </si>
  <si>
    <t>DO-202610-6903</t>
  </si>
  <si>
    <t>OUT00676</t>
  </si>
  <si>
    <t>DO-202610-9137</t>
  </si>
  <si>
    <t>OUT00129</t>
  </si>
  <si>
    <t>DO-202610-2039</t>
  </si>
  <si>
    <t>OUT00477</t>
  </si>
  <si>
    <t>DO-202610-6521</t>
  </si>
  <si>
    <t>OUT00041</t>
  </si>
  <si>
    <t>DO-202610-8111</t>
  </si>
  <si>
    <t>OUT00043</t>
  </si>
  <si>
    <t>DO-202610-9761</t>
  </si>
  <si>
    <t>OUT00023</t>
  </si>
  <si>
    <t>DO-202610-2255</t>
  </si>
  <si>
    <t>OUT00011</t>
  </si>
  <si>
    <t>DO-202610-4860</t>
  </si>
  <si>
    <t>OUT00042</t>
  </si>
  <si>
    <t>DO-202610-2789</t>
  </si>
  <si>
    <t>OUT00265</t>
  </si>
  <si>
    <t>DO-202610-7257</t>
  </si>
  <si>
    <t>OUT00422</t>
  </si>
  <si>
    <t>DO-202610-6384</t>
  </si>
  <si>
    <t>OUT00365</t>
  </si>
  <si>
    <t>DO-202610-1753</t>
  </si>
  <si>
    <t>OUT00499</t>
  </si>
  <si>
    <t>DO-202610-5128</t>
  </si>
  <si>
    <t>OUT00103</t>
  </si>
  <si>
    <t>DO-202610-6795</t>
  </si>
  <si>
    <t>OUT00308</t>
  </si>
  <si>
    <t>DO-202610-6953</t>
  </si>
  <si>
    <t>OUT00174</t>
  </si>
  <si>
    <t>DO-202610-3921</t>
  </si>
  <si>
    <t>OUT00172</t>
  </si>
  <si>
    <t>DO-202610-7607</t>
  </si>
  <si>
    <t>OUT02164</t>
  </si>
  <si>
    <t>DO-202610-9973</t>
  </si>
  <si>
    <t>OUT00138</t>
  </si>
  <si>
    <t>DO-202610-1330</t>
  </si>
  <si>
    <t>OUT00445</t>
  </si>
  <si>
    <t>DO-202610-2094</t>
  </si>
  <si>
    <t>OUT02117</t>
  </si>
  <si>
    <t>DO-202610-9901</t>
  </si>
  <si>
    <t>OUT00866</t>
  </si>
  <si>
    <t>DO-202610-3358</t>
  </si>
  <si>
    <t>OUT01100</t>
  </si>
  <si>
    <t>DO-202610-2961</t>
  </si>
  <si>
    <t>OUT01511</t>
  </si>
  <si>
    <t>DO-202610-7639</t>
  </si>
  <si>
    <t>OUT01496</t>
  </si>
  <si>
    <t>DO-202610-5740</t>
  </si>
  <si>
    <t>OUT01468</t>
  </si>
  <si>
    <t>DO-202610-3372</t>
  </si>
  <si>
    <t>OUT01075</t>
  </si>
  <si>
    <t>DO-202610-8059</t>
  </si>
  <si>
    <t>OUT00878</t>
  </si>
  <si>
    <t>DO-202610-5920</t>
  </si>
  <si>
    <t>OUT00920</t>
  </si>
  <si>
    <t>DO-202610-8453</t>
  </si>
  <si>
    <t>OUT01384</t>
  </si>
  <si>
    <t>DO-202610-8817</t>
  </si>
  <si>
    <t>OUT01338</t>
  </si>
  <si>
    <t>DO-202610-8336</t>
  </si>
  <si>
    <t>OUT01536</t>
  </si>
  <si>
    <t>DO-202610-1082</t>
  </si>
  <si>
    <t>OUT01307</t>
  </si>
  <si>
    <t>DO-202610-8170</t>
  </si>
  <si>
    <t>OUT01288</t>
  </si>
  <si>
    <t>DO-202610-9978</t>
  </si>
  <si>
    <t>OUT01279</t>
  </si>
  <si>
    <t>OUT01863</t>
  </si>
  <si>
    <t>OUT01938</t>
  </si>
  <si>
    <t>DO-202610-9696</t>
  </si>
  <si>
    <t>OUT01199</t>
  </si>
  <si>
    <t>DO-202610-9312</t>
  </si>
  <si>
    <t>OUT00986</t>
  </si>
  <si>
    <t>DO-202610-7041</t>
  </si>
  <si>
    <t>OUT00999</t>
  </si>
  <si>
    <t>DO-202610-5174</t>
  </si>
  <si>
    <t>OUT01085</t>
  </si>
  <si>
    <t>DO-202610-2008</t>
  </si>
  <si>
    <t>OUT01296</t>
  </si>
  <si>
    <t>OUT01556</t>
  </si>
  <si>
    <t>DO-202610-5194</t>
  </si>
  <si>
    <t>OUT01060</t>
  </si>
  <si>
    <t>DO-202610-9684</t>
  </si>
  <si>
    <t>OUT00574</t>
  </si>
  <si>
    <t>DO-202610-5214</t>
  </si>
  <si>
    <t>OUT01674</t>
  </si>
  <si>
    <t>DO-202610-7263</t>
  </si>
  <si>
    <t>OUT01628</t>
  </si>
  <si>
    <t>DO-202610-3662</t>
  </si>
  <si>
    <t>OUT02008</t>
  </si>
  <si>
    <t>DO-202610-6216</t>
  </si>
  <si>
    <t>OUT01706</t>
  </si>
  <si>
    <t>DO-202610-4055</t>
  </si>
  <si>
    <t>OUT01584</t>
  </si>
  <si>
    <t>DO-202610-2941</t>
  </si>
  <si>
    <t>OUT01670</t>
  </si>
  <si>
    <t>DO-202610-5400</t>
  </si>
  <si>
    <t>OUT00566</t>
  </si>
  <si>
    <t>DO-202610-7068</t>
  </si>
  <si>
    <t>OUT01725</t>
  </si>
  <si>
    <t>DO-202610-1936</t>
  </si>
  <si>
    <t>OUT01738</t>
  </si>
  <si>
    <t>OUT00551</t>
  </si>
  <si>
    <t>DO-202610-5666</t>
  </si>
  <si>
    <t>OUT01156</t>
  </si>
  <si>
    <t>DO-202610-8424</t>
  </si>
  <si>
    <t>OUT01120</t>
  </si>
  <si>
    <t>DO-202610-4966</t>
  </si>
  <si>
    <t>OUT01112</t>
  </si>
  <si>
    <t>DO-202610-1294</t>
  </si>
  <si>
    <t>OUT02192</t>
  </si>
  <si>
    <t>DO-202610-3254</t>
  </si>
  <si>
    <t>OUT01209</t>
  </si>
  <si>
    <t>DO-202610-6214</t>
  </si>
  <si>
    <t>OUT01214</t>
  </si>
  <si>
    <t>DO-202610-5396</t>
  </si>
  <si>
    <t>OUT00093</t>
  </si>
  <si>
    <t>DO-202610-8053</t>
  </si>
  <si>
    <t>OUT01660</t>
  </si>
  <si>
    <t>DO-202610-6252</t>
  </si>
  <si>
    <t>OUT02144</t>
  </si>
  <si>
    <t>DO-202610-2124</t>
  </si>
  <si>
    <t>OUT01366</t>
  </si>
  <si>
    <t>DO-202610-5736</t>
  </si>
  <si>
    <t>OUT01622</t>
  </si>
  <si>
    <t>DO-202610-3743</t>
  </si>
  <si>
    <t>OUT00158</t>
  </si>
  <si>
    <t>OUT01410</t>
  </si>
  <si>
    <t>DO-202610-9450</t>
  </si>
  <si>
    <t>OUT00141</t>
  </si>
  <si>
    <t>DO-202610-5490</t>
  </si>
  <si>
    <t>OUT01604</t>
  </si>
  <si>
    <t>DO-202610-1652</t>
  </si>
  <si>
    <t>OUT00137</t>
  </si>
  <si>
    <t>DO-202610-2253</t>
  </si>
  <si>
    <t>OUT02179</t>
  </si>
  <si>
    <t>DO-202610-1068</t>
  </si>
  <si>
    <t>OUT02177</t>
  </si>
  <si>
    <t>OUT00072</t>
  </si>
  <si>
    <t>DO-202610-8291</t>
  </si>
  <si>
    <t>OUT01502</t>
  </si>
  <si>
    <t>DO-202610-8168</t>
  </si>
  <si>
    <t>OUT00085</t>
  </si>
  <si>
    <t>DO-202610-7699</t>
  </si>
  <si>
    <t>OUT01662</t>
  </si>
  <si>
    <t>DO-202610-2607</t>
  </si>
  <si>
    <t>OUT00136</t>
  </si>
  <si>
    <t>OUT02048</t>
  </si>
  <si>
    <t>DO-202610-4644</t>
  </si>
  <si>
    <t>OUT00948</t>
  </si>
  <si>
    <t>DO-202610-8501</t>
  </si>
  <si>
    <t>OUT00934</t>
  </si>
  <si>
    <t>OUT00968</t>
  </si>
  <si>
    <t>DO-202610-2126</t>
  </si>
  <si>
    <t>OUT00395</t>
  </si>
  <si>
    <t>DO-202610-7232</t>
  </si>
  <si>
    <t>OUT00575</t>
  </si>
  <si>
    <t>DO-202610-5912</t>
  </si>
  <si>
    <t>OUT01930</t>
  </si>
  <si>
    <t>DO-202610-6695</t>
  </si>
  <si>
    <t>OUT00587</t>
  </si>
  <si>
    <t>OUT00881</t>
  </si>
  <si>
    <t>DO-202610-6426</t>
  </si>
  <si>
    <t>OUT00589</t>
  </si>
  <si>
    <t>DO-202610-6180</t>
  </si>
  <si>
    <t>OUT00430</t>
  </si>
  <si>
    <t>DO-202610-6527</t>
  </si>
  <si>
    <t>OUT00721</t>
  </si>
  <si>
    <t>DO-202610-7668</t>
  </si>
  <si>
    <t>OUT00466</t>
  </si>
  <si>
    <t>DO-202610-8212</t>
  </si>
  <si>
    <t>OUT00756</t>
  </si>
  <si>
    <t>DO-202610-7172</t>
  </si>
  <si>
    <t>OUT00383</t>
  </si>
  <si>
    <t>DO-202610-2196</t>
  </si>
  <si>
    <t>OUT00592</t>
  </si>
  <si>
    <t>DO-202610-6039</t>
  </si>
  <si>
    <t>OUT02062</t>
  </si>
  <si>
    <t>OUT01606</t>
  </si>
  <si>
    <t>DO-202610-7783</t>
  </si>
  <si>
    <t>OUT00609</t>
  </si>
  <si>
    <t>DO-202610-2314</t>
  </si>
  <si>
    <t>OUT02018</t>
  </si>
  <si>
    <t>DO-202610-8206</t>
  </si>
  <si>
    <t>OUT00181</t>
  </si>
  <si>
    <t>DO-202610-7442</t>
  </si>
  <si>
    <t>OUT00921</t>
  </si>
  <si>
    <t>DO-202610-5661</t>
  </si>
  <si>
    <t>OUT01402</t>
  </si>
  <si>
    <t>DO-202610-4351</t>
  </si>
  <si>
    <t>OUT01293</t>
  </si>
  <si>
    <t>DO-202610-4309</t>
  </si>
  <si>
    <t>OUT00685</t>
  </si>
  <si>
    <t>DO-202610-3255</t>
  </si>
  <si>
    <t>OUT01442</t>
  </si>
  <si>
    <t>DO-202610-2103</t>
  </si>
  <si>
    <t>OUT01589</t>
  </si>
  <si>
    <t>DO-202610-7124</t>
  </si>
  <si>
    <t>OUT00067</t>
  </si>
  <si>
    <t>DO-202610-2266</t>
  </si>
  <si>
    <t>OUT01480</t>
  </si>
  <si>
    <t>DO-202610-1998</t>
  </si>
  <si>
    <t>OUT00776</t>
  </si>
  <si>
    <t>DO-202610-4692</t>
  </si>
  <si>
    <t>OUT00454</t>
  </si>
  <si>
    <t>OUT00398</t>
  </si>
  <si>
    <t>DO-202610-9013</t>
  </si>
  <si>
    <t>OUT01006</t>
  </si>
  <si>
    <t>DO-202610-5455</t>
  </si>
  <si>
    <t>OUT00945</t>
  </si>
  <si>
    <t>DO-202610-1488</t>
  </si>
  <si>
    <t>OUT01991</t>
  </si>
  <si>
    <t>DO-202610-8500</t>
  </si>
  <si>
    <t>OUT01914</t>
  </si>
  <si>
    <t>DO-202610-7931</t>
  </si>
  <si>
    <t>OUT00342</t>
  </si>
  <si>
    <t>DO-202610-5435</t>
  </si>
  <si>
    <t>OUT02037</t>
  </si>
  <si>
    <t>DO-202610-6193</t>
  </si>
  <si>
    <t>OUT01915</t>
  </si>
  <si>
    <t>OUT00348</t>
  </si>
  <si>
    <t>DO-202610-2549</t>
  </si>
  <si>
    <t>OUT00022</t>
  </si>
  <si>
    <t>DO-202610-1750</t>
  </si>
  <si>
    <t>OUT00465</t>
  </si>
  <si>
    <t>DO-202610-7911</t>
  </si>
  <si>
    <t>OUT00994</t>
  </si>
  <si>
    <t>DO-202610-8445</t>
  </si>
  <si>
    <t>OUT01183</t>
  </si>
  <si>
    <t>DO-202610-9836</t>
  </si>
  <si>
    <t>OUT00254</t>
  </si>
  <si>
    <t>DO-202610-3463</t>
  </si>
  <si>
    <t>OUT01871</t>
  </si>
  <si>
    <t>DO-202610-1697</t>
  </si>
  <si>
    <t>OUT01046</t>
  </si>
  <si>
    <t>DO-202610-3697</t>
  </si>
  <si>
    <t>OUT02193</t>
  </si>
  <si>
    <t>DO-202610-8666</t>
  </si>
  <si>
    <t>OUT00582</t>
  </si>
  <si>
    <t>DO-202610-7140</t>
  </si>
  <si>
    <t>OUT01202</t>
  </si>
  <si>
    <t>DO-202610-2501</t>
  </si>
  <si>
    <t>OUT01019</t>
  </si>
  <si>
    <t>DO-202610-9020</t>
  </si>
  <si>
    <t>OUT01940</t>
  </si>
  <si>
    <t>DO-202610-7100</t>
  </si>
  <si>
    <t>OUT01651</t>
  </si>
  <si>
    <t>DO-202610-4831</t>
  </si>
  <si>
    <t>OUT01243</t>
  </si>
  <si>
    <t>OUT00336</t>
  </si>
  <si>
    <t>DO-202610-8606</t>
  </si>
  <si>
    <t>OUT01056</t>
  </si>
  <si>
    <t>DO-202610-1695</t>
  </si>
  <si>
    <t>OUT00087</t>
  </si>
  <si>
    <t>DO-202610-2372</t>
  </si>
  <si>
    <t>OUT00090</t>
  </si>
  <si>
    <t>DO-202610-5871</t>
  </si>
  <si>
    <t>OUT02186</t>
  </si>
  <si>
    <t>DO-202610-7356</t>
  </si>
  <si>
    <t>OUT00018</t>
  </si>
  <si>
    <t>OUT00661</t>
  </si>
  <si>
    <t>DO-202610-5040</t>
  </si>
  <si>
    <t>OUT01620</t>
  </si>
  <si>
    <t>DO-202610-8152</t>
  </si>
  <si>
    <t>OUT00584</t>
  </si>
  <si>
    <t>DO-202610-1833</t>
  </si>
  <si>
    <t>OUT01643</t>
  </si>
  <si>
    <t>OUT02042</t>
  </si>
  <si>
    <t>DO-202610-8433</t>
  </si>
  <si>
    <t>OUT01594</t>
  </si>
  <si>
    <t>DO-202610-8847</t>
  </si>
  <si>
    <t>OUT00327</t>
  </si>
  <si>
    <t>DO-202610-4226</t>
  </si>
  <si>
    <t>OUT00738</t>
  </si>
  <si>
    <t>DO-202610-2098</t>
  </si>
  <si>
    <t>OUT01004</t>
  </si>
  <si>
    <t>DO-202610-7876</t>
  </si>
  <si>
    <t>OUT01896</t>
  </si>
  <si>
    <t>DO-202610-2218</t>
  </si>
  <si>
    <t>OUT01098</t>
  </si>
  <si>
    <t>OUT01128</t>
  </si>
  <si>
    <t>OUT01149</t>
  </si>
  <si>
    <t>DO-202610-5454</t>
  </si>
  <si>
    <t>OUT01934</t>
  </si>
  <si>
    <t>DO-202610-4330</t>
  </si>
  <si>
    <t>OUT00228</t>
  </si>
  <si>
    <t>OUT00369</t>
  </si>
  <si>
    <t>DO-202610-3486</t>
  </si>
  <si>
    <t>OUT00373</t>
  </si>
  <si>
    <t>DO-202610-4016</t>
  </si>
  <si>
    <t>OUT01857</t>
  </si>
  <si>
    <t>DO-202610-1688</t>
  </si>
  <si>
    <t>OUT02131</t>
  </si>
  <si>
    <t>DO-202610-3445</t>
  </si>
  <si>
    <t>OUT01236</t>
  </si>
  <si>
    <t>DO-202610-1576</t>
  </si>
  <si>
    <t>OUT01849</t>
  </si>
  <si>
    <t>DO-202610-8343</t>
  </si>
  <si>
    <t>OUT00939</t>
  </si>
  <si>
    <t>DO-202610-3932</t>
  </si>
  <si>
    <t>OUT00176</t>
  </si>
  <si>
    <t>DO-202610-5542</t>
  </si>
  <si>
    <t>OUT01317</t>
  </si>
  <si>
    <t>DO-202610-9135</t>
  </si>
  <si>
    <t>OUT00389</t>
  </si>
  <si>
    <t>OUT01348</t>
  </si>
  <si>
    <t>DO-202610-7595</t>
  </si>
  <si>
    <t>OUT02147</t>
  </si>
  <si>
    <t>OUT01356</t>
  </si>
  <si>
    <t>DO-202610-5416</t>
  </si>
  <si>
    <t>OUT00917</t>
  </si>
  <si>
    <t>DO-202610-4304</t>
  </si>
  <si>
    <t>OUT00151</t>
  </si>
  <si>
    <t>DO-202610-7747</t>
  </si>
  <si>
    <t>OUT01461</t>
  </si>
  <si>
    <t>DO-202610-4979</t>
  </si>
  <si>
    <t>OUT00864</t>
  </si>
  <si>
    <t>DO-202610-9289</t>
  </si>
  <si>
    <t>OUT00791</t>
  </si>
  <si>
    <t>DO-202610-4112</t>
  </si>
  <si>
    <t>OUT00781</t>
  </si>
  <si>
    <t>DO-202610-1506</t>
  </si>
  <si>
    <t>OUT01553</t>
  </si>
  <si>
    <t>DO-202610-1581</t>
  </si>
  <si>
    <t>OUT01567</t>
  </si>
  <si>
    <t>DO-202610-1696</t>
  </si>
  <si>
    <t>OUT00239</t>
  </si>
  <si>
    <t>DO-202610-7956</t>
  </si>
  <si>
    <t>Total Stock In</t>
  </si>
  <si>
    <t>Total Stock Out</t>
  </si>
  <si>
    <t>Current Stock</t>
  </si>
  <si>
    <t>Stock Status</t>
  </si>
  <si>
    <t>Inventory Value (IDR)</t>
  </si>
  <si>
    <t>Physical Count</t>
  </si>
  <si>
    <t>Variance</t>
  </si>
  <si>
    <t>IN STOCK</t>
  </si>
  <si>
    <t>Sum of Inventory Value (IDR)</t>
  </si>
  <si>
    <t>Count of SKU Code</t>
  </si>
  <si>
    <t>Sum of Total Stock In</t>
  </si>
  <si>
    <t>Sum of Total Stock Out</t>
  </si>
  <si>
    <t>LOW STOCK</t>
  </si>
  <si>
    <t>OUT OF STOCK</t>
  </si>
  <si>
    <t>REORDER</t>
  </si>
  <si>
    <t>Status Variance</t>
  </si>
  <si>
    <t>CONFORM</t>
  </si>
  <si>
    <t>MINUS</t>
  </si>
  <si>
    <t>SURPLUS</t>
  </si>
  <si>
    <t>(Multiple Items)</t>
  </si>
  <si>
    <t>TOTAL SKU</t>
  </si>
  <si>
    <t>TOTAL VALUE IDR</t>
  </si>
  <si>
    <t>REORDER NEEDED</t>
  </si>
  <si>
    <t>CREATED BY NUR LAILA KAMALIYAH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</si>
</sst>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Rp&quot;\ #,##0"/>
    <numFmt numFmtId="165" formatCode="dd/mm/yyyy"/>
    <numFmt numFmtId="166" formatCode="[$Rp-421]#,##0"/>
    <numFmt numFmtId="167" formatCode="0\ &quot;SKU&quot;"/>
  </numFmts>
  <fonts count="7" x14ac:knownFonts="1">
    <font>
      <sz val="11"/>
      <color theme="1"/>
      <name val="Calibri"/>
      <family val="2"/>
      <scheme val="minor"/>
    </font>
    <font>
      <b/>
      <sz val="11"/>
      <color rgb="FFFFFFFF"/>
      <name val="Calibri"/>
      <family val="2"/>
    </font>
    <font>
      <b/>
      <sz val="26"/>
      <color rgb="FF7030A0"/>
      <name val="Calibri"/>
      <family val="2"/>
      <scheme val="minor"/>
    </font>
    <font>
      <b/>
      <sz val="11"/>
      <color rgb="FF7030A0"/>
      <name val="Calibri"/>
      <family val="2"/>
      <scheme val="minor"/>
    </font>
    <font>
      <b/>
      <sz val="26"/>
      <color theme="0"/>
      <name val="Calibri"/>
      <family val="2"/>
      <scheme val="minor"/>
    </font>
    <font>
      <b/>
      <sz val="36"/>
      <color theme="0"/>
      <name val="Calibri"/>
      <family val="2"/>
      <scheme val="minor"/>
    </font>
    <font>
      <sz val="11"/>
      <color theme="0"/>
      <name val="Calibri"/>
      <family val="2"/>
      <scheme val="minor"/>
    </font>
  </fonts>
  <fills count="8">
    <fill>
      <patternFill patternType="none"/>
    </fill>
    <fill>
      <patternFill patternType="gray125"/>
    </fill>
    <fill>
      <patternFill patternType="solid">
        <fgColor rgb="FF1F4E78"/>
      </patternFill>
    </fill>
    <fill>
      <patternFill patternType="solid">
        <fgColor theme="8" tint="-0.499984740745262"/>
        <bgColor indexed="64"/>
      </patternFill>
    </fill>
    <fill>
      <patternFill patternType="solid">
        <fgColor rgb="FF7030A0"/>
        <bgColor indexed="64"/>
      </patternFill>
    </fill>
    <fill>
      <patternFill patternType="solid">
        <fgColor theme="0"/>
        <bgColor indexed="64"/>
      </patternFill>
    </fill>
    <fill>
      <patternFill patternType="solid">
        <fgColor rgb="FFCC99FF"/>
        <bgColor indexed="64"/>
      </patternFill>
    </fill>
    <fill>
      <patternFill patternType="solid">
        <fgColor rgb="FF9900CC"/>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7">
    <xf numFmtId="0" fontId="0" fillId="0" borderId="0" xfId="0"/>
    <xf numFmtId="0" fontId="1" fillId="2" borderId="1" xfId="0" applyFont="1" applyFill="1" applyBorder="1" applyAlignment="1">
      <alignment vertical="center" wrapText="1"/>
    </xf>
    <xf numFmtId="164" fontId="0" fillId="0" borderId="0" xfId="0" applyNumberFormat="1"/>
    <xf numFmtId="165" fontId="0" fillId="0" borderId="0" xfId="0" applyNumberFormat="1"/>
    <xf numFmtId="0" fontId="0" fillId="0" borderId="0" xfId="0" pivotButton="1"/>
    <xf numFmtId="0" fontId="1" fillId="3" borderId="2" xfId="0" applyFont="1" applyFill="1" applyBorder="1" applyAlignment="1">
      <alignment vertical="center" wrapText="1"/>
    </xf>
    <xf numFmtId="0" fontId="1" fillId="2" borderId="2" xfId="0" applyFont="1" applyFill="1" applyBorder="1" applyAlignment="1">
      <alignment vertical="center" wrapText="1"/>
    </xf>
    <xf numFmtId="0" fontId="0" fillId="4" borderId="0" xfId="0" applyFill="1"/>
    <xf numFmtId="0" fontId="0" fillId="5" borderId="0" xfId="0" applyFill="1"/>
    <xf numFmtId="0" fontId="6" fillId="4" borderId="0" xfId="0" applyFont="1" applyFill="1" applyAlignment="1">
      <alignment horizontal="left"/>
    </xf>
    <xf numFmtId="0" fontId="2" fillId="6" borderId="0" xfId="0" applyFont="1" applyFill="1" applyAlignment="1">
      <alignment horizontal="center"/>
    </xf>
    <xf numFmtId="0" fontId="2" fillId="6" borderId="0" xfId="0" applyFont="1" applyFill="1" applyAlignment="1">
      <alignment horizontal="center" vertical="center"/>
    </xf>
    <xf numFmtId="0" fontId="3" fillId="6" borderId="0" xfId="0" applyFont="1" applyFill="1" applyAlignment="1">
      <alignment horizontal="center" vertical="center"/>
    </xf>
    <xf numFmtId="0" fontId="0" fillId="6" borderId="0" xfId="0" applyFill="1" applyAlignment="1">
      <alignment horizontal="center"/>
    </xf>
    <xf numFmtId="167" fontId="5" fillId="7" borderId="0" xfId="0" applyNumberFormat="1" applyFont="1" applyFill="1" applyAlignment="1">
      <alignment horizontal="center" vertical="center"/>
    </xf>
    <xf numFmtId="166" fontId="4" fillId="7" borderId="0" xfId="0" applyNumberFormat="1" applyFont="1" applyFill="1" applyAlignment="1">
      <alignment horizontal="center" vertical="center"/>
    </xf>
    <xf numFmtId="0" fontId="0" fillId="0" borderId="0" xfId="0" applyNumberFormat="1"/>
  </cellXfs>
  <cellStyles count="1">
    <cellStyle name="Normal" xfId="0" builtinId="0"/>
  </cellStyles>
  <dxfs count="20">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patternType="solid">
          <fgColor rgb="FFD9EAD3"/>
        </patternFill>
      </fill>
    </dxf>
    <dxf>
      <fill>
        <patternFill patternType="solid">
          <fgColor rgb="FFFFF2CC"/>
        </patternFill>
      </fill>
    </dxf>
    <dxf>
      <fill>
        <patternFill patternType="solid">
          <fgColor rgb="FFFCE4D6"/>
        </patternFill>
      </fill>
    </dxf>
    <dxf>
      <fill>
        <patternFill patternType="solid">
          <fgColor rgb="FFF4CCC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dxf>
    <dxf>
      <font>
        <b val="0"/>
        <i val="0"/>
        <color rgb="FF7030A0"/>
      </font>
      <fill>
        <patternFill>
          <fgColor rgb="FFFF99FF"/>
          <bgColor rgb="FFFFCCFF"/>
        </patternFill>
      </fill>
    </dxf>
    <dxf>
      <font>
        <b/>
        <i val="0"/>
        <sz val="11"/>
        <name val="Calibri"/>
        <family val="2"/>
        <scheme val="minor"/>
      </font>
    </dxf>
    <dxf>
      <font>
        <b/>
        <i val="0"/>
        <sz val="10"/>
        <name val="Calibri"/>
        <family val="2"/>
        <scheme val="minor"/>
      </font>
    </dxf>
  </dxfs>
  <tableStyles count="2" defaultTableStyle="TableStyleMedium2" defaultPivotStyle="PivotStyleLight16">
    <tableStyle name="purple" pivot="0" table="0" count="6" xr9:uid="{F987D931-AB97-4946-BC7C-D9DC2A1CE617}">
      <tableStyleElement type="wholeTable" dxfId="19"/>
      <tableStyleElement type="headerRow" dxfId="18"/>
    </tableStyle>
    <tableStyle name="Purple Stule" table="0" count="1" xr9:uid="{E54891C8-85B2-4DE2-BE0F-CFC124E5ED19}">
      <tableStyleElement type="wholeTable" dxfId="17"/>
    </tableStyle>
  </tableStyles>
  <colors>
    <mruColors>
      <color rgb="FF9900CC"/>
      <color rgb="FFFFCCFF"/>
      <color rgb="FFCC99FF"/>
      <color rgb="FFCC66FF"/>
      <color rgb="FFCC00CC"/>
      <color rgb="FFCC00FF"/>
      <color rgb="FFFF99FF"/>
      <color rgb="FFFF9966"/>
    </mruColors>
  </colors>
  <extLst>
    <ext xmlns:x14="http://schemas.microsoft.com/office/spreadsheetml/2009/9/main" uri="{46F421CA-312F-682f-3DD2-61675219B42D}">
      <x14:dxfs count="4">
        <dxf>
          <fill>
            <patternFill>
              <bgColor rgb="FFCC99FF"/>
            </patternFill>
          </fill>
        </dxf>
        <dxf>
          <fill>
            <patternFill>
              <bgColor rgb="FFCC99FF"/>
            </patternFill>
          </fill>
        </dxf>
        <dxf>
          <fill>
            <patternFill>
              <bgColor rgb="FFFFCCFF"/>
            </patternFill>
          </fill>
        </dxf>
        <dxf>
          <fill>
            <patternFill>
              <bgColor rgb="FFFFCCFF"/>
            </patternFill>
          </fill>
        </dxf>
      </x14:dxfs>
    </ext>
    <ext xmlns:x14="http://schemas.microsoft.com/office/spreadsheetml/2009/9/main" uri="{EB79DEF2-80B8-43e5-95BD-54CBDDF9020C}">
      <x14:slicerStyles defaultSlicerStyle="SlicerStyleLight1">
        <x14:slicerStyle name="purple">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4.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[IV.xlsx]PIVOT !PivotTable4</c:name>
    <c:fmtId val="40"/>
  </c:pivotSource>
  <c:chart>
    <c:title>
      <c:tx>
        <c:rich>
          <a:bodyPr rot="0" spcFirstLastPara="1" vertOverflow="ellipsis" vert="horz" wrap="square" anchor="ctr" anchorCtr="1"/>
          <a:lstStyle/>
          <a:p>
            <a:pPr>
              <a:defRPr sz="1400" b="1" i="0" u="none" strike="noStrike" kern="1200" spc="0" baseline="0">
                <a:solidFill>
                  <a:srgbClr val="7030A0"/>
                </a:solidFill>
                <a:latin typeface="+mn-lt"/>
                <a:ea typeface="+mn-ea"/>
                <a:cs typeface="+mn-cs"/>
              </a:defRPr>
            </a:pPr>
            <a:r>
              <a:rPr lang="en-US" sz="2000" b="1">
                <a:solidFill>
                  <a:srgbClr val="7030A0"/>
                </a:solidFill>
              </a:rPr>
              <a:t>Items</a:t>
            </a:r>
            <a:r>
              <a:rPr lang="en-US" sz="2000" b="1" baseline="0">
                <a:solidFill>
                  <a:srgbClr val="7030A0"/>
                </a:solidFill>
              </a:rPr>
              <a:t> by Status</a:t>
            </a:r>
            <a:endParaRPr lang="en-US" sz="2000" b="1">
              <a:solidFill>
                <a:srgbClr val="7030A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7030A0"/>
          </a:solidFill>
          <a:ln w="19050">
            <a:solidFill>
              <a:schemeClr val="lt1"/>
            </a:solidFill>
          </a:ln>
          <a:effectLst/>
        </c:spPr>
      </c:pivotFmt>
      <c:pivotFmt>
        <c:idx val="2"/>
        <c:spPr>
          <a:solidFill>
            <a:schemeClr val="bg1"/>
          </a:solidFill>
          <a:ln w="19050">
            <a:solidFill>
              <a:schemeClr val="lt1"/>
            </a:solidFill>
          </a:ln>
          <a:effectLst/>
        </c:spPr>
      </c:pivotFmt>
      <c:pivotFmt>
        <c:idx val="3"/>
        <c:spPr>
          <a:solidFill>
            <a:srgbClr val="CC00CC"/>
          </a:solidFill>
          <a:ln w="19050">
            <a:solidFill>
              <a:schemeClr val="lt1"/>
            </a:solidFill>
          </a:ln>
          <a:effectLst/>
        </c:spPr>
      </c:pivotFmt>
      <c:pivotFmt>
        <c:idx val="4"/>
        <c:spPr>
          <a:solidFill>
            <a:srgbClr val="9900CC"/>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7030A0"/>
          </a:solidFill>
          <a:ln w="19050">
            <a:solidFill>
              <a:schemeClr val="lt1"/>
            </a:solidFill>
          </a:ln>
          <a:effectLst/>
        </c:spPr>
      </c:pivotFmt>
      <c:pivotFmt>
        <c:idx val="7"/>
        <c:spPr>
          <a:solidFill>
            <a:schemeClr val="bg1"/>
          </a:solidFill>
          <a:ln w="19050">
            <a:solidFill>
              <a:schemeClr val="lt1"/>
            </a:solidFill>
          </a:ln>
          <a:effectLst/>
        </c:spPr>
      </c:pivotFmt>
      <c:pivotFmt>
        <c:idx val="8"/>
        <c:spPr>
          <a:solidFill>
            <a:srgbClr val="CC00CC"/>
          </a:solidFill>
          <a:ln w="19050">
            <a:solidFill>
              <a:schemeClr val="lt1"/>
            </a:solidFill>
          </a:ln>
          <a:effectLst/>
        </c:spPr>
      </c:pivotFmt>
      <c:pivotFmt>
        <c:idx val="9"/>
        <c:spPr>
          <a:solidFill>
            <a:srgbClr val="9900CC"/>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7030A0"/>
          </a:solidFill>
          <a:ln w="19050">
            <a:solidFill>
              <a:schemeClr val="lt1"/>
            </a:solidFill>
          </a:ln>
          <a:effectLst/>
        </c:spPr>
      </c:pivotFmt>
      <c:pivotFmt>
        <c:idx val="12"/>
        <c:spPr>
          <a:solidFill>
            <a:schemeClr val="bg1"/>
          </a:solidFill>
          <a:ln w="19050">
            <a:solidFill>
              <a:schemeClr val="lt1"/>
            </a:solidFill>
          </a:ln>
          <a:effectLst/>
        </c:spPr>
      </c:pivotFmt>
      <c:pivotFmt>
        <c:idx val="13"/>
        <c:spPr>
          <a:solidFill>
            <a:srgbClr val="CC00CC"/>
          </a:solidFill>
          <a:ln w="19050">
            <a:solidFill>
              <a:schemeClr val="lt1"/>
            </a:solidFill>
          </a:ln>
          <a:effectLst/>
        </c:spPr>
      </c:pivotFmt>
      <c:pivotFmt>
        <c:idx val="14"/>
        <c:spPr>
          <a:solidFill>
            <a:srgbClr val="9900CC"/>
          </a:solidFill>
          <a:ln w="19050">
            <a:solidFill>
              <a:schemeClr val="lt1"/>
            </a:solidFill>
          </a:ln>
          <a:effectLst/>
        </c:spPr>
      </c:pivotFmt>
    </c:pivotFmts>
    <c:plotArea>
      <c:layout/>
      <c:pieChart>
        <c:varyColors val="1"/>
        <c:ser>
          <c:idx val="0"/>
          <c:order val="0"/>
          <c:tx>
            <c:strRef>
              <c:f>'PIVOT '!$F$11</c:f>
              <c:strCache>
                <c:ptCount val="1"/>
                <c:pt idx="0">
                  <c:v>Total</c:v>
                </c:pt>
              </c:strCache>
            </c:strRef>
          </c:tx>
          <c:dPt>
            <c:idx val="0"/>
            <c:bubble3D val="0"/>
            <c:spPr>
              <a:solidFill>
                <a:srgbClr val="7030A0"/>
              </a:solidFill>
              <a:ln w="19050">
                <a:solidFill>
                  <a:schemeClr val="lt1"/>
                </a:solidFill>
              </a:ln>
              <a:effectLst/>
            </c:spPr>
            <c:extLst>
              <c:ext xmlns:c16="http://schemas.microsoft.com/office/drawing/2014/chart" uri="{C3380CC4-5D6E-409C-BE32-E72D297353CC}">
                <c16:uniqueId val="{00000001-9970-441B-9FC3-C5F522CC742D}"/>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3-9970-441B-9FC3-C5F522CC742D}"/>
              </c:ext>
            </c:extLst>
          </c:dPt>
          <c:dPt>
            <c:idx val="2"/>
            <c:bubble3D val="0"/>
            <c:spPr>
              <a:solidFill>
                <a:srgbClr val="CC00CC"/>
              </a:solidFill>
              <a:ln w="19050">
                <a:solidFill>
                  <a:schemeClr val="lt1"/>
                </a:solidFill>
              </a:ln>
              <a:effectLst/>
            </c:spPr>
            <c:extLst>
              <c:ext xmlns:c16="http://schemas.microsoft.com/office/drawing/2014/chart" uri="{C3380CC4-5D6E-409C-BE32-E72D297353CC}">
                <c16:uniqueId val="{00000005-9970-441B-9FC3-C5F522CC742D}"/>
              </c:ext>
            </c:extLst>
          </c:dPt>
          <c:dPt>
            <c:idx val="3"/>
            <c:bubble3D val="0"/>
            <c:spPr>
              <a:solidFill>
                <a:srgbClr val="9900CC"/>
              </a:solidFill>
              <a:ln w="19050">
                <a:solidFill>
                  <a:schemeClr val="lt1"/>
                </a:solidFill>
              </a:ln>
              <a:effectLst/>
            </c:spPr>
            <c:extLst>
              <c:ext xmlns:c16="http://schemas.microsoft.com/office/drawing/2014/chart" uri="{C3380CC4-5D6E-409C-BE32-E72D297353CC}">
                <c16:uniqueId val="{00000007-9970-441B-9FC3-C5F522CC742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'!$E$12:$E$15</c:f>
              <c:strCache>
                <c:ptCount val="4"/>
                <c:pt idx="0">
                  <c:v>IN STOCK</c:v>
                </c:pt>
                <c:pt idx="1">
                  <c:v>LOW STOCK</c:v>
                </c:pt>
                <c:pt idx="2">
                  <c:v>OUT OF STOCK</c:v>
                </c:pt>
                <c:pt idx="3">
                  <c:v>REORDER</c:v>
                </c:pt>
              </c:strCache>
            </c:strRef>
          </c:cat>
          <c:val>
            <c:numRef>
              <c:f>'PIVOT '!$F$12:$F$15</c:f>
              <c:numCache>
                <c:formatCode>General</c:formatCode>
                <c:ptCount val="4"/>
                <c:pt idx="0">
                  <c:v>387</c:v>
                </c:pt>
                <c:pt idx="1">
                  <c:v>27</c:v>
                </c:pt>
                <c:pt idx="2">
                  <c:v>58</c:v>
                </c:pt>
                <c:pt idx="3">
                  <c:v>28</c:v>
                </c:pt>
              </c:numCache>
            </c:numRef>
          </c:val>
          <c:extLst>
            <c:ext xmlns:c16="http://schemas.microsoft.com/office/drawing/2014/chart" uri="{C3380CC4-5D6E-409C-BE32-E72D297353CC}">
              <c16:uniqueId val="{00000008-9970-441B-9FC3-C5F522CC742D}"/>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6426023153547407"/>
          <c:y val="0.37028828437398253"/>
          <c:w val="0.22228517902814429"/>
          <c:h val="0.29069410261174927"/>
        </c:manualLayout>
      </c:layout>
      <c:overlay val="0"/>
      <c:spPr>
        <a:solidFill>
          <a:srgbClr val="7030A0"/>
        </a:solid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C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[IV.xlsx]PIVOT !PivotTable3</c:name>
    <c:fmtId val="7"/>
  </c:pivotSource>
  <c:chart>
    <c:title>
      <c:tx>
        <c:rich>
          <a:bodyPr rot="0" spcFirstLastPara="1" vertOverflow="ellipsis" vert="horz" wrap="square" anchor="ctr" anchorCtr="1"/>
          <a:lstStyle/>
          <a:p>
            <a:pPr>
              <a:defRPr sz="2000" b="1" i="0" u="none" strike="noStrike" kern="1200" spc="0" baseline="0">
                <a:solidFill>
                  <a:srgbClr val="7030A0"/>
                </a:solidFill>
                <a:latin typeface="+mn-lt"/>
                <a:ea typeface="+mn-ea"/>
                <a:cs typeface="+mn-cs"/>
              </a:defRPr>
            </a:pPr>
            <a:r>
              <a:rPr lang="en-US" sz="2000" b="1">
                <a:solidFill>
                  <a:srgbClr val="7030A0"/>
                </a:solidFill>
              </a:rPr>
              <a:t>Status</a:t>
            </a:r>
            <a:r>
              <a:rPr lang="en-US" sz="2000" b="1" baseline="0">
                <a:solidFill>
                  <a:srgbClr val="7030A0"/>
                </a:solidFill>
              </a:rPr>
              <a:t> Variance of Items by Category</a:t>
            </a:r>
            <a:endParaRPr lang="en-US" sz="2000" b="1">
              <a:solidFill>
                <a:srgbClr val="7030A0"/>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ysClr val="window" lastClr="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ysClr val="window" lastClr="FFFFFF"/>
          </a:solidFill>
          <a:ln>
            <a:noFill/>
          </a:ln>
          <a:effectLst/>
        </c:spPr>
      </c:pivotFmt>
      <c:pivotFmt>
        <c:idx val="12"/>
        <c:spPr>
          <a:solidFill>
            <a:sysClr val="window" lastClr="FFFFFF"/>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ysClr val="window" lastClr="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ysClr val="window" lastClr="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'!$F$3:$F$4</c:f>
              <c:strCache>
                <c:ptCount val="1"/>
                <c:pt idx="0">
                  <c:v>CONFORM</c:v>
                </c:pt>
              </c:strCache>
            </c:strRef>
          </c:tx>
          <c:spPr>
            <a:solidFill>
              <a:srgbClr val="7030A0"/>
            </a:solidFill>
            <a:ln>
              <a:noFill/>
            </a:ln>
            <a:effectLst/>
          </c:spPr>
          <c:invertIfNegative val="0"/>
          <c:cat>
            <c:strRef>
              <c:f>'PIVOT '!$E$5:$E$9</c:f>
              <c:strCache>
                <c:ptCount val="5"/>
                <c:pt idx="0">
                  <c:v>Computer Accessories</c:v>
                </c:pt>
                <c:pt idx="1">
                  <c:v>Computer Hardware</c:v>
                </c:pt>
                <c:pt idx="2">
                  <c:v>Electrical Supplies</c:v>
                </c:pt>
                <c:pt idx="3">
                  <c:v>Office Supplies</c:v>
                </c:pt>
                <c:pt idx="4">
                  <c:v>Packaging Materials</c:v>
                </c:pt>
              </c:strCache>
            </c:strRef>
          </c:cat>
          <c:val>
            <c:numRef>
              <c:f>'PIVOT '!$F$5:$F$9</c:f>
              <c:numCache>
                <c:formatCode>General</c:formatCode>
                <c:ptCount val="5"/>
                <c:pt idx="0">
                  <c:v>44</c:v>
                </c:pt>
                <c:pt idx="1">
                  <c:v>41</c:v>
                </c:pt>
                <c:pt idx="2">
                  <c:v>43</c:v>
                </c:pt>
                <c:pt idx="3">
                  <c:v>37</c:v>
                </c:pt>
                <c:pt idx="4">
                  <c:v>36</c:v>
                </c:pt>
              </c:numCache>
            </c:numRef>
          </c:val>
          <c:extLst>
            <c:ext xmlns:c16="http://schemas.microsoft.com/office/drawing/2014/chart" uri="{C3380CC4-5D6E-409C-BE32-E72D297353CC}">
              <c16:uniqueId val="{00000007-9722-4809-B693-DC79847C20BC}"/>
            </c:ext>
          </c:extLst>
        </c:ser>
        <c:ser>
          <c:idx val="1"/>
          <c:order val="1"/>
          <c:tx>
            <c:strRef>
              <c:f>'PIVOT '!$G$3:$G$4</c:f>
              <c:strCache>
                <c:ptCount val="1"/>
                <c:pt idx="0">
                  <c:v>MINUS</c:v>
                </c:pt>
              </c:strCache>
            </c:strRef>
          </c:tx>
          <c:spPr>
            <a:solidFill>
              <a:schemeClr val="accent5">
                <a:lumMod val="75000"/>
              </a:schemeClr>
            </a:solidFill>
            <a:ln>
              <a:noFill/>
            </a:ln>
            <a:effectLst/>
          </c:spPr>
          <c:invertIfNegative val="0"/>
          <c:cat>
            <c:strRef>
              <c:f>'PIVOT '!$E$5:$E$9</c:f>
              <c:strCache>
                <c:ptCount val="5"/>
                <c:pt idx="0">
                  <c:v>Computer Accessories</c:v>
                </c:pt>
                <c:pt idx="1">
                  <c:v>Computer Hardware</c:v>
                </c:pt>
                <c:pt idx="2">
                  <c:v>Electrical Supplies</c:v>
                </c:pt>
                <c:pt idx="3">
                  <c:v>Office Supplies</c:v>
                </c:pt>
                <c:pt idx="4">
                  <c:v>Packaging Materials</c:v>
                </c:pt>
              </c:strCache>
            </c:strRef>
          </c:cat>
          <c:val>
            <c:numRef>
              <c:f>'PIVOT '!$G$5:$G$9</c:f>
              <c:numCache>
                <c:formatCode>General</c:formatCode>
                <c:ptCount val="5"/>
                <c:pt idx="0">
                  <c:v>32</c:v>
                </c:pt>
                <c:pt idx="1">
                  <c:v>25</c:v>
                </c:pt>
                <c:pt idx="2">
                  <c:v>36</c:v>
                </c:pt>
                <c:pt idx="3">
                  <c:v>28</c:v>
                </c:pt>
                <c:pt idx="4">
                  <c:v>37</c:v>
                </c:pt>
              </c:numCache>
            </c:numRef>
          </c:val>
          <c:extLst>
            <c:ext xmlns:c16="http://schemas.microsoft.com/office/drawing/2014/chart" uri="{C3380CC4-5D6E-409C-BE32-E72D297353CC}">
              <c16:uniqueId val="{00000001-8BAA-4884-A8D2-04B92FC4B058}"/>
            </c:ext>
          </c:extLst>
        </c:ser>
        <c:ser>
          <c:idx val="2"/>
          <c:order val="2"/>
          <c:tx>
            <c:strRef>
              <c:f>'PIVOT '!$H$3:$H$4</c:f>
              <c:strCache>
                <c:ptCount val="1"/>
                <c:pt idx="0">
                  <c:v>SURPLUS</c:v>
                </c:pt>
              </c:strCache>
            </c:strRef>
          </c:tx>
          <c:spPr>
            <a:solidFill>
              <a:sysClr val="window" lastClr="FFFFFF"/>
            </a:solidFill>
            <a:ln>
              <a:noFill/>
            </a:ln>
            <a:effectLst/>
          </c:spPr>
          <c:invertIfNegative val="0"/>
          <c:cat>
            <c:strRef>
              <c:f>'PIVOT '!$E$5:$E$9</c:f>
              <c:strCache>
                <c:ptCount val="5"/>
                <c:pt idx="0">
                  <c:v>Computer Accessories</c:v>
                </c:pt>
                <c:pt idx="1">
                  <c:v>Computer Hardware</c:v>
                </c:pt>
                <c:pt idx="2">
                  <c:v>Electrical Supplies</c:v>
                </c:pt>
                <c:pt idx="3">
                  <c:v>Office Supplies</c:v>
                </c:pt>
                <c:pt idx="4">
                  <c:v>Packaging Materials</c:v>
                </c:pt>
              </c:strCache>
            </c:strRef>
          </c:cat>
          <c:val>
            <c:numRef>
              <c:f>'PIVOT '!$H$5:$H$9</c:f>
              <c:numCache>
                <c:formatCode>General</c:formatCode>
                <c:ptCount val="5"/>
                <c:pt idx="0">
                  <c:v>24</c:v>
                </c:pt>
                <c:pt idx="1">
                  <c:v>34</c:v>
                </c:pt>
                <c:pt idx="2">
                  <c:v>21</c:v>
                </c:pt>
                <c:pt idx="3">
                  <c:v>35</c:v>
                </c:pt>
                <c:pt idx="4">
                  <c:v>27</c:v>
                </c:pt>
              </c:numCache>
            </c:numRef>
          </c:val>
          <c:extLst>
            <c:ext xmlns:c16="http://schemas.microsoft.com/office/drawing/2014/chart" uri="{C3380CC4-5D6E-409C-BE32-E72D297353CC}">
              <c16:uniqueId val="{00000002-8BAA-4884-A8D2-04B92FC4B058}"/>
            </c:ext>
          </c:extLst>
        </c:ser>
        <c:dLbls>
          <c:showLegendKey val="0"/>
          <c:showVal val="0"/>
          <c:showCatName val="0"/>
          <c:showSerName val="0"/>
          <c:showPercent val="0"/>
          <c:showBubbleSize val="0"/>
        </c:dLbls>
        <c:gapWidth val="182"/>
        <c:axId val="186697584"/>
        <c:axId val="186696624"/>
      </c:barChart>
      <c:catAx>
        <c:axId val="186697584"/>
        <c:scaling>
          <c:orientation val="minMax"/>
        </c:scaling>
        <c:delete val="0"/>
        <c:axPos val="l"/>
        <c:title>
          <c:tx>
            <c:rich>
              <a:bodyPr rot="-5400000" spcFirstLastPara="1" vertOverflow="ellipsis" vert="horz" wrap="square" anchor="ctr" anchorCtr="1"/>
              <a:lstStyle/>
              <a:p>
                <a:pPr>
                  <a:defRPr sz="1200" b="1" i="0" u="none" strike="noStrike" kern="1200" baseline="0">
                    <a:solidFill>
                      <a:srgbClr val="7030A0"/>
                    </a:solidFill>
                    <a:latin typeface="+mn-lt"/>
                    <a:ea typeface="+mn-ea"/>
                    <a:cs typeface="+mn-cs"/>
                  </a:defRPr>
                </a:pPr>
                <a:r>
                  <a:rPr lang="en-US" sz="1200" b="1">
                    <a:solidFill>
                      <a:srgbClr val="7030A0"/>
                    </a:solidFill>
                  </a:rPr>
                  <a:t>Category</a:t>
                </a:r>
              </a:p>
            </c:rich>
          </c:tx>
          <c:overlay val="0"/>
          <c:spPr>
            <a:noFill/>
            <a:ln>
              <a:noFill/>
            </a:ln>
            <a:effectLst/>
          </c:spPr>
          <c:txPr>
            <a:bodyPr rot="-5400000" spcFirstLastPara="1" vertOverflow="ellipsis" vert="horz" wrap="square" anchor="ctr" anchorCtr="1"/>
            <a:lstStyle/>
            <a:p>
              <a:pPr>
                <a:defRPr sz="1200" b="1" i="0" u="none" strike="noStrike" kern="1200" baseline="0">
                  <a:solidFill>
                    <a:srgbClr val="7030A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186696624"/>
        <c:crosses val="autoZero"/>
        <c:auto val="1"/>
        <c:lblAlgn val="ctr"/>
        <c:lblOffset val="100"/>
        <c:noMultiLvlLbl val="0"/>
      </c:catAx>
      <c:valAx>
        <c:axId val="186696624"/>
        <c:scaling>
          <c:orientation val="minMax"/>
        </c:scaling>
        <c:delete val="0"/>
        <c:axPos val="b"/>
        <c:majorGridlines>
          <c:spPr>
            <a:ln w="9525" cap="flat" cmpd="sng" algn="ctr">
              <a:solidFill>
                <a:schemeClr val="bg1"/>
              </a:solidFill>
              <a:round/>
            </a:ln>
            <a:effectLst/>
          </c:spPr>
        </c:majorGridlines>
        <c:title>
          <c:tx>
            <c:rich>
              <a:bodyPr rot="0" spcFirstLastPara="1" vertOverflow="ellipsis" vert="horz" wrap="square" anchor="ctr" anchorCtr="1"/>
              <a:lstStyle/>
              <a:p>
                <a:pPr>
                  <a:defRPr sz="1200" b="1" i="0" u="none" strike="noStrike" kern="1200" baseline="0">
                    <a:solidFill>
                      <a:srgbClr val="7030A0"/>
                    </a:solidFill>
                    <a:latin typeface="+mn-lt"/>
                    <a:ea typeface="+mn-ea"/>
                    <a:cs typeface="+mn-cs"/>
                  </a:defRPr>
                </a:pPr>
                <a:r>
                  <a:rPr lang="en-US" sz="1200" b="1">
                    <a:solidFill>
                      <a:srgbClr val="7030A0"/>
                    </a:solidFill>
                  </a:rPr>
                  <a:t>Count</a:t>
                </a:r>
                <a:r>
                  <a:rPr lang="en-US" sz="1200" b="1" baseline="0">
                    <a:solidFill>
                      <a:srgbClr val="7030A0"/>
                    </a:solidFill>
                  </a:rPr>
                  <a:t> of SKU</a:t>
                </a:r>
                <a:endParaRPr lang="en-US" sz="1200" b="1">
                  <a:solidFill>
                    <a:srgbClr val="7030A0"/>
                  </a:solidFill>
                </a:endParaRPr>
              </a:p>
            </c:rich>
          </c:tx>
          <c:overlay val="0"/>
          <c:spPr>
            <a:noFill/>
            <a:ln>
              <a:noFill/>
            </a:ln>
            <a:effectLst/>
          </c:spPr>
          <c:txPr>
            <a:bodyPr rot="0" spcFirstLastPara="1" vertOverflow="ellipsis" vert="horz" wrap="square" anchor="ctr" anchorCtr="1"/>
            <a:lstStyle/>
            <a:p>
              <a:pPr>
                <a:defRPr sz="1200" b="1" i="0" u="none" strike="noStrike" kern="1200" baseline="0">
                  <a:solidFill>
                    <a:srgbClr val="7030A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97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C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[IV.xlsx]PIVOT !PivotTable2</c:name>
    <c:fmtId val="6"/>
  </c:pivotSource>
  <c:chart>
    <c:title>
      <c:tx>
        <c:rich>
          <a:bodyPr rot="0" spcFirstLastPara="1" vertOverflow="ellipsis" vert="horz" wrap="square" anchor="ctr" anchorCtr="1"/>
          <a:lstStyle/>
          <a:p>
            <a:pPr>
              <a:defRPr sz="3200" b="1" i="0" u="none" strike="noStrike" kern="1200" spc="0" baseline="0">
                <a:solidFill>
                  <a:srgbClr val="7030A0"/>
                </a:solidFill>
                <a:latin typeface="+mn-lt"/>
                <a:ea typeface="+mn-ea"/>
                <a:cs typeface="+mn-cs"/>
              </a:defRPr>
            </a:pPr>
            <a:r>
              <a:rPr lang="en-US" sz="3200" b="1" i="0" u="none" strike="noStrike" baseline="0">
                <a:solidFill>
                  <a:srgbClr val="7030A0"/>
                </a:solidFill>
              </a:rPr>
              <a:t>Stock In vs Stock Out by Warehouse Location</a:t>
            </a:r>
            <a:endParaRPr lang="en-US" sz="3200" b="1">
              <a:solidFill>
                <a:srgbClr val="7030A0"/>
              </a:solidFill>
            </a:endParaRPr>
          </a:p>
        </c:rich>
      </c:tx>
      <c:overlay val="0"/>
      <c:spPr>
        <a:noFill/>
        <a:ln>
          <a:noFill/>
        </a:ln>
        <a:effectLst/>
      </c:spPr>
      <c:txPr>
        <a:bodyPr rot="0" spcFirstLastPara="1" vertOverflow="ellipsis" vert="horz" wrap="square" anchor="ctr" anchorCtr="1"/>
        <a:lstStyle/>
        <a:p>
          <a:pPr>
            <a:defRPr sz="3200" b="1"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'!$B$11</c:f>
              <c:strCache>
                <c:ptCount val="1"/>
                <c:pt idx="0">
                  <c:v>Sum of Total Stock In</c:v>
                </c:pt>
              </c:strCache>
            </c:strRef>
          </c:tx>
          <c:spPr>
            <a:ln w="28575" cap="rnd">
              <a:solidFill>
                <a:schemeClr val="accent1"/>
              </a:solidFill>
              <a:round/>
            </a:ln>
            <a:effectLst/>
          </c:spPr>
          <c:marker>
            <c:symbol val="none"/>
          </c:marker>
          <c:cat>
            <c:strRef>
              <c:f>'PIVOT '!$A$12:$A$110</c:f>
              <c:strCache>
                <c:ptCount val="99"/>
                <c:pt idx="0">
                  <c:v>A-01-01</c:v>
                </c:pt>
                <c:pt idx="1">
                  <c:v>A-01-02</c:v>
                </c:pt>
                <c:pt idx="2">
                  <c:v>A-02-01</c:v>
                </c:pt>
                <c:pt idx="3">
                  <c:v>A-02-02</c:v>
                </c:pt>
                <c:pt idx="4">
                  <c:v>A-03-01</c:v>
                </c:pt>
                <c:pt idx="5">
                  <c:v>A-03-02</c:v>
                </c:pt>
                <c:pt idx="6">
                  <c:v>A-04-01</c:v>
                </c:pt>
                <c:pt idx="7">
                  <c:v>A-04-02</c:v>
                </c:pt>
                <c:pt idx="8">
                  <c:v>A-05-01</c:v>
                </c:pt>
                <c:pt idx="9">
                  <c:v>A-05-02</c:v>
                </c:pt>
                <c:pt idx="10">
                  <c:v>A-06-01</c:v>
                </c:pt>
                <c:pt idx="11">
                  <c:v>A-06-02</c:v>
                </c:pt>
                <c:pt idx="12">
                  <c:v>A-07-01</c:v>
                </c:pt>
                <c:pt idx="13">
                  <c:v>A-07-02</c:v>
                </c:pt>
                <c:pt idx="14">
                  <c:v>A-08-01</c:v>
                </c:pt>
                <c:pt idx="15">
                  <c:v>A-08-02</c:v>
                </c:pt>
                <c:pt idx="16">
                  <c:v>A-09-01</c:v>
                </c:pt>
                <c:pt idx="17">
                  <c:v>A-09-02</c:v>
                </c:pt>
                <c:pt idx="18">
                  <c:v>A-10-01</c:v>
                </c:pt>
                <c:pt idx="19">
                  <c:v>A-10-02</c:v>
                </c:pt>
                <c:pt idx="20">
                  <c:v>B-01-01</c:v>
                </c:pt>
                <c:pt idx="21">
                  <c:v>B-01-02</c:v>
                </c:pt>
                <c:pt idx="22">
                  <c:v>B-02-01</c:v>
                </c:pt>
                <c:pt idx="23">
                  <c:v>B-02-02</c:v>
                </c:pt>
                <c:pt idx="24">
                  <c:v>B-03-01</c:v>
                </c:pt>
                <c:pt idx="25">
                  <c:v>B-03-02</c:v>
                </c:pt>
                <c:pt idx="26">
                  <c:v>B-04-01</c:v>
                </c:pt>
                <c:pt idx="27">
                  <c:v>B-04-02</c:v>
                </c:pt>
                <c:pt idx="28">
                  <c:v>B-05-01</c:v>
                </c:pt>
                <c:pt idx="29">
                  <c:v>B-05-02</c:v>
                </c:pt>
                <c:pt idx="30">
                  <c:v>B-06-01</c:v>
                </c:pt>
                <c:pt idx="31">
                  <c:v>B-06-02</c:v>
                </c:pt>
                <c:pt idx="32">
                  <c:v>B-07-01</c:v>
                </c:pt>
                <c:pt idx="33">
                  <c:v>B-07-02</c:v>
                </c:pt>
                <c:pt idx="34">
                  <c:v>B-08-01</c:v>
                </c:pt>
                <c:pt idx="35">
                  <c:v>B-08-02</c:v>
                </c:pt>
                <c:pt idx="36">
                  <c:v>B-09-01</c:v>
                </c:pt>
                <c:pt idx="37">
                  <c:v>B-09-02</c:v>
                </c:pt>
                <c:pt idx="38">
                  <c:v>B-10-01</c:v>
                </c:pt>
                <c:pt idx="39">
                  <c:v>B-10-02</c:v>
                </c:pt>
                <c:pt idx="40">
                  <c:v>C-01-01</c:v>
                </c:pt>
                <c:pt idx="41">
                  <c:v>C-01-02</c:v>
                </c:pt>
                <c:pt idx="42">
                  <c:v>C-02-01</c:v>
                </c:pt>
                <c:pt idx="43">
                  <c:v>C-02-02</c:v>
                </c:pt>
                <c:pt idx="44">
                  <c:v>C-03-01</c:v>
                </c:pt>
                <c:pt idx="45">
                  <c:v>C-03-02</c:v>
                </c:pt>
                <c:pt idx="46">
                  <c:v>C-04-01</c:v>
                </c:pt>
                <c:pt idx="47">
                  <c:v>C-04-02</c:v>
                </c:pt>
                <c:pt idx="48">
                  <c:v>C-05-01</c:v>
                </c:pt>
                <c:pt idx="49">
                  <c:v>C-05-02</c:v>
                </c:pt>
                <c:pt idx="50">
                  <c:v>C-06-01</c:v>
                </c:pt>
                <c:pt idx="51">
                  <c:v>C-06-02</c:v>
                </c:pt>
                <c:pt idx="52">
                  <c:v>C-07-01</c:v>
                </c:pt>
                <c:pt idx="53">
                  <c:v>C-07-02</c:v>
                </c:pt>
                <c:pt idx="54">
                  <c:v>C-08-01</c:v>
                </c:pt>
                <c:pt idx="55">
                  <c:v>C-09-01</c:v>
                </c:pt>
                <c:pt idx="56">
                  <c:v>C-09-02</c:v>
                </c:pt>
                <c:pt idx="57">
                  <c:v>C-10-01</c:v>
                </c:pt>
                <c:pt idx="58">
                  <c:v>C-10-02</c:v>
                </c:pt>
                <c:pt idx="59">
                  <c:v>D-01-01</c:v>
                </c:pt>
                <c:pt idx="60">
                  <c:v>D-01-02</c:v>
                </c:pt>
                <c:pt idx="61">
                  <c:v>D-02-01</c:v>
                </c:pt>
                <c:pt idx="62">
                  <c:v>D-02-02</c:v>
                </c:pt>
                <c:pt idx="63">
                  <c:v>D-03-01</c:v>
                </c:pt>
                <c:pt idx="64">
                  <c:v>D-03-02</c:v>
                </c:pt>
                <c:pt idx="65">
                  <c:v>D-04-01</c:v>
                </c:pt>
                <c:pt idx="66">
                  <c:v>D-04-02</c:v>
                </c:pt>
                <c:pt idx="67">
                  <c:v>D-05-01</c:v>
                </c:pt>
                <c:pt idx="68">
                  <c:v>D-05-02</c:v>
                </c:pt>
                <c:pt idx="69">
                  <c:v>D-06-01</c:v>
                </c:pt>
                <c:pt idx="70">
                  <c:v>D-06-02</c:v>
                </c:pt>
                <c:pt idx="71">
                  <c:v>D-07-01</c:v>
                </c:pt>
                <c:pt idx="72">
                  <c:v>D-07-02</c:v>
                </c:pt>
                <c:pt idx="73">
                  <c:v>D-08-01</c:v>
                </c:pt>
                <c:pt idx="74">
                  <c:v>D-08-02</c:v>
                </c:pt>
                <c:pt idx="75">
                  <c:v>D-09-01</c:v>
                </c:pt>
                <c:pt idx="76">
                  <c:v>D-09-02</c:v>
                </c:pt>
                <c:pt idx="77">
                  <c:v>D-10-01</c:v>
                </c:pt>
                <c:pt idx="78">
                  <c:v>D-10-02</c:v>
                </c:pt>
                <c:pt idx="79">
                  <c:v>E-01-01</c:v>
                </c:pt>
                <c:pt idx="80">
                  <c:v>E-01-02</c:v>
                </c:pt>
                <c:pt idx="81">
                  <c:v>E-02-01</c:v>
                </c:pt>
                <c:pt idx="82">
                  <c:v>E-02-02</c:v>
                </c:pt>
                <c:pt idx="83">
                  <c:v>E-03-01</c:v>
                </c:pt>
                <c:pt idx="84">
                  <c:v>E-03-02</c:v>
                </c:pt>
                <c:pt idx="85">
                  <c:v>E-04-01</c:v>
                </c:pt>
                <c:pt idx="86">
                  <c:v>E-04-02</c:v>
                </c:pt>
                <c:pt idx="87">
                  <c:v>E-05-01</c:v>
                </c:pt>
                <c:pt idx="88">
                  <c:v>E-05-02</c:v>
                </c:pt>
                <c:pt idx="89">
                  <c:v>E-06-01</c:v>
                </c:pt>
                <c:pt idx="90">
                  <c:v>E-06-02</c:v>
                </c:pt>
                <c:pt idx="91">
                  <c:v>E-07-01</c:v>
                </c:pt>
                <c:pt idx="92">
                  <c:v>E-07-02</c:v>
                </c:pt>
                <c:pt idx="93">
                  <c:v>E-08-01</c:v>
                </c:pt>
                <c:pt idx="94">
                  <c:v>E-08-02</c:v>
                </c:pt>
                <c:pt idx="95">
                  <c:v>E-09-01</c:v>
                </c:pt>
                <c:pt idx="96">
                  <c:v>E-09-02</c:v>
                </c:pt>
                <c:pt idx="97">
                  <c:v>E-10-01</c:v>
                </c:pt>
                <c:pt idx="98">
                  <c:v>E-10-02</c:v>
                </c:pt>
              </c:strCache>
            </c:strRef>
          </c:cat>
          <c:val>
            <c:numRef>
              <c:f>'PIVOT '!$B$12:$B$110</c:f>
              <c:numCache>
                <c:formatCode>General</c:formatCode>
                <c:ptCount val="99"/>
                <c:pt idx="0">
                  <c:v>411</c:v>
                </c:pt>
                <c:pt idx="1">
                  <c:v>208</c:v>
                </c:pt>
                <c:pt idx="2">
                  <c:v>741</c:v>
                </c:pt>
                <c:pt idx="3">
                  <c:v>626</c:v>
                </c:pt>
                <c:pt idx="4">
                  <c:v>527</c:v>
                </c:pt>
                <c:pt idx="5">
                  <c:v>663</c:v>
                </c:pt>
                <c:pt idx="6">
                  <c:v>437</c:v>
                </c:pt>
                <c:pt idx="7">
                  <c:v>769</c:v>
                </c:pt>
                <c:pt idx="8">
                  <c:v>1094</c:v>
                </c:pt>
                <c:pt idx="9">
                  <c:v>1146</c:v>
                </c:pt>
                <c:pt idx="10">
                  <c:v>948</c:v>
                </c:pt>
                <c:pt idx="11">
                  <c:v>1156</c:v>
                </c:pt>
                <c:pt idx="12">
                  <c:v>386</c:v>
                </c:pt>
                <c:pt idx="13">
                  <c:v>1170</c:v>
                </c:pt>
                <c:pt idx="14">
                  <c:v>682</c:v>
                </c:pt>
                <c:pt idx="15">
                  <c:v>259</c:v>
                </c:pt>
                <c:pt idx="16">
                  <c:v>416</c:v>
                </c:pt>
                <c:pt idx="17">
                  <c:v>927</c:v>
                </c:pt>
                <c:pt idx="18">
                  <c:v>807</c:v>
                </c:pt>
                <c:pt idx="19">
                  <c:v>134</c:v>
                </c:pt>
                <c:pt idx="20">
                  <c:v>552</c:v>
                </c:pt>
                <c:pt idx="21">
                  <c:v>386</c:v>
                </c:pt>
                <c:pt idx="22">
                  <c:v>457</c:v>
                </c:pt>
                <c:pt idx="23">
                  <c:v>117</c:v>
                </c:pt>
                <c:pt idx="24">
                  <c:v>63</c:v>
                </c:pt>
                <c:pt idx="25">
                  <c:v>131</c:v>
                </c:pt>
                <c:pt idx="26">
                  <c:v>254</c:v>
                </c:pt>
                <c:pt idx="27">
                  <c:v>683</c:v>
                </c:pt>
                <c:pt idx="28">
                  <c:v>109</c:v>
                </c:pt>
                <c:pt idx="29">
                  <c:v>1056</c:v>
                </c:pt>
                <c:pt idx="30">
                  <c:v>531</c:v>
                </c:pt>
                <c:pt idx="31">
                  <c:v>607</c:v>
                </c:pt>
                <c:pt idx="32">
                  <c:v>535</c:v>
                </c:pt>
                <c:pt idx="33">
                  <c:v>282</c:v>
                </c:pt>
                <c:pt idx="34">
                  <c:v>288</c:v>
                </c:pt>
                <c:pt idx="35">
                  <c:v>308</c:v>
                </c:pt>
                <c:pt idx="36">
                  <c:v>447</c:v>
                </c:pt>
                <c:pt idx="37">
                  <c:v>1043</c:v>
                </c:pt>
                <c:pt idx="38">
                  <c:v>1284</c:v>
                </c:pt>
                <c:pt idx="39">
                  <c:v>1035</c:v>
                </c:pt>
                <c:pt idx="40">
                  <c:v>601</c:v>
                </c:pt>
                <c:pt idx="41">
                  <c:v>1409</c:v>
                </c:pt>
                <c:pt idx="42">
                  <c:v>557</c:v>
                </c:pt>
                <c:pt idx="43">
                  <c:v>278</c:v>
                </c:pt>
                <c:pt idx="44">
                  <c:v>738</c:v>
                </c:pt>
                <c:pt idx="45">
                  <c:v>651</c:v>
                </c:pt>
                <c:pt idx="46">
                  <c:v>411</c:v>
                </c:pt>
                <c:pt idx="47">
                  <c:v>376</c:v>
                </c:pt>
                <c:pt idx="48">
                  <c:v>790</c:v>
                </c:pt>
                <c:pt idx="49">
                  <c:v>442</c:v>
                </c:pt>
                <c:pt idx="50">
                  <c:v>495</c:v>
                </c:pt>
                <c:pt idx="51">
                  <c:v>756</c:v>
                </c:pt>
                <c:pt idx="52">
                  <c:v>566</c:v>
                </c:pt>
                <c:pt idx="53">
                  <c:v>540</c:v>
                </c:pt>
                <c:pt idx="54">
                  <c:v>435</c:v>
                </c:pt>
                <c:pt idx="55">
                  <c:v>1101</c:v>
                </c:pt>
                <c:pt idx="56">
                  <c:v>1234</c:v>
                </c:pt>
                <c:pt idx="57">
                  <c:v>919</c:v>
                </c:pt>
                <c:pt idx="58">
                  <c:v>829</c:v>
                </c:pt>
                <c:pt idx="59">
                  <c:v>751</c:v>
                </c:pt>
                <c:pt idx="60">
                  <c:v>315</c:v>
                </c:pt>
                <c:pt idx="61">
                  <c:v>986</c:v>
                </c:pt>
                <c:pt idx="62">
                  <c:v>799</c:v>
                </c:pt>
                <c:pt idx="63">
                  <c:v>386</c:v>
                </c:pt>
                <c:pt idx="64">
                  <c:v>655</c:v>
                </c:pt>
                <c:pt idx="65">
                  <c:v>582</c:v>
                </c:pt>
                <c:pt idx="66">
                  <c:v>782</c:v>
                </c:pt>
                <c:pt idx="67">
                  <c:v>538</c:v>
                </c:pt>
                <c:pt idx="68">
                  <c:v>660</c:v>
                </c:pt>
                <c:pt idx="69">
                  <c:v>558</c:v>
                </c:pt>
                <c:pt idx="70">
                  <c:v>732</c:v>
                </c:pt>
                <c:pt idx="71">
                  <c:v>814</c:v>
                </c:pt>
                <c:pt idx="72">
                  <c:v>1354</c:v>
                </c:pt>
                <c:pt idx="73">
                  <c:v>156</c:v>
                </c:pt>
                <c:pt idx="74">
                  <c:v>796</c:v>
                </c:pt>
                <c:pt idx="75">
                  <c:v>746</c:v>
                </c:pt>
                <c:pt idx="76">
                  <c:v>654</c:v>
                </c:pt>
                <c:pt idx="77">
                  <c:v>888</c:v>
                </c:pt>
                <c:pt idx="78">
                  <c:v>352</c:v>
                </c:pt>
                <c:pt idx="79">
                  <c:v>619</c:v>
                </c:pt>
                <c:pt idx="80">
                  <c:v>473</c:v>
                </c:pt>
                <c:pt idx="81">
                  <c:v>483</c:v>
                </c:pt>
                <c:pt idx="82">
                  <c:v>412</c:v>
                </c:pt>
                <c:pt idx="83">
                  <c:v>882</c:v>
                </c:pt>
                <c:pt idx="84">
                  <c:v>635</c:v>
                </c:pt>
                <c:pt idx="85">
                  <c:v>333</c:v>
                </c:pt>
                <c:pt idx="86">
                  <c:v>931</c:v>
                </c:pt>
                <c:pt idx="87">
                  <c:v>370</c:v>
                </c:pt>
                <c:pt idx="88">
                  <c:v>1143</c:v>
                </c:pt>
                <c:pt idx="89">
                  <c:v>716</c:v>
                </c:pt>
                <c:pt idx="90">
                  <c:v>939</c:v>
                </c:pt>
                <c:pt idx="91">
                  <c:v>850</c:v>
                </c:pt>
                <c:pt idx="92">
                  <c:v>534</c:v>
                </c:pt>
                <c:pt idx="93">
                  <c:v>92</c:v>
                </c:pt>
                <c:pt idx="94">
                  <c:v>711</c:v>
                </c:pt>
                <c:pt idx="95">
                  <c:v>1202</c:v>
                </c:pt>
                <c:pt idx="96">
                  <c:v>722</c:v>
                </c:pt>
                <c:pt idx="97">
                  <c:v>901</c:v>
                </c:pt>
                <c:pt idx="98">
                  <c:v>804</c:v>
                </c:pt>
              </c:numCache>
            </c:numRef>
          </c:val>
          <c:smooth val="0"/>
          <c:extLst>
            <c:ext xmlns:c16="http://schemas.microsoft.com/office/drawing/2014/chart" uri="{C3380CC4-5D6E-409C-BE32-E72D297353CC}">
              <c16:uniqueId val="{00000004-F61E-4A8F-B512-168A79E2D9DC}"/>
            </c:ext>
          </c:extLst>
        </c:ser>
        <c:ser>
          <c:idx val="1"/>
          <c:order val="1"/>
          <c:tx>
            <c:strRef>
              <c:f>'PIVOT '!$C$11</c:f>
              <c:strCache>
                <c:ptCount val="1"/>
                <c:pt idx="0">
                  <c:v>Sum of Total Stock Out</c:v>
                </c:pt>
              </c:strCache>
            </c:strRef>
          </c:tx>
          <c:spPr>
            <a:ln w="28575" cap="rnd">
              <a:solidFill>
                <a:srgbClr val="7030A0"/>
              </a:solidFill>
              <a:round/>
            </a:ln>
            <a:effectLst/>
          </c:spPr>
          <c:marker>
            <c:symbol val="none"/>
          </c:marker>
          <c:cat>
            <c:strRef>
              <c:f>'PIVOT '!$A$12:$A$110</c:f>
              <c:strCache>
                <c:ptCount val="99"/>
                <c:pt idx="0">
                  <c:v>A-01-01</c:v>
                </c:pt>
                <c:pt idx="1">
                  <c:v>A-01-02</c:v>
                </c:pt>
                <c:pt idx="2">
                  <c:v>A-02-01</c:v>
                </c:pt>
                <c:pt idx="3">
                  <c:v>A-02-02</c:v>
                </c:pt>
                <c:pt idx="4">
                  <c:v>A-03-01</c:v>
                </c:pt>
                <c:pt idx="5">
                  <c:v>A-03-02</c:v>
                </c:pt>
                <c:pt idx="6">
                  <c:v>A-04-01</c:v>
                </c:pt>
                <c:pt idx="7">
                  <c:v>A-04-02</c:v>
                </c:pt>
                <c:pt idx="8">
                  <c:v>A-05-01</c:v>
                </c:pt>
                <c:pt idx="9">
                  <c:v>A-05-02</c:v>
                </c:pt>
                <c:pt idx="10">
                  <c:v>A-06-01</c:v>
                </c:pt>
                <c:pt idx="11">
                  <c:v>A-06-02</c:v>
                </c:pt>
                <c:pt idx="12">
                  <c:v>A-07-01</c:v>
                </c:pt>
                <c:pt idx="13">
                  <c:v>A-07-02</c:v>
                </c:pt>
                <c:pt idx="14">
                  <c:v>A-08-01</c:v>
                </c:pt>
                <c:pt idx="15">
                  <c:v>A-08-02</c:v>
                </c:pt>
                <c:pt idx="16">
                  <c:v>A-09-01</c:v>
                </c:pt>
                <c:pt idx="17">
                  <c:v>A-09-02</c:v>
                </c:pt>
                <c:pt idx="18">
                  <c:v>A-10-01</c:v>
                </c:pt>
                <c:pt idx="19">
                  <c:v>A-10-02</c:v>
                </c:pt>
                <c:pt idx="20">
                  <c:v>B-01-01</c:v>
                </c:pt>
                <c:pt idx="21">
                  <c:v>B-01-02</c:v>
                </c:pt>
                <c:pt idx="22">
                  <c:v>B-02-01</c:v>
                </c:pt>
                <c:pt idx="23">
                  <c:v>B-02-02</c:v>
                </c:pt>
                <c:pt idx="24">
                  <c:v>B-03-01</c:v>
                </c:pt>
                <c:pt idx="25">
                  <c:v>B-03-02</c:v>
                </c:pt>
                <c:pt idx="26">
                  <c:v>B-04-01</c:v>
                </c:pt>
                <c:pt idx="27">
                  <c:v>B-04-02</c:v>
                </c:pt>
                <c:pt idx="28">
                  <c:v>B-05-01</c:v>
                </c:pt>
                <c:pt idx="29">
                  <c:v>B-05-02</c:v>
                </c:pt>
                <c:pt idx="30">
                  <c:v>B-06-01</c:v>
                </c:pt>
                <c:pt idx="31">
                  <c:v>B-06-02</c:v>
                </c:pt>
                <c:pt idx="32">
                  <c:v>B-07-01</c:v>
                </c:pt>
                <c:pt idx="33">
                  <c:v>B-07-02</c:v>
                </c:pt>
                <c:pt idx="34">
                  <c:v>B-08-01</c:v>
                </c:pt>
                <c:pt idx="35">
                  <c:v>B-08-02</c:v>
                </c:pt>
                <c:pt idx="36">
                  <c:v>B-09-01</c:v>
                </c:pt>
                <c:pt idx="37">
                  <c:v>B-09-02</c:v>
                </c:pt>
                <c:pt idx="38">
                  <c:v>B-10-01</c:v>
                </c:pt>
                <c:pt idx="39">
                  <c:v>B-10-02</c:v>
                </c:pt>
                <c:pt idx="40">
                  <c:v>C-01-01</c:v>
                </c:pt>
                <c:pt idx="41">
                  <c:v>C-01-02</c:v>
                </c:pt>
                <c:pt idx="42">
                  <c:v>C-02-01</c:v>
                </c:pt>
                <c:pt idx="43">
                  <c:v>C-02-02</c:v>
                </c:pt>
                <c:pt idx="44">
                  <c:v>C-03-01</c:v>
                </c:pt>
                <c:pt idx="45">
                  <c:v>C-03-02</c:v>
                </c:pt>
                <c:pt idx="46">
                  <c:v>C-04-01</c:v>
                </c:pt>
                <c:pt idx="47">
                  <c:v>C-04-02</c:v>
                </c:pt>
                <c:pt idx="48">
                  <c:v>C-05-01</c:v>
                </c:pt>
                <c:pt idx="49">
                  <c:v>C-05-02</c:v>
                </c:pt>
                <c:pt idx="50">
                  <c:v>C-06-01</c:v>
                </c:pt>
                <c:pt idx="51">
                  <c:v>C-06-02</c:v>
                </c:pt>
                <c:pt idx="52">
                  <c:v>C-07-01</c:v>
                </c:pt>
                <c:pt idx="53">
                  <c:v>C-07-02</c:v>
                </c:pt>
                <c:pt idx="54">
                  <c:v>C-08-01</c:v>
                </c:pt>
                <c:pt idx="55">
                  <c:v>C-09-01</c:v>
                </c:pt>
                <c:pt idx="56">
                  <c:v>C-09-02</c:v>
                </c:pt>
                <c:pt idx="57">
                  <c:v>C-10-01</c:v>
                </c:pt>
                <c:pt idx="58">
                  <c:v>C-10-02</c:v>
                </c:pt>
                <c:pt idx="59">
                  <c:v>D-01-01</c:v>
                </c:pt>
                <c:pt idx="60">
                  <c:v>D-01-02</c:v>
                </c:pt>
                <c:pt idx="61">
                  <c:v>D-02-01</c:v>
                </c:pt>
                <c:pt idx="62">
                  <c:v>D-02-02</c:v>
                </c:pt>
                <c:pt idx="63">
                  <c:v>D-03-01</c:v>
                </c:pt>
                <c:pt idx="64">
                  <c:v>D-03-02</c:v>
                </c:pt>
                <c:pt idx="65">
                  <c:v>D-04-01</c:v>
                </c:pt>
                <c:pt idx="66">
                  <c:v>D-04-02</c:v>
                </c:pt>
                <c:pt idx="67">
                  <c:v>D-05-01</c:v>
                </c:pt>
                <c:pt idx="68">
                  <c:v>D-05-02</c:v>
                </c:pt>
                <c:pt idx="69">
                  <c:v>D-06-01</c:v>
                </c:pt>
                <c:pt idx="70">
                  <c:v>D-06-02</c:v>
                </c:pt>
                <c:pt idx="71">
                  <c:v>D-07-01</c:v>
                </c:pt>
                <c:pt idx="72">
                  <c:v>D-07-02</c:v>
                </c:pt>
                <c:pt idx="73">
                  <c:v>D-08-01</c:v>
                </c:pt>
                <c:pt idx="74">
                  <c:v>D-08-02</c:v>
                </c:pt>
                <c:pt idx="75">
                  <c:v>D-09-01</c:v>
                </c:pt>
                <c:pt idx="76">
                  <c:v>D-09-02</c:v>
                </c:pt>
                <c:pt idx="77">
                  <c:v>D-10-01</c:v>
                </c:pt>
                <c:pt idx="78">
                  <c:v>D-10-02</c:v>
                </c:pt>
                <c:pt idx="79">
                  <c:v>E-01-01</c:v>
                </c:pt>
                <c:pt idx="80">
                  <c:v>E-01-02</c:v>
                </c:pt>
                <c:pt idx="81">
                  <c:v>E-02-01</c:v>
                </c:pt>
                <c:pt idx="82">
                  <c:v>E-02-02</c:v>
                </c:pt>
                <c:pt idx="83">
                  <c:v>E-03-01</c:v>
                </c:pt>
                <c:pt idx="84">
                  <c:v>E-03-02</c:v>
                </c:pt>
                <c:pt idx="85">
                  <c:v>E-04-01</c:v>
                </c:pt>
                <c:pt idx="86">
                  <c:v>E-04-02</c:v>
                </c:pt>
                <c:pt idx="87">
                  <c:v>E-05-01</c:v>
                </c:pt>
                <c:pt idx="88">
                  <c:v>E-05-02</c:v>
                </c:pt>
                <c:pt idx="89">
                  <c:v>E-06-01</c:v>
                </c:pt>
                <c:pt idx="90">
                  <c:v>E-06-02</c:v>
                </c:pt>
                <c:pt idx="91">
                  <c:v>E-07-01</c:v>
                </c:pt>
                <c:pt idx="92">
                  <c:v>E-07-02</c:v>
                </c:pt>
                <c:pt idx="93">
                  <c:v>E-08-01</c:v>
                </c:pt>
                <c:pt idx="94">
                  <c:v>E-08-02</c:v>
                </c:pt>
                <c:pt idx="95">
                  <c:v>E-09-01</c:v>
                </c:pt>
                <c:pt idx="96">
                  <c:v>E-09-02</c:v>
                </c:pt>
                <c:pt idx="97">
                  <c:v>E-10-01</c:v>
                </c:pt>
                <c:pt idx="98">
                  <c:v>E-10-02</c:v>
                </c:pt>
              </c:strCache>
            </c:strRef>
          </c:cat>
          <c:val>
            <c:numRef>
              <c:f>'PIVOT '!$C$12:$C$110</c:f>
              <c:numCache>
                <c:formatCode>General</c:formatCode>
                <c:ptCount val="99"/>
                <c:pt idx="0">
                  <c:v>393</c:v>
                </c:pt>
                <c:pt idx="1">
                  <c:v>164</c:v>
                </c:pt>
                <c:pt idx="2">
                  <c:v>581</c:v>
                </c:pt>
                <c:pt idx="3">
                  <c:v>444</c:v>
                </c:pt>
                <c:pt idx="4">
                  <c:v>129</c:v>
                </c:pt>
                <c:pt idx="5">
                  <c:v>1028</c:v>
                </c:pt>
                <c:pt idx="6">
                  <c:v>311</c:v>
                </c:pt>
                <c:pt idx="7">
                  <c:v>615</c:v>
                </c:pt>
                <c:pt idx="8">
                  <c:v>1043</c:v>
                </c:pt>
                <c:pt idx="9">
                  <c:v>794</c:v>
                </c:pt>
                <c:pt idx="10">
                  <c:v>565</c:v>
                </c:pt>
                <c:pt idx="11">
                  <c:v>490</c:v>
                </c:pt>
                <c:pt idx="12">
                  <c:v>49</c:v>
                </c:pt>
                <c:pt idx="13">
                  <c:v>689</c:v>
                </c:pt>
                <c:pt idx="14">
                  <c:v>780</c:v>
                </c:pt>
                <c:pt idx="15">
                  <c:v>256</c:v>
                </c:pt>
                <c:pt idx="16">
                  <c:v>545</c:v>
                </c:pt>
                <c:pt idx="17">
                  <c:v>1194</c:v>
                </c:pt>
                <c:pt idx="18">
                  <c:v>763</c:v>
                </c:pt>
                <c:pt idx="19">
                  <c:v>24</c:v>
                </c:pt>
                <c:pt idx="20">
                  <c:v>244</c:v>
                </c:pt>
                <c:pt idx="21">
                  <c:v>374</c:v>
                </c:pt>
                <c:pt idx="22">
                  <c:v>193</c:v>
                </c:pt>
                <c:pt idx="23">
                  <c:v>249</c:v>
                </c:pt>
                <c:pt idx="24">
                  <c:v>174</c:v>
                </c:pt>
                <c:pt idx="25">
                  <c:v>178</c:v>
                </c:pt>
                <c:pt idx="26">
                  <c:v>191</c:v>
                </c:pt>
                <c:pt idx="27">
                  <c:v>595</c:v>
                </c:pt>
                <c:pt idx="28">
                  <c:v>495</c:v>
                </c:pt>
                <c:pt idx="29">
                  <c:v>1219</c:v>
                </c:pt>
                <c:pt idx="30">
                  <c:v>294</c:v>
                </c:pt>
                <c:pt idx="31">
                  <c:v>771</c:v>
                </c:pt>
                <c:pt idx="32">
                  <c:v>355</c:v>
                </c:pt>
                <c:pt idx="33">
                  <c:v>178</c:v>
                </c:pt>
                <c:pt idx="34">
                  <c:v>190</c:v>
                </c:pt>
                <c:pt idx="35">
                  <c:v>479</c:v>
                </c:pt>
                <c:pt idx="36">
                  <c:v>550</c:v>
                </c:pt>
                <c:pt idx="37">
                  <c:v>962</c:v>
                </c:pt>
                <c:pt idx="38">
                  <c:v>755</c:v>
                </c:pt>
                <c:pt idx="39">
                  <c:v>448</c:v>
                </c:pt>
                <c:pt idx="40">
                  <c:v>580</c:v>
                </c:pt>
                <c:pt idx="41">
                  <c:v>1579</c:v>
                </c:pt>
                <c:pt idx="42">
                  <c:v>596</c:v>
                </c:pt>
                <c:pt idx="43">
                  <c:v>328</c:v>
                </c:pt>
                <c:pt idx="44">
                  <c:v>692</c:v>
                </c:pt>
                <c:pt idx="45">
                  <c:v>589</c:v>
                </c:pt>
                <c:pt idx="46">
                  <c:v>493</c:v>
                </c:pt>
                <c:pt idx="47">
                  <c:v>748</c:v>
                </c:pt>
                <c:pt idx="48">
                  <c:v>685</c:v>
                </c:pt>
                <c:pt idx="49">
                  <c:v>607</c:v>
                </c:pt>
                <c:pt idx="50">
                  <c:v>645</c:v>
                </c:pt>
                <c:pt idx="51">
                  <c:v>562</c:v>
                </c:pt>
                <c:pt idx="52">
                  <c:v>667</c:v>
                </c:pt>
                <c:pt idx="53">
                  <c:v>422</c:v>
                </c:pt>
                <c:pt idx="54">
                  <c:v>515</c:v>
                </c:pt>
                <c:pt idx="55">
                  <c:v>1193</c:v>
                </c:pt>
                <c:pt idx="56">
                  <c:v>1259</c:v>
                </c:pt>
                <c:pt idx="57">
                  <c:v>1343</c:v>
                </c:pt>
                <c:pt idx="58">
                  <c:v>636</c:v>
                </c:pt>
                <c:pt idx="59">
                  <c:v>681</c:v>
                </c:pt>
                <c:pt idx="60">
                  <c:v>264</c:v>
                </c:pt>
                <c:pt idx="61">
                  <c:v>668</c:v>
                </c:pt>
                <c:pt idx="62">
                  <c:v>899</c:v>
                </c:pt>
                <c:pt idx="63">
                  <c:v>487</c:v>
                </c:pt>
                <c:pt idx="64">
                  <c:v>724</c:v>
                </c:pt>
                <c:pt idx="65">
                  <c:v>954</c:v>
                </c:pt>
                <c:pt idx="66">
                  <c:v>593</c:v>
                </c:pt>
                <c:pt idx="67">
                  <c:v>709</c:v>
                </c:pt>
                <c:pt idx="68">
                  <c:v>610</c:v>
                </c:pt>
                <c:pt idx="69">
                  <c:v>547</c:v>
                </c:pt>
                <c:pt idx="70">
                  <c:v>597</c:v>
                </c:pt>
                <c:pt idx="71">
                  <c:v>623</c:v>
                </c:pt>
                <c:pt idx="72">
                  <c:v>637</c:v>
                </c:pt>
                <c:pt idx="73">
                  <c:v>162</c:v>
                </c:pt>
                <c:pt idx="74">
                  <c:v>904</c:v>
                </c:pt>
                <c:pt idx="75">
                  <c:v>566</c:v>
                </c:pt>
                <c:pt idx="76">
                  <c:v>601</c:v>
                </c:pt>
                <c:pt idx="77">
                  <c:v>815</c:v>
                </c:pt>
                <c:pt idx="78">
                  <c:v>275</c:v>
                </c:pt>
                <c:pt idx="79">
                  <c:v>455</c:v>
                </c:pt>
                <c:pt idx="80">
                  <c:v>663</c:v>
                </c:pt>
                <c:pt idx="81">
                  <c:v>869</c:v>
                </c:pt>
                <c:pt idx="82">
                  <c:v>530</c:v>
                </c:pt>
                <c:pt idx="83">
                  <c:v>603</c:v>
                </c:pt>
                <c:pt idx="84">
                  <c:v>849</c:v>
                </c:pt>
                <c:pt idx="85">
                  <c:v>132</c:v>
                </c:pt>
                <c:pt idx="86">
                  <c:v>1137</c:v>
                </c:pt>
                <c:pt idx="87">
                  <c:v>523</c:v>
                </c:pt>
                <c:pt idx="88">
                  <c:v>981</c:v>
                </c:pt>
                <c:pt idx="89">
                  <c:v>974</c:v>
                </c:pt>
                <c:pt idx="90">
                  <c:v>634</c:v>
                </c:pt>
                <c:pt idx="91">
                  <c:v>825</c:v>
                </c:pt>
                <c:pt idx="92">
                  <c:v>535</c:v>
                </c:pt>
                <c:pt idx="93">
                  <c:v>49</c:v>
                </c:pt>
                <c:pt idx="94">
                  <c:v>640</c:v>
                </c:pt>
                <c:pt idx="95">
                  <c:v>1044</c:v>
                </c:pt>
                <c:pt idx="96">
                  <c:v>487</c:v>
                </c:pt>
                <c:pt idx="97">
                  <c:v>973</c:v>
                </c:pt>
                <c:pt idx="98">
                  <c:v>805</c:v>
                </c:pt>
              </c:numCache>
            </c:numRef>
          </c:val>
          <c:smooth val="0"/>
          <c:extLst>
            <c:ext xmlns:c16="http://schemas.microsoft.com/office/drawing/2014/chart" uri="{C3380CC4-5D6E-409C-BE32-E72D297353CC}">
              <c16:uniqueId val="{00000005-F61E-4A8F-B512-168A79E2D9DC}"/>
            </c:ext>
          </c:extLst>
        </c:ser>
        <c:dLbls>
          <c:showLegendKey val="0"/>
          <c:showVal val="0"/>
          <c:showCatName val="0"/>
          <c:showSerName val="0"/>
          <c:showPercent val="0"/>
          <c:showBubbleSize val="0"/>
        </c:dLbls>
        <c:smooth val="0"/>
        <c:axId val="186776304"/>
        <c:axId val="186790224"/>
      </c:lineChart>
      <c:catAx>
        <c:axId val="1867763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86790224"/>
        <c:crosses val="autoZero"/>
        <c:auto val="1"/>
        <c:lblAlgn val="ctr"/>
        <c:lblOffset val="100"/>
        <c:noMultiLvlLbl val="0"/>
      </c:catAx>
      <c:valAx>
        <c:axId val="186790224"/>
        <c:scaling>
          <c:orientation val="minMax"/>
        </c:scaling>
        <c:delete val="0"/>
        <c:axPos val="l"/>
        <c:majorGridlines>
          <c:spPr>
            <a:ln w="12700" cap="flat" cmpd="sng" algn="ctr">
              <a:solidFill>
                <a:schemeClr val="bg1"/>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rgbClr val="7030A0"/>
                </a:solidFill>
                <a:latin typeface="+mn-lt"/>
                <a:ea typeface="+mn-ea"/>
                <a:cs typeface="+mn-cs"/>
              </a:defRPr>
            </a:pPr>
            <a:endParaRPr lang="en-US"/>
          </a:p>
        </c:txPr>
        <c:crossAx val="18677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rgbClr val="7030A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C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[IV.xlsx]PIVOT !PivotTable1</c:name>
    <c:fmtId val="11"/>
  </c:pivotSource>
  <c:chart>
    <c:title>
      <c:tx>
        <c:rich>
          <a:bodyPr rot="0" spcFirstLastPara="1" vertOverflow="ellipsis" vert="horz" wrap="square" anchor="ctr" anchorCtr="1"/>
          <a:lstStyle/>
          <a:p>
            <a:pPr>
              <a:defRPr sz="2000" b="1" i="0" u="none" strike="noStrike" kern="1200" spc="0" baseline="0">
                <a:solidFill>
                  <a:srgbClr val="7030A0"/>
                </a:solidFill>
                <a:latin typeface="+mn-lt"/>
                <a:ea typeface="+mn-ea"/>
                <a:cs typeface="+mn-cs"/>
              </a:defRPr>
            </a:pPr>
            <a:r>
              <a:rPr lang="en-US" sz="2000" b="1">
                <a:solidFill>
                  <a:srgbClr val="7030A0"/>
                </a:solidFill>
              </a:rPr>
              <a:t>Top</a:t>
            </a:r>
            <a:r>
              <a:rPr lang="en-US" sz="2000" b="1" baseline="0">
                <a:solidFill>
                  <a:srgbClr val="7030A0"/>
                </a:solidFill>
              </a:rPr>
              <a:t> 5 Items High-Risk Inventory </a:t>
            </a:r>
            <a:endParaRPr lang="en-US" sz="2000" b="1">
              <a:solidFill>
                <a:srgbClr val="7030A0"/>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rgbClr val="7030A0"/>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'!$B$3</c:f>
              <c:strCache>
                <c:ptCount val="1"/>
                <c:pt idx="0">
                  <c:v>Total</c:v>
                </c:pt>
              </c:strCache>
            </c:strRef>
          </c:tx>
          <c:spPr>
            <a:solidFill>
              <a:srgbClr val="7030A0"/>
            </a:solidFill>
            <a:ln>
              <a:noFill/>
            </a:ln>
            <a:effectLst/>
          </c:spPr>
          <c:invertIfNegative val="0"/>
          <c:cat>
            <c:strRef>
              <c:f>'PIVOT '!$A$4:$A$8</c:f>
              <c:strCache>
                <c:ptCount val="5"/>
                <c:pt idx="0">
                  <c:v>Extension Cable</c:v>
                </c:pt>
                <c:pt idx="1">
                  <c:v>Marker</c:v>
                </c:pt>
                <c:pt idx="2">
                  <c:v>Circuit Breaker</c:v>
                </c:pt>
                <c:pt idx="3">
                  <c:v>SSD 256GB</c:v>
                </c:pt>
                <c:pt idx="4">
                  <c:v>Processor</c:v>
                </c:pt>
              </c:strCache>
            </c:strRef>
          </c:cat>
          <c:val>
            <c:numRef>
              <c:f>'PIVOT '!$B$4:$B$8</c:f>
              <c:numCache>
                <c:formatCode>"Rp"\ #,##0</c:formatCode>
                <c:ptCount val="5"/>
                <c:pt idx="0">
                  <c:v>1150000</c:v>
                </c:pt>
                <c:pt idx="1">
                  <c:v>2399000</c:v>
                </c:pt>
                <c:pt idx="2">
                  <c:v>8076000</c:v>
                </c:pt>
                <c:pt idx="3">
                  <c:v>24700000</c:v>
                </c:pt>
                <c:pt idx="4">
                  <c:v>157095000</c:v>
                </c:pt>
              </c:numCache>
            </c:numRef>
          </c:val>
          <c:extLst>
            <c:ext xmlns:c16="http://schemas.microsoft.com/office/drawing/2014/chart" uri="{C3380CC4-5D6E-409C-BE32-E72D297353CC}">
              <c16:uniqueId val="{00000000-7C7B-4EF3-8499-11CB49B1E062}"/>
            </c:ext>
          </c:extLst>
        </c:ser>
        <c:dLbls>
          <c:showLegendKey val="0"/>
          <c:showVal val="0"/>
          <c:showCatName val="0"/>
          <c:showSerName val="0"/>
          <c:showPercent val="0"/>
          <c:showBubbleSize val="0"/>
        </c:dLbls>
        <c:gapWidth val="182"/>
        <c:axId val="186708144"/>
        <c:axId val="186708624"/>
      </c:barChart>
      <c:catAx>
        <c:axId val="186708144"/>
        <c:scaling>
          <c:orientation val="minMax"/>
        </c:scaling>
        <c:delete val="0"/>
        <c:axPos val="l"/>
        <c:title>
          <c:tx>
            <c:rich>
              <a:bodyPr rot="-5400000" spcFirstLastPara="1" vertOverflow="ellipsis" vert="horz" wrap="square" anchor="ctr" anchorCtr="1"/>
              <a:lstStyle/>
              <a:p>
                <a:pPr>
                  <a:defRPr sz="1200" b="1" i="0" u="none" strike="noStrike" kern="1200" baseline="0">
                    <a:solidFill>
                      <a:srgbClr val="7030A0"/>
                    </a:solidFill>
                    <a:latin typeface="+mn-lt"/>
                    <a:ea typeface="+mn-ea"/>
                    <a:cs typeface="+mn-cs"/>
                  </a:defRPr>
                </a:pPr>
                <a:r>
                  <a:rPr lang="en-US" sz="1200" b="1">
                    <a:solidFill>
                      <a:srgbClr val="7030A0"/>
                    </a:solidFill>
                  </a:rPr>
                  <a:t>Items</a:t>
                </a:r>
              </a:p>
            </c:rich>
          </c:tx>
          <c:overlay val="0"/>
          <c:spPr>
            <a:noFill/>
            <a:ln>
              <a:noFill/>
            </a:ln>
            <a:effectLst/>
          </c:spPr>
          <c:txPr>
            <a:bodyPr rot="-5400000" spcFirstLastPara="1" vertOverflow="ellipsis" vert="horz" wrap="square" anchor="ctr" anchorCtr="1"/>
            <a:lstStyle/>
            <a:p>
              <a:pPr>
                <a:defRPr sz="1200" b="1" i="0" u="none" strike="noStrike" kern="1200" baseline="0">
                  <a:solidFill>
                    <a:srgbClr val="7030A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186708624"/>
        <c:crosses val="autoZero"/>
        <c:auto val="1"/>
        <c:lblAlgn val="ctr"/>
        <c:lblOffset val="100"/>
        <c:noMultiLvlLbl val="0"/>
      </c:catAx>
      <c:valAx>
        <c:axId val="186708624"/>
        <c:scaling>
          <c:orientation val="minMax"/>
        </c:scaling>
        <c:delete val="0"/>
        <c:axPos val="b"/>
        <c:majorGridlines>
          <c:spPr>
            <a:ln w="9525" cap="flat" cmpd="sng" algn="ctr">
              <a:solidFill>
                <a:schemeClr val="bg1"/>
              </a:solidFill>
              <a:round/>
            </a:ln>
            <a:effectLst/>
          </c:spPr>
        </c:majorGridlines>
        <c:title>
          <c:tx>
            <c:rich>
              <a:bodyPr rot="0" spcFirstLastPara="1" vertOverflow="ellipsis" vert="horz" wrap="square" anchor="ctr" anchorCtr="1"/>
              <a:lstStyle/>
              <a:p>
                <a:pPr>
                  <a:defRPr sz="1200" b="1" i="0" u="none" strike="noStrike" kern="1200" baseline="0">
                    <a:solidFill>
                      <a:srgbClr val="7030A0"/>
                    </a:solidFill>
                    <a:latin typeface="+mn-lt"/>
                    <a:ea typeface="+mn-ea"/>
                    <a:cs typeface="+mn-cs"/>
                  </a:defRPr>
                </a:pPr>
                <a:r>
                  <a:rPr lang="en-US" sz="1200" b="1">
                    <a:solidFill>
                      <a:srgbClr val="7030A0"/>
                    </a:solidFill>
                  </a:rPr>
                  <a:t>Inventory</a:t>
                </a:r>
                <a:r>
                  <a:rPr lang="en-US" sz="1200" b="1" baseline="0">
                    <a:solidFill>
                      <a:srgbClr val="7030A0"/>
                    </a:solidFill>
                  </a:rPr>
                  <a:t> Value (IDR)</a:t>
                </a:r>
                <a:endParaRPr lang="en-US" sz="1200" b="1">
                  <a:solidFill>
                    <a:srgbClr val="7030A0"/>
                  </a:solidFill>
                </a:endParaRPr>
              </a:p>
            </c:rich>
          </c:tx>
          <c:overlay val="0"/>
          <c:spPr>
            <a:noFill/>
            <a:ln>
              <a:noFill/>
            </a:ln>
            <a:effectLst/>
          </c:spPr>
          <c:txPr>
            <a:bodyPr rot="0" spcFirstLastPara="1" vertOverflow="ellipsis" vert="horz" wrap="square" anchor="ctr" anchorCtr="1"/>
            <a:lstStyle/>
            <a:p>
              <a:pPr>
                <a:defRPr sz="1200" b="1" i="0" u="none" strike="noStrike" kern="1200" baseline="0">
                  <a:solidFill>
                    <a:srgbClr val="7030A0"/>
                  </a:solidFill>
                  <a:latin typeface="+mn-lt"/>
                  <a:ea typeface="+mn-ea"/>
                  <a:cs typeface="+mn-cs"/>
                </a:defRPr>
              </a:pPr>
              <a:endParaRPr lang="en-US"/>
            </a:p>
          </c:txPr>
        </c:title>
        <c:numFmt formatCode="&quot;Rp&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186708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C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245912</xdr:colOff>
      <xdr:row>6</xdr:row>
      <xdr:rowOff>99599</xdr:rowOff>
    </xdr:from>
    <xdr:to>
      <xdr:col>3</xdr:col>
      <xdr:colOff>335642</xdr:colOff>
      <xdr:row>16</xdr:row>
      <xdr:rowOff>30727</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416C6FB2-455A-61D4-5300-B36D1AC1446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45912" y="1259164"/>
              <a:ext cx="1911904" cy="18637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288307</xdr:colOff>
      <xdr:row>17</xdr:row>
      <xdr:rowOff>61741</xdr:rowOff>
    </xdr:from>
    <xdr:to>
      <xdr:col>3</xdr:col>
      <xdr:colOff>344843</xdr:colOff>
      <xdr:row>61</xdr:row>
      <xdr:rowOff>150395</xdr:rowOff>
    </xdr:to>
    <mc:AlternateContent xmlns:mc="http://schemas.openxmlformats.org/markup-compatibility/2006" xmlns:a14="http://schemas.microsoft.com/office/drawing/2010/main">
      <mc:Choice Requires="a14">
        <xdr:graphicFrame macro="">
          <xdr:nvGraphicFramePr>
            <xdr:cNvPr id="7" name="Warehouse Location">
              <a:extLst>
                <a:ext uri="{FF2B5EF4-FFF2-40B4-BE49-F238E27FC236}">
                  <a16:creationId xmlns:a16="http://schemas.microsoft.com/office/drawing/2014/main" id="{DBE14535-58E7-E765-11AD-6C063E4A737F}"/>
                </a:ext>
              </a:extLst>
            </xdr:cNvPr>
            <xdr:cNvGraphicFramePr/>
          </xdr:nvGraphicFramePr>
          <xdr:xfrm>
            <a:off x="0" y="0"/>
            <a:ext cx="0" cy="0"/>
          </xdr:xfrm>
          <a:graphic>
            <a:graphicData uri="http://schemas.microsoft.com/office/drawing/2010/slicer">
              <sle:slicer xmlns:sle="http://schemas.microsoft.com/office/drawing/2010/slicer" name="Warehouse Location"/>
            </a:graphicData>
          </a:graphic>
        </xdr:graphicFrame>
      </mc:Choice>
      <mc:Fallback xmlns="">
        <xdr:sp macro="" textlink="">
          <xdr:nvSpPr>
            <xdr:cNvPr id="0" name=""/>
            <xdr:cNvSpPr>
              <a:spLocks noTextEdit="1"/>
            </xdr:cNvSpPr>
          </xdr:nvSpPr>
          <xdr:spPr>
            <a:xfrm>
              <a:off x="288307" y="3347176"/>
              <a:ext cx="1878710" cy="84417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299023</xdr:colOff>
      <xdr:row>6</xdr:row>
      <xdr:rowOff>54742</xdr:rowOff>
    </xdr:from>
    <xdr:to>
      <xdr:col>34</xdr:col>
      <xdr:colOff>456974</xdr:colOff>
      <xdr:row>14</xdr:row>
      <xdr:rowOff>15240</xdr:rowOff>
    </xdr:to>
    <mc:AlternateContent xmlns:mc="http://schemas.openxmlformats.org/markup-compatibility/2006" xmlns:a14="http://schemas.microsoft.com/office/drawing/2010/main">
      <mc:Choice Requires="a14">
        <xdr:graphicFrame macro="">
          <xdr:nvGraphicFramePr>
            <xdr:cNvPr id="8" name="Stock Status">
              <a:extLst>
                <a:ext uri="{FF2B5EF4-FFF2-40B4-BE49-F238E27FC236}">
                  <a16:creationId xmlns:a16="http://schemas.microsoft.com/office/drawing/2014/main" id="{CED33408-6CDC-4A21-14DF-F633BAAB38C8}"/>
                </a:ext>
              </a:extLst>
            </xdr:cNvPr>
            <xdr:cNvGraphicFramePr/>
          </xdr:nvGraphicFramePr>
          <xdr:xfrm>
            <a:off x="0" y="0"/>
            <a:ext cx="0" cy="0"/>
          </xdr:xfrm>
          <a:graphic>
            <a:graphicData uri="http://schemas.microsoft.com/office/drawing/2010/slicer">
              <sle:slicer xmlns:sle="http://schemas.microsoft.com/office/drawing/2010/slicer" name="Stock Status"/>
            </a:graphicData>
          </a:graphic>
        </xdr:graphicFrame>
      </mc:Choice>
      <mc:Fallback xmlns="">
        <xdr:sp macro="" textlink="">
          <xdr:nvSpPr>
            <xdr:cNvPr id="0" name=""/>
            <xdr:cNvSpPr>
              <a:spLocks noTextEdit="1"/>
            </xdr:cNvSpPr>
          </xdr:nvSpPr>
          <xdr:spPr>
            <a:xfrm>
              <a:off x="18698535" y="1497107"/>
              <a:ext cx="1970024" cy="14840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331256</xdr:colOff>
      <xdr:row>15</xdr:row>
      <xdr:rowOff>28475</xdr:rowOff>
    </xdr:from>
    <xdr:to>
      <xdr:col>34</xdr:col>
      <xdr:colOff>446429</xdr:colOff>
      <xdr:row>31</xdr:row>
      <xdr:rowOff>118712</xdr:rowOff>
    </xdr:to>
    <mc:AlternateContent xmlns:mc="http://schemas.openxmlformats.org/markup-compatibility/2006" xmlns:a14="http://schemas.microsoft.com/office/drawing/2010/main">
      <mc:Choice Requires="a14">
        <xdr:graphicFrame macro="">
          <xdr:nvGraphicFramePr>
            <xdr:cNvPr id="9" name="Supplier Name">
              <a:extLst>
                <a:ext uri="{FF2B5EF4-FFF2-40B4-BE49-F238E27FC236}">
                  <a16:creationId xmlns:a16="http://schemas.microsoft.com/office/drawing/2014/main" id="{47CFA524-C537-64BC-9A87-D6CB6BE794A6}"/>
                </a:ext>
              </a:extLst>
            </xdr:cNvPr>
            <xdr:cNvGraphicFramePr/>
          </xdr:nvGraphicFramePr>
          <xdr:xfrm>
            <a:off x="0" y="0"/>
            <a:ext cx="0" cy="0"/>
          </xdr:xfrm>
          <a:graphic>
            <a:graphicData uri="http://schemas.microsoft.com/office/drawing/2010/slicer">
              <sle:slicer xmlns:sle="http://schemas.microsoft.com/office/drawing/2010/slicer" name="Supplier Name"/>
            </a:graphicData>
          </a:graphic>
        </xdr:graphicFrame>
      </mc:Choice>
      <mc:Fallback xmlns="">
        <xdr:sp macro="" textlink="">
          <xdr:nvSpPr>
            <xdr:cNvPr id="0" name=""/>
            <xdr:cNvSpPr>
              <a:spLocks noTextEdit="1"/>
            </xdr:cNvSpPr>
          </xdr:nvSpPr>
          <xdr:spPr>
            <a:xfrm>
              <a:off x="18829082" y="2927388"/>
              <a:ext cx="1937347" cy="31824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344089</xdr:colOff>
      <xdr:row>32</xdr:row>
      <xdr:rowOff>108523</xdr:rowOff>
    </xdr:from>
    <xdr:to>
      <xdr:col>34</xdr:col>
      <xdr:colOff>439915</xdr:colOff>
      <xdr:row>62</xdr:row>
      <xdr:rowOff>13607</xdr:rowOff>
    </xdr:to>
    <mc:AlternateContent xmlns:mc="http://schemas.openxmlformats.org/markup-compatibility/2006">
      <mc:Choice xmlns:a14="http://schemas.microsoft.com/office/drawing/2010/main" Requires="a14">
        <xdr:graphicFrame macro="">
          <xdr:nvGraphicFramePr>
            <xdr:cNvPr id="10" name="Item Name">
              <a:extLst>
                <a:ext uri="{FF2B5EF4-FFF2-40B4-BE49-F238E27FC236}">
                  <a16:creationId xmlns:a16="http://schemas.microsoft.com/office/drawing/2014/main" id="{0073FCF3-0189-BA79-CD1A-0F451CB871A6}"/>
                </a:ext>
              </a:extLst>
            </xdr:cNvPr>
            <xdr:cNvGraphicFramePr/>
          </xdr:nvGraphicFramePr>
          <xdr:xfrm>
            <a:off x="0" y="0"/>
            <a:ext cx="0" cy="0"/>
          </xdr:xfrm>
          <a:graphic>
            <a:graphicData uri="http://schemas.microsoft.com/office/drawing/2010/slicer">
              <sle:slicer xmlns:sle="http://schemas.microsoft.com/office/drawing/2010/slicer" name="Item Name"/>
            </a:graphicData>
          </a:graphic>
        </xdr:graphicFrame>
      </mc:Choice>
      <mc:Fallback>
        <xdr:sp macro="" textlink="">
          <xdr:nvSpPr>
            <xdr:cNvPr id="0" name=""/>
            <xdr:cNvSpPr>
              <a:spLocks noTextEdit="1"/>
            </xdr:cNvSpPr>
          </xdr:nvSpPr>
          <xdr:spPr>
            <a:xfrm>
              <a:off x="19155964" y="6204523"/>
              <a:ext cx="1953201" cy="56200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7327</xdr:colOff>
      <xdr:row>0</xdr:row>
      <xdr:rowOff>0</xdr:rowOff>
    </xdr:from>
    <xdr:to>
      <xdr:col>35</xdr:col>
      <xdr:colOff>25298</xdr:colOff>
      <xdr:row>4</xdr:row>
      <xdr:rowOff>14654</xdr:rowOff>
    </xdr:to>
    <xdr:sp macro="" textlink="">
      <xdr:nvSpPr>
        <xdr:cNvPr id="12" name="Rectangle: Rounded Corners 11">
          <a:extLst>
            <a:ext uri="{FF2B5EF4-FFF2-40B4-BE49-F238E27FC236}">
              <a16:creationId xmlns:a16="http://schemas.microsoft.com/office/drawing/2014/main" id="{D983DE8E-FA90-9204-5EA4-F0291DB4F5E0}"/>
            </a:ext>
          </a:extLst>
        </xdr:cNvPr>
        <xdr:cNvSpPr/>
      </xdr:nvSpPr>
      <xdr:spPr>
        <a:xfrm>
          <a:off x="7327" y="0"/>
          <a:ext cx="20959742" cy="755487"/>
        </a:xfrm>
        <a:prstGeom prst="roundRect">
          <a:avLst/>
        </a:prstGeom>
        <a:solidFill>
          <a:srgbClr val="7030A0"/>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b="1"/>
            <a:t>INVENTORY MANAGEMENT DASHBOARD</a:t>
          </a:r>
        </a:p>
      </xdr:txBody>
    </xdr:sp>
    <xdr:clientData/>
  </xdr:twoCellAnchor>
  <xdr:twoCellAnchor>
    <xdr:from>
      <xdr:col>4</xdr:col>
      <xdr:colOff>154293</xdr:colOff>
      <xdr:row>10</xdr:row>
      <xdr:rowOff>146538</xdr:rowOff>
    </xdr:from>
    <xdr:to>
      <xdr:col>13</xdr:col>
      <xdr:colOff>148346</xdr:colOff>
      <xdr:row>30</xdr:row>
      <xdr:rowOff>58923</xdr:rowOff>
    </xdr:to>
    <xdr:graphicFrame macro="">
      <xdr:nvGraphicFramePr>
        <xdr:cNvPr id="11" name="Chart 10">
          <a:extLst>
            <a:ext uri="{FF2B5EF4-FFF2-40B4-BE49-F238E27FC236}">
              <a16:creationId xmlns:a16="http://schemas.microsoft.com/office/drawing/2014/main" id="{7837E3AB-5456-41F5-88D5-0581B45C13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197689</xdr:colOff>
      <xdr:row>10</xdr:row>
      <xdr:rowOff>146538</xdr:rowOff>
    </xdr:from>
    <xdr:to>
      <xdr:col>30</xdr:col>
      <xdr:colOff>377406</xdr:colOff>
      <xdr:row>30</xdr:row>
      <xdr:rowOff>49533</xdr:rowOff>
    </xdr:to>
    <xdr:graphicFrame macro="">
      <xdr:nvGraphicFramePr>
        <xdr:cNvPr id="13" name="Chart 12">
          <a:extLst>
            <a:ext uri="{FF2B5EF4-FFF2-40B4-BE49-F238E27FC236}">
              <a16:creationId xmlns:a16="http://schemas.microsoft.com/office/drawing/2014/main" id="{6A1748A3-CA8E-4F08-ABD4-E09E69EEB6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139390</xdr:colOff>
      <xdr:row>31</xdr:row>
      <xdr:rowOff>46466</xdr:rowOff>
    </xdr:from>
    <xdr:to>
      <xdr:col>30</xdr:col>
      <xdr:colOff>431321</xdr:colOff>
      <xdr:row>60</xdr:row>
      <xdr:rowOff>170962</xdr:rowOff>
    </xdr:to>
    <xdr:graphicFrame macro="">
      <xdr:nvGraphicFramePr>
        <xdr:cNvPr id="14" name="Chart 13">
          <a:extLst>
            <a:ext uri="{FF2B5EF4-FFF2-40B4-BE49-F238E27FC236}">
              <a16:creationId xmlns:a16="http://schemas.microsoft.com/office/drawing/2014/main" id="{3416EF58-559C-4A3F-9A80-14BB396FFA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305518</xdr:colOff>
      <xdr:row>10</xdr:row>
      <xdr:rowOff>128222</xdr:rowOff>
    </xdr:from>
    <xdr:to>
      <xdr:col>22</xdr:col>
      <xdr:colOff>52917</xdr:colOff>
      <xdr:row>30</xdr:row>
      <xdr:rowOff>35945</xdr:rowOff>
    </xdr:to>
    <xdr:graphicFrame macro="">
      <xdr:nvGraphicFramePr>
        <xdr:cNvPr id="15" name="Chart 14">
          <a:extLst>
            <a:ext uri="{FF2B5EF4-FFF2-40B4-BE49-F238E27FC236}">
              <a16:creationId xmlns:a16="http://schemas.microsoft.com/office/drawing/2014/main" id="{2EB50B1C-A0F5-4540-9FCE-F5E5C25C73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318.876901736112" createdVersion="8" refreshedVersion="8" minRefreshableVersion="3" recordCount="500" xr:uid="{A69ACE93-1BD9-43AB-B511-F09973066A89}">
  <cacheSource type="worksheet">
    <worksheetSource ref="A1:Q501" sheet="CURRENT STOCK"/>
  </cacheSource>
  <cacheFields count="17">
    <cacheField name="SKU Code" numFmtId="0">
      <sharedItems/>
    </cacheField>
    <cacheField name="Item Name" numFmtId="0">
      <sharedItems/>
    </cacheField>
    <cacheField name="Category" numFmtId="0">
      <sharedItems/>
    </cacheField>
    <cacheField name="Unit" numFmtId="0">
      <sharedItems/>
    </cacheField>
    <cacheField name="Initial Stock" numFmtId="0">
      <sharedItems containsSemiMixedTypes="0" containsString="0" containsNumber="1" containsInteger="1" minValue="10" maxValue="249"/>
    </cacheField>
    <cacheField name="Minimum Stock" numFmtId="0">
      <sharedItems containsSemiMixedTypes="0" containsString="0" containsNumber="1" containsInteger="1" minValue="5" maxValue="50"/>
    </cacheField>
    <cacheField name="Reorder Point" numFmtId="0">
      <sharedItems containsSemiMixedTypes="0" containsString="0" containsNumber="1" containsInteger="1" minValue="15" maxValue="79"/>
    </cacheField>
    <cacheField name="Unit Cost (IDR)" numFmtId="164">
      <sharedItems containsSemiMixedTypes="0" containsString="0" containsNumber="1" containsInteger="1" minValue="2000" maxValue="12054000"/>
    </cacheField>
    <cacheField name="Warehouse Location" numFmtId="0">
      <sharedItems/>
    </cacheField>
    <cacheField name="Total Stock In" numFmtId="0">
      <sharedItems containsSemiMixedTypes="0" containsString="0" containsNumber="1" containsInteger="1" minValue="0" maxValue="386"/>
    </cacheField>
    <cacheField name="Total Stock Out" numFmtId="0">
      <sharedItems containsSemiMixedTypes="0" containsString="0" containsNumber="1" containsInteger="1" minValue="0" maxValue="311"/>
    </cacheField>
    <cacheField name="Current Stock" numFmtId="0">
      <sharedItems containsSemiMixedTypes="0" containsString="0" containsNumber="1" containsInteger="1" minValue="-223" maxValue="520"/>
    </cacheField>
    <cacheField name="Stock Status" numFmtId="0">
      <sharedItems count="4">
        <s v="IN STOCK"/>
        <s v="LOW STOCK"/>
        <s v="OUT OF STOCK"/>
        <s v="REORDER"/>
      </sharedItems>
    </cacheField>
    <cacheField name="Inventory Value (IDR)" numFmtId="164">
      <sharedItems containsSemiMixedTypes="0" containsString="0" containsNumber="1" containsInteger="1" minValue="-2085342000" maxValue="2014968000"/>
    </cacheField>
    <cacheField name="Physical Count" numFmtId="0">
      <sharedItems containsSemiMixedTypes="0" containsString="0" containsNumber="1" containsInteger="1" minValue="0" maxValue="520"/>
    </cacheField>
    <cacheField name="Variance" numFmtId="0">
      <sharedItems containsSemiMixedTypes="0" containsString="0" containsNumber="1" containsInteger="1" minValue="-3" maxValue="3"/>
    </cacheField>
    <cacheField name="Supplier Name" numFmtId="0">
      <sharedItems/>
    </cacheField>
  </cacheFields>
  <extLst>
    <ext xmlns:x14="http://schemas.microsoft.com/office/spreadsheetml/2009/9/main" uri="{725AE2AE-9491-48be-B2B4-4EB974FC3084}">
      <x14:pivotCacheDefinition pivotCacheId="200401589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318.876902430558" createdVersion="8" refreshedVersion="8" minRefreshableVersion="3" recordCount="500" xr:uid="{5962D599-458F-4560-B0D4-EFF6DAB8E410}">
  <cacheSource type="worksheet">
    <worksheetSource ref="A1:P501" sheet="CURRENT STOCK"/>
  </cacheSource>
  <cacheFields count="16">
    <cacheField name="SKU Code" numFmtId="0">
      <sharedItems/>
    </cacheField>
    <cacheField name="Item Name" numFmtId="0">
      <sharedItems count="50">
        <s v="Keyboard"/>
        <s v="HDMI Cable"/>
        <s v="Webcam"/>
        <s v="Laptop Stand"/>
        <s v="Mouse Pad"/>
        <s v="Headset"/>
        <s v="Adapter"/>
        <s v="USB Hub"/>
        <s v="Mouse"/>
        <s v="USB Cable"/>
        <s v="Graphics Card"/>
        <s v="Processor"/>
        <s v="Power Supply"/>
        <s v="Motherboard"/>
        <s v="CPU Cooler"/>
        <s v="RAM 16GB"/>
        <s v="SSD 512GB"/>
        <s v="PC Case"/>
        <s v="SSD 256GB"/>
        <s v="RAM 8GB"/>
        <s v="A4 Paper"/>
        <s v="Folder"/>
        <s v="Toner Cartridge"/>
        <s v="Sticky Notes"/>
        <s v="Marker"/>
        <s v="Staples"/>
        <s v="Ballpoint Pen"/>
        <s v="Stapler"/>
        <s v="Notebook"/>
        <s v="Printer Ink"/>
        <s v="Label Sticker"/>
        <s v="Poly Mailer"/>
        <s v="Cardboard Box"/>
        <s v="Foam Sheet"/>
        <s v="Packing Tape"/>
        <s v="Pallet"/>
        <s v="Strapping Band"/>
        <s v="Stretch Film"/>
        <s v="Ziplock Bag"/>
        <s v="Bubble Wrap"/>
        <s v="Power Strip"/>
        <s v="Cable Tie"/>
        <s v="Plug Adapter"/>
        <s v="Electrical Tape"/>
        <s v="Network Cable"/>
        <s v="Battery AA"/>
        <s v="Extension Cable"/>
        <s v="Circuit Breaker"/>
        <s v="LED Bulb"/>
        <s v="Battery AAA"/>
      </sharedItems>
    </cacheField>
    <cacheField name="Category" numFmtId="0">
      <sharedItems/>
    </cacheField>
    <cacheField name="Unit" numFmtId="0">
      <sharedItems/>
    </cacheField>
    <cacheField name="Initial Stock" numFmtId="0">
      <sharedItems containsSemiMixedTypes="0" containsString="0" containsNumber="1" containsInteger="1" minValue="10" maxValue="249"/>
    </cacheField>
    <cacheField name="Minimum Stock" numFmtId="0">
      <sharedItems containsSemiMixedTypes="0" containsString="0" containsNumber="1" containsInteger="1" minValue="5" maxValue="50"/>
    </cacheField>
    <cacheField name="Reorder Point" numFmtId="0">
      <sharedItems containsSemiMixedTypes="0" containsString="0" containsNumber="1" containsInteger="1" minValue="15" maxValue="79"/>
    </cacheField>
    <cacheField name="Unit Cost (IDR)" numFmtId="164">
      <sharedItems containsSemiMixedTypes="0" containsString="0" containsNumber="1" containsInteger="1" minValue="2000" maxValue="12054000"/>
    </cacheField>
    <cacheField name="Warehouse Location" numFmtId="0">
      <sharedItems/>
    </cacheField>
    <cacheField name="Total Stock In" numFmtId="0">
      <sharedItems containsSemiMixedTypes="0" containsString="0" containsNumber="1" containsInteger="1" minValue="0" maxValue="386"/>
    </cacheField>
    <cacheField name="Total Stock Out" numFmtId="0">
      <sharedItems containsSemiMixedTypes="0" containsString="0" containsNumber="1" containsInteger="1" minValue="0" maxValue="311"/>
    </cacheField>
    <cacheField name="Current Stock" numFmtId="0">
      <sharedItems containsSemiMixedTypes="0" containsString="0" containsNumber="1" containsInteger="1" minValue="-223" maxValue="520"/>
    </cacheField>
    <cacheField name="Stock Status" numFmtId="0">
      <sharedItems count="4">
        <s v="IN STOCK"/>
        <s v="LOW STOCK"/>
        <s v="OUT OF STOCK"/>
        <s v="REORDER"/>
      </sharedItems>
    </cacheField>
    <cacheField name="Inventory Value (IDR)" numFmtId="164">
      <sharedItems containsSemiMixedTypes="0" containsString="0" containsNumber="1" containsInteger="1" minValue="-2085342000" maxValue="2014968000"/>
    </cacheField>
    <cacheField name="Physical Count" numFmtId="0">
      <sharedItems containsSemiMixedTypes="0" containsString="0" containsNumber="1" containsInteger="1" minValue="0" maxValue="520"/>
    </cacheField>
    <cacheField name="Variance" numFmtId="0">
      <sharedItems containsSemiMixedTypes="0" containsString="0" containsNumber="1" containsInteger="1" minValue="-3" maxValue="3"/>
    </cacheField>
  </cacheFields>
  <extLst>
    <ext xmlns:x14="http://schemas.microsoft.com/office/spreadsheetml/2009/9/main" uri="{725AE2AE-9491-48be-B2B4-4EB974FC3084}">
      <x14:pivotCacheDefinition pivotCacheId="47342552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318.876903009259" createdVersion="8" refreshedVersion="8" minRefreshableVersion="3" recordCount="500" xr:uid="{335316C2-8544-4CDB-9FE7-58FCCEF79A92}">
  <cacheSource type="worksheet">
    <worksheetSource ref="A1:R501" sheet="CURRENT STOCK"/>
  </cacheSource>
  <cacheFields count="18">
    <cacheField name="SKU Code" numFmtId="0">
      <sharedItems/>
    </cacheField>
    <cacheField name="Item Name" numFmtId="0">
      <sharedItems count="50">
        <s v="Keyboard"/>
        <s v="HDMI Cable"/>
        <s v="Webcam"/>
        <s v="Laptop Stand"/>
        <s v="Mouse Pad"/>
        <s v="Headset"/>
        <s v="Adapter"/>
        <s v="USB Hub"/>
        <s v="Mouse"/>
        <s v="USB Cable"/>
        <s v="Graphics Card"/>
        <s v="Processor"/>
        <s v="Power Supply"/>
        <s v="Motherboard"/>
        <s v="CPU Cooler"/>
        <s v="RAM 16GB"/>
        <s v="SSD 512GB"/>
        <s v="PC Case"/>
        <s v="SSD 256GB"/>
        <s v="RAM 8GB"/>
        <s v="A4 Paper"/>
        <s v="Folder"/>
        <s v="Toner Cartridge"/>
        <s v="Sticky Notes"/>
        <s v="Marker"/>
        <s v="Staples"/>
        <s v="Ballpoint Pen"/>
        <s v="Stapler"/>
        <s v="Notebook"/>
        <s v="Printer Ink"/>
        <s v="Label Sticker"/>
        <s v="Poly Mailer"/>
        <s v="Cardboard Box"/>
        <s v="Foam Sheet"/>
        <s v="Packing Tape"/>
        <s v="Pallet"/>
        <s v="Strapping Band"/>
        <s v="Stretch Film"/>
        <s v="Ziplock Bag"/>
        <s v="Bubble Wrap"/>
        <s v="Power Strip"/>
        <s v="Cable Tie"/>
        <s v="Plug Adapter"/>
        <s v="Electrical Tape"/>
        <s v="Network Cable"/>
        <s v="Battery AA"/>
        <s v="Extension Cable"/>
        <s v="Circuit Breaker"/>
        <s v="LED Bulb"/>
        <s v="Battery AAA"/>
      </sharedItems>
    </cacheField>
    <cacheField name="Category" numFmtId="0">
      <sharedItems count="5">
        <s v="Computer Accessories"/>
        <s v="Computer Hardware"/>
        <s v="Office Supplies"/>
        <s v="Packaging Materials"/>
        <s v="Electrical Supplies"/>
      </sharedItems>
    </cacheField>
    <cacheField name="Unit" numFmtId="0">
      <sharedItems/>
    </cacheField>
    <cacheField name="Initial Stock" numFmtId="0">
      <sharedItems containsSemiMixedTypes="0" containsString="0" containsNumber="1" containsInteger="1" minValue="10" maxValue="249"/>
    </cacheField>
    <cacheField name="Minimum Stock" numFmtId="0">
      <sharedItems containsSemiMixedTypes="0" containsString="0" containsNumber="1" containsInteger="1" minValue="5" maxValue="50"/>
    </cacheField>
    <cacheField name="Reorder Point" numFmtId="0">
      <sharedItems containsSemiMixedTypes="0" containsString="0" containsNumber="1" containsInteger="1" minValue="15" maxValue="79"/>
    </cacheField>
    <cacheField name="Unit Cost (IDR)" numFmtId="164">
      <sharedItems containsSemiMixedTypes="0" containsString="0" containsNumber="1" containsInteger="1" minValue="2000" maxValue="12054000"/>
    </cacheField>
    <cacheField name="Warehouse Location" numFmtId="0">
      <sharedItems count="99">
        <s v="A-09-02"/>
        <s v="A-06-02"/>
        <s v="E-06-02"/>
        <s v="E-09-02"/>
        <s v="A-07-02"/>
        <s v="A-03-02"/>
        <s v="B-09-02"/>
        <s v="E-03-01"/>
        <s v="B-08-02"/>
        <s v="E-05-02"/>
        <s v="C-05-01"/>
        <s v="B-05-02"/>
        <s v="A-10-01"/>
        <s v="E-08-02"/>
        <s v="D-02-02"/>
        <s v="D-09-01"/>
        <s v="D-06-01"/>
        <s v="E-10-01"/>
        <s v="E-07-01"/>
        <s v="E-01-02"/>
        <s v="D-05-02"/>
        <s v="C-04-01"/>
        <s v="E-07-02"/>
        <s v="D-04-01"/>
        <s v="D-08-02"/>
        <s v="E-03-02"/>
        <s v="B-06-02"/>
        <s v="C-03-02"/>
        <s v="A-04-02"/>
        <s v="C-09-02"/>
        <s v="C-09-01"/>
        <s v="E-09-01"/>
        <s v="B-09-01"/>
        <s v="D-03-02"/>
        <s v="C-06-02"/>
        <s v="A-06-01"/>
        <s v="C-10-01"/>
        <s v="A-05-02"/>
        <s v="D-10-01"/>
        <s v="D-03-01"/>
        <s v="B-06-01"/>
        <s v="C-07-01"/>
        <s v="A-03-01"/>
        <s v="A-05-01"/>
        <s v="A-02-02"/>
        <s v="C-05-02"/>
        <s v="D-10-02"/>
        <s v="B-03-01"/>
        <s v="D-09-02"/>
        <s v="D-01-01"/>
        <s v="C-02-01"/>
        <s v="E-10-02"/>
        <s v="A-04-01"/>
        <s v="C-10-02"/>
        <s v="C-08-01"/>
        <s v="C-01-01"/>
        <s v="E-06-01"/>
        <s v="C-07-02"/>
        <s v="D-02-01"/>
        <s v="B-02-02"/>
        <s v="C-02-02"/>
        <s v="B-10-02"/>
        <s v="C-06-01"/>
        <s v="C-03-01"/>
        <s v="A-01-02"/>
        <s v="B-04-02"/>
        <s v="D-06-02"/>
        <s v="B-07-01"/>
        <s v="B-05-01"/>
        <s v="B-02-01"/>
        <s v="E-02-01"/>
        <s v="D-08-01"/>
        <s v="C-01-02"/>
        <s v="E-01-01"/>
        <s v="D-05-01"/>
        <s v="A-07-01"/>
        <s v="D-07-01"/>
        <s v="E-04-02"/>
        <s v="B-01-01"/>
        <s v="E-05-01"/>
        <s v="A-02-01"/>
        <s v="E-04-01"/>
        <s v="E-02-02"/>
        <s v="A-08-01"/>
        <s v="C-04-02"/>
        <s v="D-04-02"/>
        <s v="B-10-01"/>
        <s v="A-09-01"/>
        <s v="A-01-01"/>
        <s v="D-07-02"/>
        <s v="B-01-02"/>
        <s v="A-08-02"/>
        <s v="B-08-01"/>
        <s v="B-03-02"/>
        <s v="B-04-01"/>
        <s v="B-07-02"/>
        <s v="D-01-02"/>
        <s v="E-08-01"/>
        <s v="A-10-02"/>
      </sharedItems>
    </cacheField>
    <cacheField name="Total Stock In" numFmtId="0">
      <sharedItems containsSemiMixedTypes="0" containsString="0" containsNumber="1" containsInteger="1" minValue="0" maxValue="386"/>
    </cacheField>
    <cacheField name="Total Stock Out" numFmtId="0">
      <sharedItems containsSemiMixedTypes="0" containsString="0" containsNumber="1" containsInteger="1" minValue="0" maxValue="311"/>
    </cacheField>
    <cacheField name="Current Stock" numFmtId="0">
      <sharedItems containsSemiMixedTypes="0" containsString="0" containsNumber="1" containsInteger="1" minValue="-223" maxValue="520"/>
    </cacheField>
    <cacheField name="Stock Status" numFmtId="0">
      <sharedItems count="4">
        <s v="IN STOCK"/>
        <s v="LOW STOCK"/>
        <s v="OUT OF STOCK"/>
        <s v="REORDER"/>
      </sharedItems>
    </cacheField>
    <cacheField name="Inventory Value (IDR)" numFmtId="164">
      <sharedItems containsSemiMixedTypes="0" containsString="0" containsNumber="1" containsInteger="1" minValue="-2085342000" maxValue="2014968000"/>
    </cacheField>
    <cacheField name="Physical Count" numFmtId="0">
      <sharedItems containsSemiMixedTypes="0" containsString="0" containsNumber="1" containsInteger="1" minValue="0" maxValue="520"/>
    </cacheField>
    <cacheField name="Variance" numFmtId="0">
      <sharedItems containsSemiMixedTypes="0" containsString="0" containsNumber="1" containsInteger="1" minValue="-3" maxValue="3"/>
    </cacheField>
    <cacheField name="Supplier Name" numFmtId="0">
      <sharedItems count="10">
        <s v="CV Prima Logistik"/>
        <s v="PT Sumber Teknologi Nusantara"/>
        <s v="CV Berkah Jaya"/>
        <s v="PT Cipta Sarana Niaga"/>
        <s v="PT Indo Elektrik"/>
        <s v="PT Global Office Supply"/>
        <s v="CV Karya Mandiri"/>
        <s v="PT Solusi Komputer"/>
        <s v="PT Sentosa Distribusi"/>
        <s v="CV Mitra Perkasa"/>
      </sharedItems>
    </cacheField>
    <cacheField name="Status Variance" numFmtId="0">
      <sharedItems count="3">
        <s v="CONFORM"/>
        <s v="SURPLUS"/>
        <s v="MINUS"/>
      </sharedItems>
    </cacheField>
  </cacheFields>
  <extLst>
    <ext xmlns:x14="http://schemas.microsoft.com/office/spreadsheetml/2009/9/main" uri="{725AE2AE-9491-48be-B2B4-4EB974FC3084}">
      <x14:pivotCacheDefinition pivotCacheId="21148249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SKU0001"/>
    <s v="Keyboard"/>
    <s v="Computer Accessories"/>
    <s v="Pcs"/>
    <n v="199"/>
    <n v="22"/>
    <n v="49"/>
    <n v="91000"/>
    <s v="A-09-02"/>
    <n v="158"/>
    <n v="120"/>
    <n v="237"/>
    <x v="0"/>
    <n v="21567000"/>
    <n v="237"/>
    <n v="0"/>
    <s v="CV Prima Logistik"/>
  </r>
  <r>
    <s v="SKU0002"/>
    <s v="HDMI Cable"/>
    <s v="Computer Accessories"/>
    <s v="Pcs"/>
    <n v="161"/>
    <n v="32"/>
    <n v="40"/>
    <n v="31000"/>
    <s v="A-06-02"/>
    <n v="123"/>
    <n v="69"/>
    <n v="215"/>
    <x v="0"/>
    <n v="6665000"/>
    <n v="217"/>
    <n v="2"/>
    <s v="PT Sumber Teknologi Nusantara"/>
  </r>
  <r>
    <s v="SKU0003"/>
    <s v="Webcam"/>
    <s v="Computer Accessories"/>
    <s v="Pcs"/>
    <n v="164"/>
    <n v="6"/>
    <n v="41"/>
    <n v="438000"/>
    <s v="E-06-02"/>
    <n v="248"/>
    <n v="13"/>
    <n v="399"/>
    <x v="0"/>
    <n v="174762000"/>
    <n v="402"/>
    <n v="3"/>
    <s v="CV Prima Logistik"/>
  </r>
  <r>
    <s v="SKU0004"/>
    <s v="Laptop Stand"/>
    <s v="Computer Accessories"/>
    <s v="Pcs"/>
    <n v="124"/>
    <n v="42"/>
    <n v="55"/>
    <n v="192000"/>
    <s v="E-09-02"/>
    <n v="59"/>
    <n v="121"/>
    <n v="62"/>
    <x v="0"/>
    <n v="11904000"/>
    <n v="59"/>
    <n v="-3"/>
    <s v="PT Sumber Teknologi Nusantara"/>
  </r>
  <r>
    <s v="SKU0005"/>
    <s v="Laptop Stand"/>
    <s v="Computer Accessories"/>
    <s v="Pcs"/>
    <n v="81"/>
    <n v="14"/>
    <n v="25"/>
    <n v="254000"/>
    <s v="A-07-02"/>
    <n v="175"/>
    <n v="22"/>
    <n v="234"/>
    <x v="0"/>
    <n v="59436000"/>
    <n v="231"/>
    <n v="-3"/>
    <s v="CV Berkah Jaya"/>
  </r>
  <r>
    <s v="SKU0006"/>
    <s v="Laptop Stand"/>
    <s v="Computer Accessories"/>
    <s v="Pcs"/>
    <n v="101"/>
    <n v="27"/>
    <n v="51"/>
    <n v="129000"/>
    <s v="A-03-02"/>
    <n v="152"/>
    <n v="144"/>
    <n v="109"/>
    <x v="0"/>
    <n v="14061000"/>
    <n v="108"/>
    <n v="-1"/>
    <s v="PT Cipta Sarana Niaga"/>
  </r>
  <r>
    <s v="SKU0007"/>
    <s v="HDMI Cable"/>
    <s v="Computer Accessories"/>
    <s v="Pcs"/>
    <n v="246"/>
    <n v="29"/>
    <n v="61"/>
    <n v="35000"/>
    <s v="B-09-02"/>
    <n v="261"/>
    <n v="46"/>
    <n v="461"/>
    <x v="0"/>
    <n v="16135000"/>
    <n v="461"/>
    <n v="0"/>
    <s v="PT Indo Elektrik"/>
  </r>
  <r>
    <s v="SKU0008"/>
    <s v="Mouse Pad"/>
    <s v="Computer Accessories"/>
    <s v="Pcs"/>
    <n v="59"/>
    <n v="50"/>
    <n v="57"/>
    <n v="88000"/>
    <s v="E-03-01"/>
    <n v="73"/>
    <n v="63"/>
    <n v="69"/>
    <x v="0"/>
    <n v="6072000"/>
    <n v="69"/>
    <n v="0"/>
    <s v="PT Sumber Teknologi Nusantara"/>
  </r>
  <r>
    <s v="SKU0009"/>
    <s v="Headset"/>
    <s v="Computer Accessories"/>
    <s v="Pcs"/>
    <n v="228"/>
    <n v="19"/>
    <n v="57"/>
    <n v="130000"/>
    <s v="B-08-02"/>
    <n v="107"/>
    <n v="194"/>
    <n v="141"/>
    <x v="0"/>
    <n v="18330000"/>
    <n v="141"/>
    <n v="0"/>
    <s v="PT Global Office Supply"/>
  </r>
  <r>
    <s v="SKU0010"/>
    <s v="Mouse Pad"/>
    <s v="Computer Accessories"/>
    <s v="Pcs"/>
    <n v="104"/>
    <n v="27"/>
    <n v="38"/>
    <n v="35000"/>
    <s v="E-05-02"/>
    <n v="36"/>
    <n v="92"/>
    <n v="48"/>
    <x v="0"/>
    <n v="1680000"/>
    <n v="47"/>
    <n v="-1"/>
    <s v="PT Cipta Sarana Niaga"/>
  </r>
  <r>
    <s v="SKU0011"/>
    <s v="Adapter"/>
    <s v="Computer Accessories"/>
    <s v="Pcs"/>
    <n v="146"/>
    <n v="20"/>
    <n v="36"/>
    <n v="68000"/>
    <s v="C-05-01"/>
    <n v="67"/>
    <n v="190"/>
    <n v="23"/>
    <x v="1"/>
    <n v="1564000"/>
    <n v="23"/>
    <n v="0"/>
    <s v="CV Karya Mandiri"/>
  </r>
  <r>
    <s v="SKU0012"/>
    <s v="HDMI Cable"/>
    <s v="Computer Accessories"/>
    <s v="Pcs"/>
    <n v="185"/>
    <n v="25"/>
    <n v="54"/>
    <n v="48000"/>
    <s v="B-05-02"/>
    <n v="74"/>
    <n v="187"/>
    <n v="72"/>
    <x v="0"/>
    <n v="3456000"/>
    <n v="73"/>
    <n v="1"/>
    <s v="PT Sumber Teknologi Nusantara"/>
  </r>
  <r>
    <s v="SKU0013"/>
    <s v="Mouse Pad"/>
    <s v="Computer Accessories"/>
    <s v="Pcs"/>
    <n v="78"/>
    <n v="9"/>
    <n v="20"/>
    <n v="66000"/>
    <s v="E-06-02"/>
    <n v="171"/>
    <n v="179"/>
    <n v="70"/>
    <x v="0"/>
    <n v="4620000"/>
    <n v="69"/>
    <n v="-1"/>
    <s v="PT Solusi Komputer"/>
  </r>
  <r>
    <s v="SKU0014"/>
    <s v="Webcam"/>
    <s v="Computer Accessories"/>
    <s v="Pcs"/>
    <n v="137"/>
    <n v="30"/>
    <n v="55"/>
    <n v="515000"/>
    <s v="A-10-01"/>
    <n v="98"/>
    <n v="63"/>
    <n v="172"/>
    <x v="0"/>
    <n v="88580000"/>
    <n v="171"/>
    <n v="-1"/>
    <s v="CV Karya Mandiri"/>
  </r>
  <r>
    <s v="SKU0015"/>
    <s v="USB Hub"/>
    <s v="Computer Accessories"/>
    <s v="Pcs"/>
    <n v="200"/>
    <n v="40"/>
    <n v="62"/>
    <n v="133000"/>
    <s v="E-08-02"/>
    <n v="84"/>
    <n v="123"/>
    <n v="161"/>
    <x v="0"/>
    <n v="21413000"/>
    <n v="159"/>
    <n v="-2"/>
    <s v="PT Cipta Sarana Niaga"/>
  </r>
  <r>
    <s v="SKU0016"/>
    <s v="Laptop Stand"/>
    <s v="Computer Accessories"/>
    <s v="Pcs"/>
    <n v="102"/>
    <n v="19"/>
    <n v="28"/>
    <n v="284000"/>
    <s v="D-02-02"/>
    <n v="283"/>
    <n v="257"/>
    <n v="128"/>
    <x v="0"/>
    <n v="36352000"/>
    <n v="129"/>
    <n v="1"/>
    <s v="PT Indo Elektrik"/>
  </r>
  <r>
    <s v="SKU0017"/>
    <s v="Mouse"/>
    <s v="Computer Accessories"/>
    <s v="Pcs"/>
    <n v="49"/>
    <n v="45"/>
    <n v="55"/>
    <n v="59000"/>
    <s v="D-09-01"/>
    <n v="47"/>
    <n v="155"/>
    <n v="-59"/>
    <x v="2"/>
    <n v="-3481000"/>
    <n v="0"/>
    <n v="0"/>
    <s v="PT Global Office Supply"/>
  </r>
  <r>
    <s v="SKU0018"/>
    <s v="Laptop Stand"/>
    <s v="Computer Accessories"/>
    <s v="Pcs"/>
    <n v="162"/>
    <n v="34"/>
    <n v="55"/>
    <n v="275000"/>
    <s v="D-06-01"/>
    <n v="44"/>
    <n v="105"/>
    <n v="101"/>
    <x v="0"/>
    <n v="27775000"/>
    <n v="102"/>
    <n v="1"/>
    <s v="PT Cipta Sarana Niaga"/>
  </r>
  <r>
    <s v="SKU0019"/>
    <s v="Keyboard"/>
    <s v="Computer Accessories"/>
    <s v="Pcs"/>
    <n v="236"/>
    <n v="39"/>
    <n v="68"/>
    <n v="259000"/>
    <s v="E-10-01"/>
    <n v="111"/>
    <n v="171"/>
    <n v="176"/>
    <x v="0"/>
    <n v="45584000"/>
    <n v="177"/>
    <n v="1"/>
    <s v="PT Cipta Sarana Niaga"/>
  </r>
  <r>
    <s v="SKU0020"/>
    <s v="Keyboard"/>
    <s v="Computer Accessories"/>
    <s v="Pcs"/>
    <n v="121"/>
    <n v="15"/>
    <n v="34"/>
    <n v="160000"/>
    <s v="E-07-01"/>
    <n v="88"/>
    <n v="105"/>
    <n v="104"/>
    <x v="0"/>
    <n v="16640000"/>
    <n v="107"/>
    <n v="3"/>
    <s v="PT Sumber Teknologi Nusantara"/>
  </r>
  <r>
    <s v="SKU0021"/>
    <s v="HDMI Cable"/>
    <s v="Computer Accessories"/>
    <s v="Pcs"/>
    <n v="55"/>
    <n v="37"/>
    <n v="45"/>
    <n v="117000"/>
    <s v="E-01-02"/>
    <n v="27"/>
    <n v="22"/>
    <n v="60"/>
    <x v="0"/>
    <n v="7020000"/>
    <n v="60"/>
    <n v="0"/>
    <s v="PT Cipta Sarana Niaga"/>
  </r>
  <r>
    <s v="SKU0022"/>
    <s v="Adapter"/>
    <s v="Computer Accessories"/>
    <s v="Pcs"/>
    <n v="49"/>
    <n v="28"/>
    <n v="57"/>
    <n v="75000"/>
    <s v="D-05-02"/>
    <n v="94"/>
    <n v="150"/>
    <n v="-7"/>
    <x v="2"/>
    <n v="-525000"/>
    <n v="0"/>
    <n v="0"/>
    <s v="PT Sentosa Distribusi"/>
  </r>
  <r>
    <s v="SKU0023"/>
    <s v="Mouse"/>
    <s v="Computer Accessories"/>
    <s v="Pcs"/>
    <n v="92"/>
    <n v="36"/>
    <n v="41"/>
    <n v="121000"/>
    <s v="C-04-01"/>
    <n v="86"/>
    <n v="195"/>
    <n v="-17"/>
    <x v="2"/>
    <n v="-2057000"/>
    <n v="0"/>
    <n v="0"/>
    <s v="CV Mitra Perkasa"/>
  </r>
  <r>
    <s v="SKU0024"/>
    <s v="Webcam"/>
    <s v="Computer Accessories"/>
    <s v="Pcs"/>
    <n v="71"/>
    <n v="41"/>
    <n v="48"/>
    <n v="209000"/>
    <s v="E-07-02"/>
    <n v="203"/>
    <n v="182"/>
    <n v="92"/>
    <x v="0"/>
    <n v="19228000"/>
    <n v="93"/>
    <n v="1"/>
    <s v="CV Mitra Perkasa"/>
  </r>
  <r>
    <s v="SKU0025"/>
    <s v="Keyboard"/>
    <s v="Computer Accessories"/>
    <s v="Pcs"/>
    <n v="146"/>
    <n v="13"/>
    <n v="36"/>
    <n v="279000"/>
    <s v="D-06-01"/>
    <n v="223"/>
    <n v="190"/>
    <n v="179"/>
    <x v="0"/>
    <n v="49941000"/>
    <n v="181"/>
    <n v="2"/>
    <s v="CV Karya Mandiri"/>
  </r>
  <r>
    <s v="SKU0026"/>
    <s v="Headset"/>
    <s v="Computer Accessories"/>
    <s v="Pcs"/>
    <n v="233"/>
    <n v="43"/>
    <n v="61"/>
    <n v="360000"/>
    <s v="D-05-02"/>
    <n v="132"/>
    <n v="68"/>
    <n v="297"/>
    <x v="0"/>
    <n v="106920000"/>
    <n v="294"/>
    <n v="-3"/>
    <s v="CV Prima Logistik"/>
  </r>
  <r>
    <s v="SKU0027"/>
    <s v="Headset"/>
    <s v="Computer Accessories"/>
    <s v="Pcs"/>
    <n v="181"/>
    <n v="46"/>
    <n v="62"/>
    <n v="294000"/>
    <s v="D-04-01"/>
    <n v="117"/>
    <n v="38"/>
    <n v="260"/>
    <x v="0"/>
    <n v="76440000"/>
    <n v="261"/>
    <n v="1"/>
    <s v="CV Karya Mandiri"/>
  </r>
  <r>
    <s v="SKU0028"/>
    <s v="Keyboard"/>
    <s v="Computer Accessories"/>
    <s v="Pcs"/>
    <n v="67"/>
    <n v="9"/>
    <n v="24"/>
    <n v="148000"/>
    <s v="D-08-02"/>
    <n v="344"/>
    <n v="258"/>
    <n v="153"/>
    <x v="0"/>
    <n v="22644000"/>
    <n v="155"/>
    <n v="2"/>
    <s v="PT Sumber Teknologi Nusantara"/>
  </r>
  <r>
    <s v="SKU0029"/>
    <s v="Webcam"/>
    <s v="Computer Accessories"/>
    <s v="Pcs"/>
    <n v="66"/>
    <n v="5"/>
    <n v="16"/>
    <n v="481000"/>
    <s v="B-05-02"/>
    <n v="57"/>
    <n v="114"/>
    <n v="9"/>
    <x v="1"/>
    <n v="4329000"/>
    <n v="9"/>
    <n v="0"/>
    <s v="PT Sumber Teknologi Nusantara"/>
  </r>
  <r>
    <s v="SKU0030"/>
    <s v="Mouse"/>
    <s v="Computer Accessories"/>
    <s v="Pcs"/>
    <n v="28"/>
    <n v="37"/>
    <n v="49"/>
    <n v="87000"/>
    <s v="E-03-02"/>
    <n v="0"/>
    <n v="251"/>
    <n v="-223"/>
    <x v="2"/>
    <n v="-19401000"/>
    <n v="0"/>
    <n v="0"/>
    <s v="PT Cipta Sarana Niaga"/>
  </r>
  <r>
    <s v="SKU0031"/>
    <s v="Webcam"/>
    <s v="Computer Accessories"/>
    <s v="Pcs"/>
    <n v="43"/>
    <n v="41"/>
    <n v="64"/>
    <n v="456000"/>
    <s v="B-06-02"/>
    <n v="55"/>
    <n v="234"/>
    <n v="-136"/>
    <x v="2"/>
    <n v="-62016000"/>
    <n v="0"/>
    <n v="0"/>
    <s v="CV Karya Mandiri"/>
  </r>
  <r>
    <s v="SKU0032"/>
    <s v="Laptop Stand"/>
    <s v="Computer Accessories"/>
    <s v="Pcs"/>
    <n v="34"/>
    <n v="11"/>
    <n v="37"/>
    <n v="177000"/>
    <s v="C-03-02"/>
    <n v="138"/>
    <n v="73"/>
    <n v="99"/>
    <x v="0"/>
    <n v="17523000"/>
    <n v="97"/>
    <n v="-2"/>
    <s v="PT Global Office Supply"/>
  </r>
  <r>
    <s v="SKU0033"/>
    <s v="Laptop Stand"/>
    <s v="Computer Accessories"/>
    <s v="Pcs"/>
    <n v="231"/>
    <n v="8"/>
    <n v="57"/>
    <n v="319000"/>
    <s v="A-04-02"/>
    <n v="137"/>
    <n v="143"/>
    <n v="225"/>
    <x v="0"/>
    <n v="71775000"/>
    <n v="225"/>
    <n v="0"/>
    <s v="CV Mitra Perkasa"/>
  </r>
  <r>
    <s v="SKU0034"/>
    <s v="Mouse Pad"/>
    <s v="Computer Accessories"/>
    <s v="Pcs"/>
    <n v="73"/>
    <n v="17"/>
    <n v="28"/>
    <n v="28000"/>
    <s v="C-09-02"/>
    <n v="92"/>
    <n v="101"/>
    <n v="64"/>
    <x v="0"/>
    <n v="1792000"/>
    <n v="64"/>
    <n v="0"/>
    <s v="PT Indo Elektrik"/>
  </r>
  <r>
    <s v="SKU0035"/>
    <s v="Laptop Stand"/>
    <s v="Computer Accessories"/>
    <s v="Pcs"/>
    <n v="81"/>
    <n v="34"/>
    <n v="46"/>
    <n v="173000"/>
    <s v="C-09-01"/>
    <n v="193"/>
    <n v="303"/>
    <n v="-29"/>
    <x v="2"/>
    <n v="-5017000"/>
    <n v="0"/>
    <n v="0"/>
    <s v="CV Mitra Perkasa"/>
  </r>
  <r>
    <s v="SKU0036"/>
    <s v="Keyboard"/>
    <s v="Computer Accessories"/>
    <s v="Pcs"/>
    <n v="176"/>
    <n v="39"/>
    <n v="44"/>
    <n v="97000"/>
    <s v="E-09-01"/>
    <n v="30"/>
    <n v="1"/>
    <n v="205"/>
    <x v="0"/>
    <n v="19885000"/>
    <n v="203"/>
    <n v="-2"/>
    <s v="CV Mitra Perkasa"/>
  </r>
  <r>
    <s v="SKU0037"/>
    <s v="USB Hub"/>
    <s v="Computer Accessories"/>
    <s v="Pcs"/>
    <n v="134"/>
    <n v="35"/>
    <n v="46"/>
    <n v="174000"/>
    <s v="A-04-02"/>
    <n v="200"/>
    <n v="140"/>
    <n v="194"/>
    <x v="0"/>
    <n v="33756000"/>
    <n v="194"/>
    <n v="0"/>
    <s v="PT Global Office Supply"/>
  </r>
  <r>
    <s v="SKU0038"/>
    <s v="Laptop Stand"/>
    <s v="Computer Accessories"/>
    <s v="Pcs"/>
    <n v="109"/>
    <n v="21"/>
    <n v="51"/>
    <n v="81000"/>
    <s v="B-09-01"/>
    <n v="116"/>
    <n v="221"/>
    <n v="4"/>
    <x v="3"/>
    <n v="324000"/>
    <n v="1"/>
    <n v="-3"/>
    <s v="CV Karya Mandiri"/>
  </r>
  <r>
    <s v="SKU0039"/>
    <s v="HDMI Cable"/>
    <s v="Computer Accessories"/>
    <s v="Pcs"/>
    <n v="193"/>
    <n v="36"/>
    <n v="48"/>
    <n v="104000"/>
    <s v="B-09-02"/>
    <n v="33"/>
    <n v="79"/>
    <n v="147"/>
    <x v="0"/>
    <n v="15288000"/>
    <n v="145"/>
    <n v="-2"/>
    <s v="CV Prima Logistik"/>
  </r>
  <r>
    <s v="SKU0040"/>
    <s v="Mouse"/>
    <s v="Computer Accessories"/>
    <s v="Pcs"/>
    <n v="198"/>
    <n v="39"/>
    <n v="49"/>
    <n v="119000"/>
    <s v="A-04-02"/>
    <n v="36"/>
    <n v="46"/>
    <n v="188"/>
    <x v="0"/>
    <n v="22372000"/>
    <n v="189"/>
    <n v="1"/>
    <s v="CV Berkah Jaya"/>
  </r>
  <r>
    <s v="SKU0041"/>
    <s v="Adapter"/>
    <s v="Computer Accessories"/>
    <s v="Pcs"/>
    <n v="138"/>
    <n v="38"/>
    <n v="48"/>
    <n v="147000"/>
    <s v="D-03-02"/>
    <n v="163"/>
    <n v="195"/>
    <n v="106"/>
    <x v="0"/>
    <n v="15582000"/>
    <n v="106"/>
    <n v="0"/>
    <s v="PT Sumber Teknologi Nusantara"/>
  </r>
  <r>
    <s v="SKU0042"/>
    <s v="USB Hub"/>
    <s v="Computer Accessories"/>
    <s v="Pcs"/>
    <n v="162"/>
    <n v="9"/>
    <n v="40"/>
    <n v="87000"/>
    <s v="C-06-02"/>
    <n v="112"/>
    <n v="43"/>
    <n v="231"/>
    <x v="0"/>
    <n v="20097000"/>
    <n v="230"/>
    <n v="-1"/>
    <s v="CV Prima Logistik"/>
  </r>
  <r>
    <s v="SKU0043"/>
    <s v="Adapter"/>
    <s v="Computer Accessories"/>
    <s v="Pcs"/>
    <n v="158"/>
    <n v="43"/>
    <n v="49"/>
    <n v="88000"/>
    <s v="A-06-01"/>
    <n v="329"/>
    <n v="213"/>
    <n v="274"/>
    <x v="0"/>
    <n v="24112000"/>
    <n v="275"/>
    <n v="1"/>
    <s v="PT Solusi Komputer"/>
  </r>
  <r>
    <s v="SKU0044"/>
    <s v="Adapter"/>
    <s v="Computer Accessories"/>
    <s v="Pcs"/>
    <n v="143"/>
    <n v="25"/>
    <n v="38"/>
    <n v="169000"/>
    <s v="E-03-02"/>
    <n v="330"/>
    <n v="81"/>
    <n v="392"/>
    <x v="0"/>
    <n v="66248000"/>
    <n v="390"/>
    <n v="-2"/>
    <s v="CV Prima Logistik"/>
  </r>
  <r>
    <s v="SKU0045"/>
    <s v="Webcam"/>
    <s v="Computer Accessories"/>
    <s v="Pcs"/>
    <n v="111"/>
    <n v="13"/>
    <n v="39"/>
    <n v="315000"/>
    <s v="C-10-01"/>
    <n v="135"/>
    <n v="61"/>
    <n v="185"/>
    <x v="0"/>
    <n v="58275000"/>
    <n v="182"/>
    <n v="-3"/>
    <s v="PT Cipta Sarana Niaga"/>
  </r>
  <r>
    <s v="SKU0046"/>
    <s v="Keyboard"/>
    <s v="Computer Accessories"/>
    <s v="Pcs"/>
    <n v="127"/>
    <n v="44"/>
    <n v="67"/>
    <n v="87000"/>
    <s v="A-05-02"/>
    <n v="64"/>
    <n v="78"/>
    <n v="113"/>
    <x v="0"/>
    <n v="9831000"/>
    <n v="115"/>
    <n v="2"/>
    <s v="CV Mitra Perkasa"/>
  </r>
  <r>
    <s v="SKU0047"/>
    <s v="Webcam"/>
    <s v="Computer Accessories"/>
    <s v="Pcs"/>
    <n v="77"/>
    <n v="13"/>
    <n v="29"/>
    <n v="439000"/>
    <s v="B-06-02"/>
    <n v="224"/>
    <n v="212"/>
    <n v="89"/>
    <x v="0"/>
    <n v="39071000"/>
    <n v="86"/>
    <n v="-3"/>
    <s v="CV Mitra Perkasa"/>
  </r>
  <r>
    <s v="SKU0048"/>
    <s v="Headset"/>
    <s v="Computer Accessories"/>
    <s v="Pcs"/>
    <n v="122"/>
    <n v="39"/>
    <n v="66"/>
    <n v="170000"/>
    <s v="D-10-01"/>
    <n v="166"/>
    <n v="137"/>
    <n v="151"/>
    <x v="0"/>
    <n v="25670000"/>
    <n v="151"/>
    <n v="0"/>
    <s v="PT Cipta Sarana Niaga"/>
  </r>
  <r>
    <s v="SKU0049"/>
    <s v="Mouse"/>
    <s v="Computer Accessories"/>
    <s v="Pcs"/>
    <n v="219"/>
    <n v="40"/>
    <n v="54"/>
    <n v="130000"/>
    <s v="A-09-02"/>
    <n v="67"/>
    <n v="128"/>
    <n v="158"/>
    <x v="0"/>
    <n v="20540000"/>
    <n v="158"/>
    <n v="0"/>
    <s v="CV Mitra Perkasa"/>
  </r>
  <r>
    <s v="SKU0050"/>
    <s v="Keyboard"/>
    <s v="Computer Accessories"/>
    <s v="Pcs"/>
    <n v="200"/>
    <n v="40"/>
    <n v="50"/>
    <n v="112000"/>
    <s v="B-09-01"/>
    <n v="124"/>
    <n v="60"/>
    <n v="264"/>
    <x v="0"/>
    <n v="29568000"/>
    <n v="264"/>
    <n v="0"/>
    <s v="PT Cipta Sarana Niaga"/>
  </r>
  <r>
    <s v="SKU0051"/>
    <s v="Webcam"/>
    <s v="Computer Accessories"/>
    <s v="Pcs"/>
    <n v="97"/>
    <n v="18"/>
    <n v="44"/>
    <n v="547000"/>
    <s v="D-03-01"/>
    <n v="25"/>
    <n v="42"/>
    <n v="80"/>
    <x v="0"/>
    <n v="43760000"/>
    <n v="77"/>
    <n v="-3"/>
    <s v="PT Cipta Sarana Niaga"/>
  </r>
  <r>
    <s v="SKU0052"/>
    <s v="Headset"/>
    <s v="Computer Accessories"/>
    <s v="Pcs"/>
    <n v="33"/>
    <n v="45"/>
    <n v="63"/>
    <n v="116000"/>
    <s v="A-03-02"/>
    <n v="64"/>
    <n v="209"/>
    <n v="-112"/>
    <x v="2"/>
    <n v="-12992000"/>
    <n v="0"/>
    <n v="0"/>
    <s v="PT Cipta Sarana Niaga"/>
  </r>
  <r>
    <s v="SKU0053"/>
    <s v="Mouse Pad"/>
    <s v="Computer Accessories"/>
    <s v="Pcs"/>
    <n v="173"/>
    <n v="21"/>
    <n v="43"/>
    <n v="31000"/>
    <s v="D-06-01"/>
    <n v="224"/>
    <n v="114"/>
    <n v="283"/>
    <x v="0"/>
    <n v="8773000"/>
    <n v="283"/>
    <n v="0"/>
    <s v="CV Karya Mandiri"/>
  </r>
  <r>
    <s v="SKU0054"/>
    <s v="HDMI Cable"/>
    <s v="Computer Accessories"/>
    <s v="Pcs"/>
    <n v="38"/>
    <n v="9"/>
    <n v="36"/>
    <n v="21000"/>
    <s v="D-05-02"/>
    <n v="179"/>
    <n v="183"/>
    <n v="34"/>
    <x v="1"/>
    <n v="714000"/>
    <n v="33"/>
    <n v="-1"/>
    <s v="PT Sentosa Distribusi"/>
  </r>
  <r>
    <s v="SKU0055"/>
    <s v="Mouse Pad"/>
    <s v="Computer Accessories"/>
    <s v="Pcs"/>
    <n v="151"/>
    <n v="14"/>
    <n v="37"/>
    <n v="89000"/>
    <s v="A-03-02"/>
    <n v="51"/>
    <n v="158"/>
    <n v="44"/>
    <x v="0"/>
    <n v="3916000"/>
    <n v="44"/>
    <n v="0"/>
    <s v="PT Sentosa Distribusi"/>
  </r>
  <r>
    <s v="SKU0056"/>
    <s v="Mouse Pad"/>
    <s v="Computer Accessories"/>
    <s v="Pcs"/>
    <n v="240"/>
    <n v="27"/>
    <n v="60"/>
    <n v="20000"/>
    <s v="E-03-02"/>
    <n v="141"/>
    <n v="135"/>
    <n v="246"/>
    <x v="0"/>
    <n v="4920000"/>
    <n v="246"/>
    <n v="0"/>
    <s v="CV Prima Logistik"/>
  </r>
  <r>
    <s v="SKU0057"/>
    <s v="Mouse Pad"/>
    <s v="Computer Accessories"/>
    <s v="Pcs"/>
    <n v="236"/>
    <n v="31"/>
    <n v="59"/>
    <n v="86000"/>
    <s v="B-06-01"/>
    <n v="294"/>
    <n v="45"/>
    <n v="485"/>
    <x v="0"/>
    <n v="41710000"/>
    <n v="483"/>
    <n v="-2"/>
    <s v="PT Sentosa Distribusi"/>
  </r>
  <r>
    <s v="SKU0058"/>
    <s v="USB Hub"/>
    <s v="Computer Accessories"/>
    <s v="Pcs"/>
    <n v="16"/>
    <n v="16"/>
    <n v="44"/>
    <n v="175000"/>
    <s v="C-07-01"/>
    <n v="187"/>
    <n v="101"/>
    <n v="102"/>
    <x v="0"/>
    <n v="17850000"/>
    <n v="105"/>
    <n v="3"/>
    <s v="CV Berkah Jaya"/>
  </r>
  <r>
    <s v="SKU0059"/>
    <s v="Headset"/>
    <s v="Computer Accessories"/>
    <s v="Pcs"/>
    <n v="211"/>
    <n v="49"/>
    <n v="57"/>
    <n v="171000"/>
    <s v="A-03-01"/>
    <n v="369"/>
    <n v="60"/>
    <n v="520"/>
    <x v="0"/>
    <n v="88920000"/>
    <n v="520"/>
    <n v="0"/>
    <s v="PT Global Office Supply"/>
  </r>
  <r>
    <s v="SKU0060"/>
    <s v="Webcam"/>
    <s v="Computer Accessories"/>
    <s v="Pcs"/>
    <n v="219"/>
    <n v="34"/>
    <n v="54"/>
    <n v="282000"/>
    <s v="B-05-02"/>
    <n v="47"/>
    <n v="165"/>
    <n v="101"/>
    <x v="0"/>
    <n v="28482000"/>
    <n v="100"/>
    <n v="-1"/>
    <s v="PT Cipta Sarana Niaga"/>
  </r>
  <r>
    <s v="SKU0061"/>
    <s v="Mouse"/>
    <s v="Computer Accessories"/>
    <s v="Pcs"/>
    <n v="59"/>
    <n v="30"/>
    <n v="45"/>
    <n v="129000"/>
    <s v="A-05-01"/>
    <n v="59"/>
    <n v="191"/>
    <n v="-73"/>
    <x v="2"/>
    <n v="-9417000"/>
    <n v="0"/>
    <n v="0"/>
    <s v="PT Cipta Sarana Niaga"/>
  </r>
  <r>
    <s v="SKU0062"/>
    <s v="Mouse Pad"/>
    <s v="Computer Accessories"/>
    <s v="Pcs"/>
    <n v="112"/>
    <n v="48"/>
    <n v="70"/>
    <n v="80000"/>
    <s v="A-02-02"/>
    <n v="94"/>
    <n v="44"/>
    <n v="162"/>
    <x v="0"/>
    <n v="12960000"/>
    <n v="165"/>
    <n v="3"/>
    <s v="CV Berkah Jaya"/>
  </r>
  <r>
    <s v="SKU0063"/>
    <s v="Headset"/>
    <s v="Computer Accessories"/>
    <s v="Pcs"/>
    <n v="158"/>
    <n v="21"/>
    <n v="39"/>
    <n v="181000"/>
    <s v="D-09-01"/>
    <n v="205"/>
    <n v="156"/>
    <n v="207"/>
    <x v="0"/>
    <n v="37467000"/>
    <n v="207"/>
    <n v="0"/>
    <s v="CV Mitra Perkasa"/>
  </r>
  <r>
    <s v="SKU0064"/>
    <s v="Mouse Pad"/>
    <s v="Computer Accessories"/>
    <s v="Pcs"/>
    <n v="121"/>
    <n v="43"/>
    <n v="64"/>
    <n v="55000"/>
    <s v="C-05-02"/>
    <n v="46"/>
    <n v="94"/>
    <n v="73"/>
    <x v="0"/>
    <n v="4015000"/>
    <n v="76"/>
    <n v="3"/>
    <s v="CV Mitra Perkasa"/>
  </r>
  <r>
    <s v="SKU0065"/>
    <s v="Webcam"/>
    <s v="Computer Accessories"/>
    <s v="Pcs"/>
    <n v="21"/>
    <n v="50"/>
    <n v="68"/>
    <n v="310000"/>
    <s v="D-04-01"/>
    <n v="49"/>
    <n v="230"/>
    <n v="-160"/>
    <x v="2"/>
    <n v="-49600000"/>
    <n v="0"/>
    <n v="0"/>
    <s v="PT Sumber Teknologi Nusantara"/>
  </r>
  <r>
    <s v="SKU0066"/>
    <s v="Webcam"/>
    <s v="Computer Accessories"/>
    <s v="Pcs"/>
    <n v="120"/>
    <n v="9"/>
    <n v="35"/>
    <n v="366000"/>
    <s v="D-10-02"/>
    <n v="181"/>
    <n v="152"/>
    <n v="149"/>
    <x v="0"/>
    <n v="54534000"/>
    <n v="149"/>
    <n v="0"/>
    <s v="CV Berkah Jaya"/>
  </r>
  <r>
    <s v="SKU0067"/>
    <s v="Keyboard"/>
    <s v="Computer Accessories"/>
    <s v="Pcs"/>
    <n v="240"/>
    <n v="24"/>
    <n v="60"/>
    <n v="269000"/>
    <s v="E-03-02"/>
    <n v="98"/>
    <n v="260"/>
    <n v="78"/>
    <x v="0"/>
    <n v="20982000"/>
    <n v="75"/>
    <n v="-3"/>
    <s v="PT Cipta Sarana Niaga"/>
  </r>
  <r>
    <s v="SKU0068"/>
    <s v="Mouse Pad"/>
    <s v="Computer Accessories"/>
    <s v="Pcs"/>
    <n v="188"/>
    <n v="23"/>
    <n v="47"/>
    <n v="66000"/>
    <s v="B-03-01"/>
    <n v="63"/>
    <n v="174"/>
    <n v="77"/>
    <x v="0"/>
    <n v="5082000"/>
    <n v="74"/>
    <n v="-3"/>
    <s v="PT Sentosa Distribusi"/>
  </r>
  <r>
    <s v="SKU0069"/>
    <s v="Laptop Stand"/>
    <s v="Computer Accessories"/>
    <s v="Pcs"/>
    <n v="167"/>
    <n v="41"/>
    <n v="55"/>
    <n v="169000"/>
    <s v="D-06-01"/>
    <n v="67"/>
    <n v="138"/>
    <n v="96"/>
    <x v="0"/>
    <n v="16224000"/>
    <n v="96"/>
    <n v="0"/>
    <s v="PT Global Office Supply"/>
  </r>
  <r>
    <s v="SKU0070"/>
    <s v="Headset"/>
    <s v="Computer Accessories"/>
    <s v="Pcs"/>
    <n v="63"/>
    <n v="32"/>
    <n v="62"/>
    <n v="236000"/>
    <s v="D-09-02"/>
    <n v="151"/>
    <n v="109"/>
    <n v="105"/>
    <x v="0"/>
    <n v="24780000"/>
    <n v="103"/>
    <n v="-2"/>
    <s v="PT Solusi Komputer"/>
  </r>
  <r>
    <s v="SKU0071"/>
    <s v="USB Cable"/>
    <s v="Computer Accessories"/>
    <s v="Pcs"/>
    <n v="123"/>
    <n v="48"/>
    <n v="59"/>
    <n v="66000"/>
    <s v="D-01-01"/>
    <n v="238"/>
    <n v="83"/>
    <n v="278"/>
    <x v="0"/>
    <n v="18348000"/>
    <n v="279"/>
    <n v="1"/>
    <s v="PT Indo Elektrik"/>
  </r>
  <r>
    <s v="SKU0072"/>
    <s v="Keyboard"/>
    <s v="Computer Accessories"/>
    <s v="Pcs"/>
    <n v="141"/>
    <n v="47"/>
    <n v="72"/>
    <n v="157000"/>
    <s v="C-02-01"/>
    <n v="173"/>
    <n v="209"/>
    <n v="105"/>
    <x v="0"/>
    <n v="16485000"/>
    <n v="103"/>
    <n v="-2"/>
    <s v="PT Solusi Komputer"/>
  </r>
  <r>
    <s v="SKU0073"/>
    <s v="Webcam"/>
    <s v="Computer Accessories"/>
    <s v="Pcs"/>
    <n v="89"/>
    <n v="19"/>
    <n v="49"/>
    <n v="524000"/>
    <s v="A-10-01"/>
    <n v="75"/>
    <n v="205"/>
    <n v="-41"/>
    <x v="2"/>
    <n v="-21484000"/>
    <n v="0"/>
    <n v="0"/>
    <s v="CV Prima Logistik"/>
  </r>
  <r>
    <s v="SKU0074"/>
    <s v="Mouse"/>
    <s v="Computer Accessories"/>
    <s v="Pcs"/>
    <n v="131"/>
    <n v="44"/>
    <n v="73"/>
    <n v="76000"/>
    <s v="C-10-01"/>
    <n v="136"/>
    <n v="121"/>
    <n v="146"/>
    <x v="0"/>
    <n v="11096000"/>
    <n v="146"/>
    <n v="0"/>
    <s v="CV Mitra Perkasa"/>
  </r>
  <r>
    <s v="SKU0075"/>
    <s v="Adapter"/>
    <s v="Computer Accessories"/>
    <s v="Pcs"/>
    <n v="193"/>
    <n v="49"/>
    <n v="66"/>
    <n v="74000"/>
    <s v="C-06-02"/>
    <n v="194"/>
    <n v="30"/>
    <n v="357"/>
    <x v="0"/>
    <n v="26418000"/>
    <n v="357"/>
    <n v="0"/>
    <s v="CV Karya Mandiri"/>
  </r>
  <r>
    <s v="SKU0076"/>
    <s v="USB Hub"/>
    <s v="Computer Accessories"/>
    <s v="Pcs"/>
    <n v="186"/>
    <n v="5"/>
    <n v="46"/>
    <n v="237000"/>
    <s v="E-10-02"/>
    <n v="147"/>
    <n v="196"/>
    <n v="137"/>
    <x v="0"/>
    <n v="32469000"/>
    <n v="134"/>
    <n v="-3"/>
    <s v="CV Mitra Perkasa"/>
  </r>
  <r>
    <s v="SKU0077"/>
    <s v="Webcam"/>
    <s v="Computer Accessories"/>
    <s v="Pcs"/>
    <n v="215"/>
    <n v="49"/>
    <n v="70"/>
    <n v="270000"/>
    <s v="A-04-01"/>
    <n v="142"/>
    <n v="78"/>
    <n v="279"/>
    <x v="0"/>
    <n v="75330000"/>
    <n v="278"/>
    <n v="-1"/>
    <s v="CV Karya Mandiri"/>
  </r>
  <r>
    <s v="SKU0078"/>
    <s v="Webcam"/>
    <s v="Computer Accessories"/>
    <s v="Pcs"/>
    <n v="227"/>
    <n v="12"/>
    <n v="56"/>
    <n v="649000"/>
    <s v="C-10-02"/>
    <n v="184"/>
    <n v="44"/>
    <n v="367"/>
    <x v="0"/>
    <n v="238183000"/>
    <n v="365"/>
    <n v="-2"/>
    <s v="PT Sentosa Distribusi"/>
  </r>
  <r>
    <s v="SKU0079"/>
    <s v="HDMI Cable"/>
    <s v="Computer Accessories"/>
    <s v="Pcs"/>
    <n v="91"/>
    <n v="33"/>
    <n v="57"/>
    <n v="96000"/>
    <s v="C-08-01"/>
    <n v="168"/>
    <n v="128"/>
    <n v="131"/>
    <x v="0"/>
    <n v="12576000"/>
    <n v="131"/>
    <n v="0"/>
    <s v="PT Indo Elektrik"/>
  </r>
  <r>
    <s v="SKU0080"/>
    <s v="USB Cable"/>
    <s v="Computer Accessories"/>
    <s v="Pcs"/>
    <n v="200"/>
    <n v="35"/>
    <n v="54"/>
    <n v="30000"/>
    <s v="E-09-01"/>
    <n v="65"/>
    <n v="87"/>
    <n v="178"/>
    <x v="0"/>
    <n v="5340000"/>
    <n v="176"/>
    <n v="-2"/>
    <s v="PT Cipta Sarana Niaga"/>
  </r>
  <r>
    <s v="SKU0081"/>
    <s v="Headset"/>
    <s v="Computer Accessories"/>
    <s v="Pcs"/>
    <n v="209"/>
    <n v="38"/>
    <n v="58"/>
    <n v="482000"/>
    <s v="B-08-02"/>
    <n v="53"/>
    <n v="174"/>
    <n v="88"/>
    <x v="0"/>
    <n v="42416000"/>
    <n v="89"/>
    <n v="1"/>
    <s v="CV Prima Logistik"/>
  </r>
  <r>
    <s v="SKU0082"/>
    <s v="Keyboard"/>
    <s v="Computer Accessories"/>
    <s v="Pcs"/>
    <n v="83"/>
    <n v="20"/>
    <n v="33"/>
    <n v="267000"/>
    <s v="C-01-01"/>
    <n v="91"/>
    <n v="120"/>
    <n v="54"/>
    <x v="0"/>
    <n v="14418000"/>
    <n v="56"/>
    <n v="2"/>
    <s v="CV Berkah Jaya"/>
  </r>
  <r>
    <s v="SKU0083"/>
    <s v="Keyboard"/>
    <s v="Computer Accessories"/>
    <s v="Pcs"/>
    <n v="48"/>
    <n v="19"/>
    <n v="36"/>
    <n v="120000"/>
    <s v="E-06-01"/>
    <n v="32"/>
    <n v="113"/>
    <n v="-33"/>
    <x v="2"/>
    <n v="-3960000"/>
    <n v="0"/>
    <n v="0"/>
    <s v="PT Sentosa Distribusi"/>
  </r>
  <r>
    <s v="SKU0084"/>
    <s v="Keyboard"/>
    <s v="Computer Accessories"/>
    <s v="Pcs"/>
    <n v="114"/>
    <n v="26"/>
    <n v="48"/>
    <n v="191000"/>
    <s v="C-07-02"/>
    <n v="50"/>
    <n v="154"/>
    <n v="10"/>
    <x v="3"/>
    <n v="1910000"/>
    <n v="13"/>
    <n v="3"/>
    <s v="CV Karya Mandiri"/>
  </r>
  <r>
    <s v="SKU0085"/>
    <s v="Webcam"/>
    <s v="Computer Accessories"/>
    <s v="Pcs"/>
    <n v="117"/>
    <n v="29"/>
    <n v="58"/>
    <n v="606000"/>
    <s v="E-05-02"/>
    <n v="66"/>
    <n v="99"/>
    <n v="84"/>
    <x v="0"/>
    <n v="50904000"/>
    <n v="85"/>
    <n v="1"/>
    <s v="PT Solusi Komputer"/>
  </r>
  <r>
    <s v="SKU0086"/>
    <s v="Adapter"/>
    <s v="Computer Accessories"/>
    <s v="Pcs"/>
    <n v="132"/>
    <n v="5"/>
    <n v="33"/>
    <n v="122000"/>
    <s v="E-09-01"/>
    <n v="190"/>
    <n v="118"/>
    <n v="204"/>
    <x v="0"/>
    <n v="24888000"/>
    <n v="204"/>
    <n v="0"/>
    <s v="PT Cipta Sarana Niaga"/>
  </r>
  <r>
    <s v="SKU0087"/>
    <s v="Laptop Stand"/>
    <s v="Computer Accessories"/>
    <s v="Pcs"/>
    <n v="134"/>
    <n v="19"/>
    <n v="33"/>
    <n v="192000"/>
    <s v="D-02-01"/>
    <n v="93"/>
    <n v="187"/>
    <n v="40"/>
    <x v="0"/>
    <n v="7680000"/>
    <n v="41"/>
    <n v="1"/>
    <s v="PT Global Office Supply"/>
  </r>
  <r>
    <s v="SKU0088"/>
    <s v="Laptop Stand"/>
    <s v="Computer Accessories"/>
    <s v="Pcs"/>
    <n v="181"/>
    <n v="48"/>
    <n v="78"/>
    <n v="252000"/>
    <s v="E-07-01"/>
    <n v="226"/>
    <n v="92"/>
    <n v="315"/>
    <x v="0"/>
    <n v="79380000"/>
    <n v="315"/>
    <n v="0"/>
    <s v="PT Global Office Supply"/>
  </r>
  <r>
    <s v="SKU0089"/>
    <s v="USB Cable"/>
    <s v="Computer Accessories"/>
    <s v="Pcs"/>
    <n v="169"/>
    <n v="39"/>
    <n v="44"/>
    <n v="26000"/>
    <s v="D-08-02"/>
    <n v="179"/>
    <n v="138"/>
    <n v="210"/>
    <x v="0"/>
    <n v="5460000"/>
    <n v="210"/>
    <n v="0"/>
    <s v="PT Global Office Supply"/>
  </r>
  <r>
    <s v="SKU0090"/>
    <s v="Mouse"/>
    <s v="Computer Accessories"/>
    <s v="Pcs"/>
    <n v="174"/>
    <n v="32"/>
    <n v="43"/>
    <n v="55000"/>
    <s v="B-02-02"/>
    <n v="101"/>
    <n v="55"/>
    <n v="220"/>
    <x v="0"/>
    <n v="12100000"/>
    <n v="220"/>
    <n v="0"/>
    <s v="CV Karya Mandiri"/>
  </r>
  <r>
    <s v="SKU0091"/>
    <s v="Headset"/>
    <s v="Computer Accessories"/>
    <s v="Pcs"/>
    <n v="93"/>
    <n v="18"/>
    <n v="37"/>
    <n v="284000"/>
    <s v="C-02-02"/>
    <n v="81"/>
    <n v="74"/>
    <n v="100"/>
    <x v="0"/>
    <n v="28400000"/>
    <n v="100"/>
    <n v="0"/>
    <s v="CV Berkah Jaya"/>
  </r>
  <r>
    <s v="SKU0092"/>
    <s v="Headset"/>
    <s v="Computer Accessories"/>
    <s v="Pcs"/>
    <n v="222"/>
    <n v="31"/>
    <n v="55"/>
    <n v="475000"/>
    <s v="D-01-01"/>
    <n v="154"/>
    <n v="140"/>
    <n v="236"/>
    <x v="0"/>
    <n v="112100000"/>
    <n v="236"/>
    <n v="0"/>
    <s v="CV Mitra Perkasa"/>
  </r>
  <r>
    <s v="SKU0093"/>
    <s v="HDMI Cable"/>
    <s v="Computer Accessories"/>
    <s v="Pcs"/>
    <n v="99"/>
    <n v="19"/>
    <n v="44"/>
    <n v="26000"/>
    <s v="E-10-02"/>
    <n v="228"/>
    <n v="90"/>
    <n v="237"/>
    <x v="0"/>
    <n v="6162000"/>
    <n v="240"/>
    <n v="3"/>
    <s v="CV Mitra Perkasa"/>
  </r>
  <r>
    <s v="SKU0094"/>
    <s v="Mouse"/>
    <s v="Computer Accessories"/>
    <s v="Pcs"/>
    <n v="61"/>
    <n v="6"/>
    <n v="30"/>
    <n v="76000"/>
    <s v="B-06-01"/>
    <n v="60"/>
    <n v="127"/>
    <n v="-6"/>
    <x v="2"/>
    <n v="-456000"/>
    <n v="0"/>
    <n v="0"/>
    <s v="PT Sentosa Distribusi"/>
  </r>
  <r>
    <s v="SKU0095"/>
    <s v="USB Cable"/>
    <s v="Computer Accessories"/>
    <s v="Pcs"/>
    <n v="154"/>
    <n v="18"/>
    <n v="38"/>
    <n v="24000"/>
    <s v="E-10-01"/>
    <n v="262"/>
    <n v="156"/>
    <n v="260"/>
    <x v="0"/>
    <n v="6240000"/>
    <n v="258"/>
    <n v="-2"/>
    <s v="PT Cipta Sarana Niaga"/>
  </r>
  <r>
    <s v="SKU0096"/>
    <s v="USB Hub"/>
    <s v="Computer Accessories"/>
    <s v="Pcs"/>
    <n v="165"/>
    <n v="50"/>
    <n v="58"/>
    <n v="225000"/>
    <s v="B-10-02"/>
    <n v="136"/>
    <n v="156"/>
    <n v="145"/>
    <x v="0"/>
    <n v="32625000"/>
    <n v="142"/>
    <n v="-3"/>
    <s v="PT Sentosa Distribusi"/>
  </r>
  <r>
    <s v="SKU0097"/>
    <s v="Adapter"/>
    <s v="Computer Accessories"/>
    <s v="Pcs"/>
    <n v="247"/>
    <n v="24"/>
    <n v="61"/>
    <n v="31000"/>
    <s v="C-06-01"/>
    <n v="158"/>
    <n v="161"/>
    <n v="244"/>
    <x v="0"/>
    <n v="7564000"/>
    <n v="244"/>
    <n v="0"/>
    <s v="PT Global Office Supply"/>
  </r>
  <r>
    <s v="SKU0098"/>
    <s v="Keyboard"/>
    <s v="Computer Accessories"/>
    <s v="Pcs"/>
    <n v="186"/>
    <n v="45"/>
    <n v="57"/>
    <n v="236000"/>
    <s v="E-05-02"/>
    <n v="143"/>
    <n v="39"/>
    <n v="290"/>
    <x v="0"/>
    <n v="68440000"/>
    <n v="287"/>
    <n v="-3"/>
    <s v="CV Mitra Perkasa"/>
  </r>
  <r>
    <s v="SKU0099"/>
    <s v="Adapter"/>
    <s v="Computer Accessories"/>
    <s v="Pcs"/>
    <n v="213"/>
    <n v="41"/>
    <n v="71"/>
    <n v="55000"/>
    <s v="C-03-01"/>
    <n v="56"/>
    <n v="171"/>
    <n v="98"/>
    <x v="0"/>
    <n v="5390000"/>
    <n v="96"/>
    <n v="-2"/>
    <s v="PT Sumber Teknologi Nusantara"/>
  </r>
  <r>
    <s v="SKU0100"/>
    <s v="Laptop Stand"/>
    <s v="Computer Accessories"/>
    <s v="Pcs"/>
    <n v="27"/>
    <n v="37"/>
    <n v="62"/>
    <n v="269000"/>
    <s v="A-01-02"/>
    <n v="208"/>
    <n v="164"/>
    <n v="71"/>
    <x v="0"/>
    <n v="19099000"/>
    <n v="71"/>
    <n v="0"/>
    <s v="CV Berkah Jaya"/>
  </r>
  <r>
    <s v="SKU0101"/>
    <s v="Graphics Card"/>
    <s v="Computer Hardware"/>
    <s v="Pcs"/>
    <n v="120"/>
    <n v="28"/>
    <n v="53"/>
    <n v="4229000"/>
    <s v="E-06-01"/>
    <n v="83"/>
    <n v="81"/>
    <n v="122"/>
    <x v="0"/>
    <n v="515938000"/>
    <n v="124"/>
    <n v="2"/>
    <s v="CV Karya Mandiri"/>
  </r>
  <r>
    <s v="SKU0102"/>
    <s v="Processor"/>
    <s v="Computer Hardware"/>
    <s v="Pcs"/>
    <n v="197"/>
    <n v="38"/>
    <n v="63"/>
    <n v="2642000"/>
    <s v="D-10-01"/>
    <n v="144"/>
    <n v="155"/>
    <n v="186"/>
    <x v="0"/>
    <n v="491412000"/>
    <n v="187"/>
    <n v="1"/>
    <s v="PT Cipta Sarana Niaga"/>
  </r>
  <r>
    <s v="SKU0103"/>
    <s v="Graphics Card"/>
    <s v="Computer Hardware"/>
    <s v="Pcs"/>
    <n v="121"/>
    <n v="42"/>
    <n v="55"/>
    <n v="10116000"/>
    <s v="B-06-02"/>
    <n v="128"/>
    <n v="106"/>
    <n v="143"/>
    <x v="0"/>
    <n v="1446588000"/>
    <n v="143"/>
    <n v="0"/>
    <s v="CV Berkah Jaya"/>
  </r>
  <r>
    <s v="SKU0104"/>
    <s v="Power Supply"/>
    <s v="Computer Hardware"/>
    <s v="Pcs"/>
    <n v="72"/>
    <n v="34"/>
    <n v="57"/>
    <n v="761000"/>
    <s v="E-03-02"/>
    <n v="0"/>
    <n v="29"/>
    <n v="43"/>
    <x v="1"/>
    <n v="32723000"/>
    <n v="42"/>
    <n v="-1"/>
    <s v="PT Solusi Komputer"/>
  </r>
  <r>
    <s v="SKU0105"/>
    <s v="Motherboard"/>
    <s v="Computer Hardware"/>
    <s v="Pcs"/>
    <n v="136"/>
    <n v="25"/>
    <n v="35"/>
    <n v="908000"/>
    <s v="B-04-02"/>
    <n v="98"/>
    <n v="128"/>
    <n v="106"/>
    <x v="0"/>
    <n v="96248000"/>
    <n v="108"/>
    <n v="2"/>
    <s v="CV Karya Mandiri"/>
  </r>
  <r>
    <s v="SKU0106"/>
    <s v="Power Supply"/>
    <s v="Computer Hardware"/>
    <s v="Pcs"/>
    <n v="81"/>
    <n v="43"/>
    <n v="70"/>
    <n v="648000"/>
    <s v="D-06-02"/>
    <n v="50"/>
    <n v="61"/>
    <n v="70"/>
    <x v="1"/>
    <n v="45360000"/>
    <n v="73"/>
    <n v="3"/>
    <s v="PT Cipta Sarana Niaga"/>
  </r>
  <r>
    <s v="SKU0107"/>
    <s v="CPU Cooler"/>
    <s v="Computer Hardware"/>
    <s v="Pcs"/>
    <n v="58"/>
    <n v="10"/>
    <n v="22"/>
    <n v="1150000"/>
    <s v="D-02-01"/>
    <n v="109"/>
    <n v="112"/>
    <n v="55"/>
    <x v="0"/>
    <n v="63250000"/>
    <n v="56"/>
    <n v="1"/>
    <s v="PT Global Office Supply"/>
  </r>
  <r>
    <s v="SKU0108"/>
    <s v="RAM 16GB"/>
    <s v="Computer Hardware"/>
    <s v="Pcs"/>
    <n v="131"/>
    <n v="46"/>
    <n v="73"/>
    <n v="803000"/>
    <s v="C-09-02"/>
    <n v="142"/>
    <n v="191"/>
    <n v="82"/>
    <x v="0"/>
    <n v="65846000"/>
    <n v="80"/>
    <n v="-2"/>
    <s v="CV Karya Mandiri"/>
  </r>
  <r>
    <s v="SKU0109"/>
    <s v="SSD 512GB"/>
    <s v="Computer Hardware"/>
    <s v="Pcs"/>
    <n v="66"/>
    <n v="30"/>
    <n v="57"/>
    <n v="851000"/>
    <s v="B-10-02"/>
    <n v="362"/>
    <n v="71"/>
    <n v="357"/>
    <x v="0"/>
    <n v="303807000"/>
    <n v="357"/>
    <n v="0"/>
    <s v="CV Prima Logistik"/>
  </r>
  <r>
    <s v="SKU0110"/>
    <s v="Motherboard"/>
    <s v="Computer Hardware"/>
    <s v="Pcs"/>
    <n v="151"/>
    <n v="38"/>
    <n v="54"/>
    <n v="1819000"/>
    <s v="E-08-02"/>
    <n v="157"/>
    <n v="161"/>
    <n v="147"/>
    <x v="0"/>
    <n v="267393000"/>
    <n v="149"/>
    <n v="2"/>
    <s v="PT Global Office Supply"/>
  </r>
  <r>
    <s v="SKU0111"/>
    <s v="Motherboard"/>
    <s v="Computer Hardware"/>
    <s v="Pcs"/>
    <n v="189"/>
    <n v="34"/>
    <n v="47"/>
    <n v="1570000"/>
    <s v="B-07-01"/>
    <n v="188"/>
    <n v="105"/>
    <n v="272"/>
    <x v="0"/>
    <n v="427040000"/>
    <n v="272"/>
    <n v="0"/>
    <s v="PT Cipta Sarana Niaga"/>
  </r>
  <r>
    <s v="SKU0112"/>
    <s v="SSD 512GB"/>
    <s v="Computer Hardware"/>
    <s v="Pcs"/>
    <n v="90"/>
    <n v="12"/>
    <n v="40"/>
    <n v="747000"/>
    <s v="E-09-02"/>
    <n v="133"/>
    <n v="83"/>
    <n v="140"/>
    <x v="0"/>
    <n v="104580000"/>
    <n v="143"/>
    <n v="3"/>
    <s v="PT Indo Elektrik"/>
  </r>
  <r>
    <s v="SKU0113"/>
    <s v="RAM 16GB"/>
    <s v="Computer Hardware"/>
    <s v="Pcs"/>
    <n v="199"/>
    <n v="35"/>
    <n v="49"/>
    <n v="560000"/>
    <s v="E-09-02"/>
    <n v="145"/>
    <n v="141"/>
    <n v="203"/>
    <x v="0"/>
    <n v="113680000"/>
    <n v="203"/>
    <n v="0"/>
    <s v="PT Solusi Komputer"/>
  </r>
  <r>
    <s v="SKU0114"/>
    <s v="PC Case"/>
    <s v="Computer Hardware"/>
    <s v="Pcs"/>
    <n v="35"/>
    <n v="17"/>
    <n v="31"/>
    <n v="929000"/>
    <s v="C-04-01"/>
    <n v="84"/>
    <n v="95"/>
    <n v="24"/>
    <x v="1"/>
    <n v="22296000"/>
    <n v="24"/>
    <n v="0"/>
    <s v="CV Prima Logistik"/>
  </r>
  <r>
    <s v="SKU0115"/>
    <s v="Power Supply"/>
    <s v="Computer Hardware"/>
    <s v="Pcs"/>
    <n v="191"/>
    <n v="39"/>
    <n v="48"/>
    <n v="314000"/>
    <s v="A-03-02"/>
    <n v="99"/>
    <n v="205"/>
    <n v="85"/>
    <x v="0"/>
    <n v="26690000"/>
    <n v="83"/>
    <n v="-2"/>
    <s v="PT Cipta Sarana Niaga"/>
  </r>
  <r>
    <s v="SKU0116"/>
    <s v="CPU Cooler"/>
    <s v="Computer Hardware"/>
    <s v="Pcs"/>
    <n v="188"/>
    <n v="13"/>
    <n v="47"/>
    <n v="479000"/>
    <s v="A-07-02"/>
    <n v="105"/>
    <n v="311"/>
    <n v="-18"/>
    <x v="2"/>
    <n v="-8622000"/>
    <n v="0"/>
    <n v="0"/>
    <s v="CV Karya Mandiri"/>
  </r>
  <r>
    <s v="SKU0117"/>
    <s v="PC Case"/>
    <s v="Computer Hardware"/>
    <s v="Pcs"/>
    <n v="130"/>
    <n v="35"/>
    <n v="54"/>
    <n v="932000"/>
    <s v="B-02-02"/>
    <n v="0"/>
    <n v="138"/>
    <n v="-8"/>
    <x v="2"/>
    <n v="-7456000"/>
    <n v="0"/>
    <n v="0"/>
    <s v="CV Berkah Jaya"/>
  </r>
  <r>
    <s v="SKU0118"/>
    <s v="Power Supply"/>
    <s v="Computer Hardware"/>
    <s v="Pcs"/>
    <n v="39"/>
    <n v="9"/>
    <n v="26"/>
    <n v="789000"/>
    <s v="A-05-02"/>
    <n v="125"/>
    <n v="114"/>
    <n v="50"/>
    <x v="0"/>
    <n v="39450000"/>
    <n v="48"/>
    <n v="-2"/>
    <s v="CV Karya Mandiri"/>
  </r>
  <r>
    <s v="SKU0119"/>
    <s v="SSD 256GB"/>
    <s v="Computer Hardware"/>
    <s v="Pcs"/>
    <n v="48"/>
    <n v="41"/>
    <n v="55"/>
    <n v="427000"/>
    <s v="B-06-02"/>
    <n v="111"/>
    <n v="106"/>
    <n v="53"/>
    <x v="1"/>
    <n v="22631000"/>
    <n v="55"/>
    <n v="2"/>
    <s v="CV Mitra Perkasa"/>
  </r>
  <r>
    <s v="SKU0120"/>
    <s v="CPU Cooler"/>
    <s v="Computer Hardware"/>
    <s v="Pcs"/>
    <n v="116"/>
    <n v="43"/>
    <n v="67"/>
    <n v="962000"/>
    <s v="B-05-01"/>
    <n v="65"/>
    <n v="193"/>
    <n v="-12"/>
    <x v="2"/>
    <n v="-11544000"/>
    <n v="0"/>
    <n v="0"/>
    <s v="PT Solusi Komputer"/>
  </r>
  <r>
    <s v="SKU0121"/>
    <s v="Processor"/>
    <s v="Computer Hardware"/>
    <s v="Pcs"/>
    <n v="242"/>
    <n v="33"/>
    <n v="60"/>
    <n v="4890000"/>
    <s v="C-08-01"/>
    <n v="167"/>
    <n v="286"/>
    <n v="123"/>
    <x v="0"/>
    <n v="601470000"/>
    <n v="123"/>
    <n v="0"/>
    <s v="PT Solusi Komputer"/>
  </r>
  <r>
    <s v="SKU0122"/>
    <s v="PC Case"/>
    <s v="Computer Hardware"/>
    <s v="Pcs"/>
    <n v="25"/>
    <n v="44"/>
    <n v="72"/>
    <n v="1621000"/>
    <s v="E-09-02"/>
    <n v="141"/>
    <n v="64"/>
    <n v="102"/>
    <x v="0"/>
    <n v="165342000"/>
    <n v="100"/>
    <n v="-2"/>
    <s v="CV Mitra Perkasa"/>
  </r>
  <r>
    <s v="SKU0123"/>
    <s v="RAM 16GB"/>
    <s v="Computer Hardware"/>
    <s v="Pcs"/>
    <n v="179"/>
    <n v="10"/>
    <n v="44"/>
    <n v="585000"/>
    <s v="B-02-01"/>
    <n v="69"/>
    <n v="0"/>
    <n v="248"/>
    <x v="0"/>
    <n v="145080000"/>
    <n v="247"/>
    <n v="-1"/>
    <s v="CV Prima Logistik"/>
  </r>
  <r>
    <s v="SKU0124"/>
    <s v="SSD 512GB"/>
    <s v="Computer Hardware"/>
    <s v="Pcs"/>
    <n v="10"/>
    <n v="31"/>
    <n v="50"/>
    <n v="710000"/>
    <s v="D-01-01"/>
    <n v="39"/>
    <n v="25"/>
    <n v="24"/>
    <x v="3"/>
    <n v="17040000"/>
    <n v="24"/>
    <n v="0"/>
    <s v="PT Solusi Komputer"/>
  </r>
  <r>
    <s v="SKU0125"/>
    <s v="SSD 256GB"/>
    <s v="Computer Hardware"/>
    <s v="Pcs"/>
    <n v="83"/>
    <n v="50"/>
    <n v="64"/>
    <n v="468000"/>
    <s v="A-05-02"/>
    <n v="45"/>
    <n v="74"/>
    <n v="54"/>
    <x v="1"/>
    <n v="25272000"/>
    <n v="54"/>
    <n v="0"/>
    <s v="CV Karya Mandiri"/>
  </r>
  <r>
    <s v="SKU0126"/>
    <s v="Power Supply"/>
    <s v="Computer Hardware"/>
    <s v="Pcs"/>
    <n v="118"/>
    <n v="12"/>
    <n v="34"/>
    <n v="502000"/>
    <s v="E-02-01"/>
    <n v="48"/>
    <n v="292"/>
    <n v="-126"/>
    <x v="2"/>
    <n v="-63252000"/>
    <n v="0"/>
    <n v="0"/>
    <s v="CV Prima Logistik"/>
  </r>
  <r>
    <s v="SKU0127"/>
    <s v="Power Supply"/>
    <s v="Computer Hardware"/>
    <s v="Pcs"/>
    <n v="28"/>
    <n v="8"/>
    <n v="18"/>
    <n v="445000"/>
    <s v="D-09-01"/>
    <n v="236"/>
    <n v="32"/>
    <n v="232"/>
    <x v="0"/>
    <n v="103240000"/>
    <n v="235"/>
    <n v="3"/>
    <s v="PT Cipta Sarana Niaga"/>
  </r>
  <r>
    <s v="SKU0128"/>
    <s v="Power Supply"/>
    <s v="Computer Hardware"/>
    <s v="Pcs"/>
    <n v="41"/>
    <n v="34"/>
    <n v="61"/>
    <n v="749000"/>
    <s v="E-05-02"/>
    <n v="50"/>
    <n v="239"/>
    <n v="-148"/>
    <x v="2"/>
    <n v="-110852000"/>
    <n v="0"/>
    <n v="0"/>
    <s v="PT Cipta Sarana Niaga"/>
  </r>
  <r>
    <s v="SKU0129"/>
    <s v="Power Supply"/>
    <s v="Computer Hardware"/>
    <s v="Pcs"/>
    <n v="148"/>
    <n v="36"/>
    <n v="55"/>
    <n v="812000"/>
    <s v="D-09-01"/>
    <n v="111"/>
    <n v="59"/>
    <n v="200"/>
    <x v="0"/>
    <n v="162400000"/>
    <n v="200"/>
    <n v="0"/>
    <s v="CV Mitra Perkasa"/>
  </r>
  <r>
    <s v="SKU0130"/>
    <s v="Processor"/>
    <s v="Computer Hardware"/>
    <s v="Pcs"/>
    <n v="164"/>
    <n v="21"/>
    <n v="41"/>
    <n v="3840000"/>
    <s v="B-05-02"/>
    <n v="310"/>
    <n v="36"/>
    <n v="438"/>
    <x v="0"/>
    <n v="1681920000"/>
    <n v="438"/>
    <n v="0"/>
    <s v="CV Mitra Perkasa"/>
  </r>
  <r>
    <s v="SKU0131"/>
    <s v="PC Case"/>
    <s v="Computer Hardware"/>
    <s v="Pcs"/>
    <n v="205"/>
    <n v="48"/>
    <n v="61"/>
    <n v="392000"/>
    <s v="A-03-02"/>
    <n v="42"/>
    <n v="109"/>
    <n v="138"/>
    <x v="0"/>
    <n v="54096000"/>
    <n v="138"/>
    <n v="0"/>
    <s v="PT Solusi Komputer"/>
  </r>
  <r>
    <s v="SKU0132"/>
    <s v="Graphics Card"/>
    <s v="Computer Hardware"/>
    <s v="Pcs"/>
    <n v="176"/>
    <n v="33"/>
    <n v="46"/>
    <n v="11002000"/>
    <s v="D-08-01"/>
    <n v="70"/>
    <n v="96"/>
    <n v="150"/>
    <x v="0"/>
    <n v="1650300000"/>
    <n v="149"/>
    <n v="-1"/>
    <s v="PT Sentosa Distribusi"/>
  </r>
  <r>
    <s v="SKU0133"/>
    <s v="Graphics Card"/>
    <s v="Computer Hardware"/>
    <s v="Pcs"/>
    <n v="130"/>
    <n v="27"/>
    <n v="45"/>
    <n v="3994000"/>
    <s v="C-01-02"/>
    <n v="103"/>
    <n v="275"/>
    <n v="-42"/>
    <x v="2"/>
    <n v="-167748000"/>
    <n v="0"/>
    <n v="0"/>
    <s v="CV Berkah Jaya"/>
  </r>
  <r>
    <s v="SKU0134"/>
    <s v="RAM 8GB"/>
    <s v="Computer Hardware"/>
    <s v="Pcs"/>
    <n v="115"/>
    <n v="49"/>
    <n v="69"/>
    <n v="418000"/>
    <s v="E-03-01"/>
    <n v="172"/>
    <n v="163"/>
    <n v="124"/>
    <x v="0"/>
    <n v="51832000"/>
    <n v="121"/>
    <n v="-3"/>
    <s v="PT Cipta Sarana Niaga"/>
  </r>
  <r>
    <s v="SKU0135"/>
    <s v="CPU Cooler"/>
    <s v="Computer Hardware"/>
    <s v="Pcs"/>
    <n v="126"/>
    <n v="10"/>
    <n v="31"/>
    <n v="217000"/>
    <s v="C-01-02"/>
    <n v="144"/>
    <n v="112"/>
    <n v="158"/>
    <x v="0"/>
    <n v="34286000"/>
    <n v="160"/>
    <n v="2"/>
    <s v="PT Cipta Sarana Niaga"/>
  </r>
  <r>
    <s v="SKU0136"/>
    <s v="Processor"/>
    <s v="Computer Hardware"/>
    <s v="Pcs"/>
    <n v="221"/>
    <n v="5"/>
    <n v="55"/>
    <n v="5415000"/>
    <s v="C-10-02"/>
    <n v="56"/>
    <n v="131"/>
    <n v="146"/>
    <x v="0"/>
    <n v="790590000"/>
    <n v="145"/>
    <n v="-1"/>
    <s v="PT Indo Elektrik"/>
  </r>
  <r>
    <s v="SKU0137"/>
    <s v="SSD 256GB"/>
    <s v="Computer Hardware"/>
    <s v="Pcs"/>
    <n v="142"/>
    <n v="28"/>
    <n v="52"/>
    <n v="446000"/>
    <s v="E-01-01"/>
    <n v="137"/>
    <n v="113"/>
    <n v="166"/>
    <x v="0"/>
    <n v="74036000"/>
    <n v="166"/>
    <n v="0"/>
    <s v="CV Karya Mandiri"/>
  </r>
  <r>
    <s v="SKU0138"/>
    <s v="SSD 256GB"/>
    <s v="Computer Hardware"/>
    <s v="Pcs"/>
    <n v="78"/>
    <n v="40"/>
    <n v="49"/>
    <n v="454000"/>
    <s v="C-09-01"/>
    <n v="103"/>
    <n v="139"/>
    <n v="42"/>
    <x v="1"/>
    <n v="19068000"/>
    <n v="43"/>
    <n v="1"/>
    <s v="PT Cipta Sarana Niaga"/>
  </r>
  <r>
    <s v="SKU0139"/>
    <s v="SSD 512GB"/>
    <s v="Computer Hardware"/>
    <s v="Pcs"/>
    <n v="171"/>
    <n v="43"/>
    <n v="73"/>
    <n v="579000"/>
    <s v="E-06-01"/>
    <n v="83"/>
    <n v="115"/>
    <n v="139"/>
    <x v="0"/>
    <n v="80481000"/>
    <n v="136"/>
    <n v="-3"/>
    <s v="CV Prima Logistik"/>
  </r>
  <r>
    <s v="SKU0140"/>
    <s v="Power Supply"/>
    <s v="Computer Hardware"/>
    <s v="Pcs"/>
    <n v="13"/>
    <n v="40"/>
    <n v="58"/>
    <n v="864000"/>
    <s v="B-05-01"/>
    <n v="42"/>
    <n v="98"/>
    <n v="-43"/>
    <x v="2"/>
    <n v="-37152000"/>
    <n v="0"/>
    <n v="0"/>
    <s v="CV Mitra Perkasa"/>
  </r>
  <r>
    <s v="SKU0141"/>
    <s v="Graphics Card"/>
    <s v="Computer Hardware"/>
    <s v="Pcs"/>
    <n v="175"/>
    <n v="14"/>
    <n v="43"/>
    <n v="4424000"/>
    <s v="D-03-02"/>
    <n v="30"/>
    <n v="191"/>
    <n v="14"/>
    <x v="3"/>
    <n v="61936000"/>
    <n v="14"/>
    <n v="0"/>
    <s v="PT Cipta Sarana Niaga"/>
  </r>
  <r>
    <s v="SKU0142"/>
    <s v="Processor"/>
    <s v="Computer Hardware"/>
    <s v="Pcs"/>
    <n v="130"/>
    <n v="20"/>
    <n v="39"/>
    <n v="5152000"/>
    <s v="A-10-01"/>
    <n v="64"/>
    <n v="71"/>
    <n v="123"/>
    <x v="0"/>
    <n v="633696000"/>
    <n v="123"/>
    <n v="0"/>
    <s v="PT Indo Elektrik"/>
  </r>
  <r>
    <s v="SKU0143"/>
    <s v="RAM 16GB"/>
    <s v="Computer Hardware"/>
    <s v="Pcs"/>
    <n v="163"/>
    <n v="37"/>
    <n v="65"/>
    <n v="921000"/>
    <s v="A-05-01"/>
    <n v="6"/>
    <n v="311"/>
    <n v="-142"/>
    <x v="2"/>
    <n v="-130782000"/>
    <n v="0"/>
    <n v="0"/>
    <s v="PT Sentosa Distribusi"/>
  </r>
  <r>
    <s v="SKU0144"/>
    <s v="Processor"/>
    <s v="Computer Hardware"/>
    <s v="Pcs"/>
    <n v="249"/>
    <n v="37"/>
    <n v="62"/>
    <n v="3984000"/>
    <s v="B-09-01"/>
    <n v="42"/>
    <n v="154"/>
    <n v="137"/>
    <x v="0"/>
    <n v="545808000"/>
    <n v="137"/>
    <n v="0"/>
    <s v="PT Sumber Teknologi Nusantara"/>
  </r>
  <r>
    <s v="SKU0145"/>
    <s v="PC Case"/>
    <s v="Computer Hardware"/>
    <s v="Pcs"/>
    <n v="178"/>
    <n v="36"/>
    <n v="45"/>
    <n v="1537000"/>
    <s v="D-05-01"/>
    <n v="24"/>
    <n v="91"/>
    <n v="111"/>
    <x v="0"/>
    <n v="170607000"/>
    <n v="111"/>
    <n v="0"/>
    <s v="CV Karya Mandiri"/>
  </r>
  <r>
    <s v="SKU0146"/>
    <s v="Motherboard"/>
    <s v="Computer Hardware"/>
    <s v="Pcs"/>
    <n v="151"/>
    <n v="39"/>
    <n v="56"/>
    <n v="1530000"/>
    <s v="C-01-02"/>
    <n v="283"/>
    <n v="157"/>
    <n v="277"/>
    <x v="0"/>
    <n v="423810000"/>
    <n v="278"/>
    <n v="1"/>
    <s v="CV Karya Mandiri"/>
  </r>
  <r>
    <s v="SKU0147"/>
    <s v="RAM 16GB"/>
    <s v="Computer Hardware"/>
    <s v="Pcs"/>
    <n v="108"/>
    <n v="19"/>
    <n v="48"/>
    <n v="742000"/>
    <s v="A-03-02"/>
    <n v="44"/>
    <n v="69"/>
    <n v="83"/>
    <x v="0"/>
    <n v="61586000"/>
    <n v="85"/>
    <n v="2"/>
    <s v="PT Global Office Supply"/>
  </r>
  <r>
    <s v="SKU0148"/>
    <s v="Graphics Card"/>
    <s v="Computer Hardware"/>
    <s v="Pcs"/>
    <n v="108"/>
    <n v="47"/>
    <n v="77"/>
    <n v="8746000"/>
    <s v="D-02-02"/>
    <n v="106"/>
    <n v="60"/>
    <n v="154"/>
    <x v="0"/>
    <n v="1346884000"/>
    <n v="156"/>
    <n v="2"/>
    <s v="PT Sentosa Distribusi"/>
  </r>
  <r>
    <s v="SKU0149"/>
    <s v="RAM 8GB"/>
    <s v="Computer Hardware"/>
    <s v="Pcs"/>
    <n v="161"/>
    <n v="26"/>
    <n v="40"/>
    <n v="507000"/>
    <s v="A-07-01"/>
    <n v="173"/>
    <n v="9"/>
    <n v="325"/>
    <x v="0"/>
    <n v="164775000"/>
    <n v="324"/>
    <n v="-1"/>
    <s v="CV Karya Mandiri"/>
  </r>
  <r>
    <s v="SKU0150"/>
    <s v="Graphics Card"/>
    <s v="Computer Hardware"/>
    <s v="Pcs"/>
    <n v="194"/>
    <n v="14"/>
    <n v="48"/>
    <n v="2751000"/>
    <s v="A-05-02"/>
    <n v="114"/>
    <n v="109"/>
    <n v="199"/>
    <x v="0"/>
    <n v="547449000"/>
    <n v="196"/>
    <n v="-3"/>
    <s v="PT Sentosa Distribusi"/>
  </r>
  <r>
    <s v="SKU0151"/>
    <s v="Power Supply"/>
    <s v="Computer Hardware"/>
    <s v="Pcs"/>
    <n v="169"/>
    <n v="49"/>
    <n v="66"/>
    <n v="646000"/>
    <s v="C-02-01"/>
    <n v="100"/>
    <n v="95"/>
    <n v="174"/>
    <x v="0"/>
    <n v="112404000"/>
    <n v="174"/>
    <n v="0"/>
    <s v="CV Mitra Perkasa"/>
  </r>
  <r>
    <s v="SKU0152"/>
    <s v="Processor"/>
    <s v="Computer Hardware"/>
    <s v="Pcs"/>
    <n v="170"/>
    <n v="50"/>
    <n v="79"/>
    <n v="3794000"/>
    <s v="D-05-02"/>
    <n v="89"/>
    <n v="10"/>
    <n v="249"/>
    <x v="0"/>
    <n v="944706000"/>
    <n v="247"/>
    <n v="-2"/>
    <s v="CV Karya Mandiri"/>
  </r>
  <r>
    <s v="SKU0153"/>
    <s v="PC Case"/>
    <s v="Computer Hardware"/>
    <s v="Pcs"/>
    <n v="70"/>
    <n v="45"/>
    <n v="71"/>
    <n v="490000"/>
    <s v="B-05-02"/>
    <n v="70"/>
    <n v="75"/>
    <n v="65"/>
    <x v="1"/>
    <n v="31850000"/>
    <n v="67"/>
    <n v="2"/>
    <s v="PT Cipta Sarana Niaga"/>
  </r>
  <r>
    <s v="SKU0154"/>
    <s v="Processor"/>
    <s v="Computer Hardware"/>
    <s v="Pcs"/>
    <n v="204"/>
    <n v="45"/>
    <n v="72"/>
    <n v="2006000"/>
    <s v="C-09-01"/>
    <n v="251"/>
    <n v="91"/>
    <n v="364"/>
    <x v="0"/>
    <n v="730184000"/>
    <n v="362"/>
    <n v="-2"/>
    <s v="CV Mitra Perkasa"/>
  </r>
  <r>
    <s v="SKU0155"/>
    <s v="Power Supply"/>
    <s v="Computer Hardware"/>
    <s v="Pcs"/>
    <n v="21"/>
    <n v="25"/>
    <n v="55"/>
    <n v="329000"/>
    <s v="B-09-02"/>
    <n v="200"/>
    <n v="28"/>
    <n v="193"/>
    <x v="0"/>
    <n v="63497000"/>
    <n v="190"/>
    <n v="-3"/>
    <s v="PT Sumber Teknologi Nusantara"/>
  </r>
  <r>
    <s v="SKU0156"/>
    <s v="Motherboard"/>
    <s v="Computer Hardware"/>
    <s v="Pcs"/>
    <n v="47"/>
    <n v="20"/>
    <n v="41"/>
    <n v="1732000"/>
    <s v="D-07-01"/>
    <n v="105"/>
    <n v="101"/>
    <n v="51"/>
    <x v="0"/>
    <n v="88332000"/>
    <n v="53"/>
    <n v="2"/>
    <s v="PT Global Office Supply"/>
  </r>
  <r>
    <s v="SKU0157"/>
    <s v="RAM 8GB"/>
    <s v="Computer Hardware"/>
    <s v="Pcs"/>
    <n v="30"/>
    <n v="44"/>
    <n v="61"/>
    <n v="339000"/>
    <s v="E-04-02"/>
    <n v="162"/>
    <n v="250"/>
    <n v="-58"/>
    <x v="2"/>
    <n v="-19662000"/>
    <n v="0"/>
    <n v="0"/>
    <s v="PT Solusi Komputer"/>
  </r>
  <r>
    <s v="SKU0158"/>
    <s v="Graphics Card"/>
    <s v="Computer Hardware"/>
    <s v="Pcs"/>
    <n v="46"/>
    <n v="19"/>
    <n v="38"/>
    <n v="12054000"/>
    <s v="C-10-01"/>
    <n v="9"/>
    <n v="228"/>
    <n v="-173"/>
    <x v="2"/>
    <n v="-2085342000"/>
    <n v="0"/>
    <n v="0"/>
    <s v="PT Cipta Sarana Niaga"/>
  </r>
  <r>
    <s v="SKU0159"/>
    <s v="SSD 256GB"/>
    <s v="Computer Hardware"/>
    <s v="Pcs"/>
    <n v="240"/>
    <n v="23"/>
    <n v="60"/>
    <n v="588000"/>
    <s v="B-01-01"/>
    <n v="125"/>
    <n v="35"/>
    <n v="330"/>
    <x v="0"/>
    <n v="194040000"/>
    <n v="333"/>
    <n v="3"/>
    <s v="PT Indo Elektrik"/>
  </r>
  <r>
    <s v="SKU0160"/>
    <s v="Graphics Card"/>
    <s v="Computer Hardware"/>
    <s v="Pcs"/>
    <n v="160"/>
    <n v="24"/>
    <n v="49"/>
    <n v="8161000"/>
    <s v="E-05-01"/>
    <n v="79"/>
    <n v="126"/>
    <n v="113"/>
    <x v="0"/>
    <n v="922193000"/>
    <n v="115"/>
    <n v="2"/>
    <s v="PT Global Office Supply"/>
  </r>
  <r>
    <s v="SKU0161"/>
    <s v="Graphics Card"/>
    <s v="Computer Hardware"/>
    <s v="Pcs"/>
    <n v="60"/>
    <n v="29"/>
    <n v="49"/>
    <n v="7449000"/>
    <s v="B-06-01"/>
    <n v="29"/>
    <n v="48"/>
    <n v="41"/>
    <x v="1"/>
    <n v="305409000"/>
    <n v="39"/>
    <n v="-2"/>
    <s v="CV Mitra Perkasa"/>
  </r>
  <r>
    <s v="SKU0162"/>
    <s v="PC Case"/>
    <s v="Computer Hardware"/>
    <s v="Pcs"/>
    <n v="157"/>
    <n v="23"/>
    <n v="50"/>
    <n v="1085000"/>
    <s v="A-02-01"/>
    <n v="140"/>
    <n v="191"/>
    <n v="106"/>
    <x v="0"/>
    <n v="115010000"/>
    <n v="106"/>
    <n v="0"/>
    <s v="PT Cipta Sarana Niaga"/>
  </r>
  <r>
    <s v="SKU0163"/>
    <s v="Power Supply"/>
    <s v="Computer Hardware"/>
    <s v="Pcs"/>
    <n v="154"/>
    <n v="48"/>
    <n v="77"/>
    <n v="308000"/>
    <s v="D-09-02"/>
    <n v="110"/>
    <n v="59"/>
    <n v="205"/>
    <x v="0"/>
    <n v="63140000"/>
    <n v="206"/>
    <n v="1"/>
    <s v="PT Sumber Teknologi Nusantara"/>
  </r>
  <r>
    <s v="SKU0164"/>
    <s v="Power Supply"/>
    <s v="Computer Hardware"/>
    <s v="Pcs"/>
    <n v="165"/>
    <n v="27"/>
    <n v="41"/>
    <n v="535000"/>
    <s v="D-10-02"/>
    <n v="171"/>
    <n v="123"/>
    <n v="213"/>
    <x v="0"/>
    <n v="113955000"/>
    <n v="213"/>
    <n v="0"/>
    <s v="CV Prima Logistik"/>
  </r>
  <r>
    <s v="SKU0165"/>
    <s v="RAM 8GB"/>
    <s v="Computer Hardware"/>
    <s v="Pcs"/>
    <n v="241"/>
    <n v="45"/>
    <n v="70"/>
    <n v="299000"/>
    <s v="B-10-02"/>
    <n v="43"/>
    <n v="95"/>
    <n v="189"/>
    <x v="0"/>
    <n v="56511000"/>
    <n v="191"/>
    <n v="2"/>
    <s v="PT Sumber Teknologi Nusantara"/>
  </r>
  <r>
    <s v="SKU0166"/>
    <s v="SSD 256GB"/>
    <s v="Computer Hardware"/>
    <s v="Pcs"/>
    <n v="103"/>
    <n v="13"/>
    <n v="25"/>
    <n v="646000"/>
    <s v="C-01-02"/>
    <n v="204"/>
    <n v="168"/>
    <n v="139"/>
    <x v="0"/>
    <n v="89794000"/>
    <n v="142"/>
    <n v="3"/>
    <s v="PT Cipta Sarana Niaga"/>
  </r>
  <r>
    <s v="SKU0167"/>
    <s v="RAM 8GB"/>
    <s v="Computer Hardware"/>
    <s v="Pcs"/>
    <n v="43"/>
    <n v="39"/>
    <n v="55"/>
    <n v="352000"/>
    <s v="D-03-01"/>
    <n v="63"/>
    <n v="227"/>
    <n v="-121"/>
    <x v="2"/>
    <n v="-42592000"/>
    <n v="0"/>
    <n v="0"/>
    <s v="PT Indo Elektrik"/>
  </r>
  <r>
    <s v="SKU0168"/>
    <s v="RAM 8GB"/>
    <s v="Computer Hardware"/>
    <s v="Pcs"/>
    <n v="243"/>
    <n v="35"/>
    <n v="65"/>
    <n v="381000"/>
    <s v="E-08-02"/>
    <n v="97"/>
    <n v="197"/>
    <n v="143"/>
    <x v="0"/>
    <n v="54483000"/>
    <n v="145"/>
    <n v="2"/>
    <s v="PT Cipta Sarana Niaga"/>
  </r>
  <r>
    <s v="SKU0169"/>
    <s v="SSD 512GB"/>
    <s v="Computer Hardware"/>
    <s v="Pcs"/>
    <n v="29"/>
    <n v="14"/>
    <n v="43"/>
    <n v="1029000"/>
    <s v="E-04-01"/>
    <n v="175"/>
    <n v="96"/>
    <n v="108"/>
    <x v="0"/>
    <n v="111132000"/>
    <n v="105"/>
    <n v="-3"/>
    <s v="CV Prima Logistik"/>
  </r>
  <r>
    <s v="SKU0170"/>
    <s v="CPU Cooler"/>
    <s v="Computer Hardware"/>
    <s v="Pcs"/>
    <n v="33"/>
    <n v="30"/>
    <n v="35"/>
    <n v="554000"/>
    <s v="D-05-01"/>
    <n v="20"/>
    <n v="181"/>
    <n v="-128"/>
    <x v="2"/>
    <n v="-70912000"/>
    <n v="0"/>
    <n v="0"/>
    <s v="PT Cipta Sarana Niaga"/>
  </r>
  <r>
    <s v="SKU0171"/>
    <s v="Graphics Card"/>
    <s v="Computer Hardware"/>
    <s v="Pcs"/>
    <n v="182"/>
    <n v="48"/>
    <n v="61"/>
    <n v="8538000"/>
    <s v="C-05-01"/>
    <n v="243"/>
    <n v="189"/>
    <n v="236"/>
    <x v="0"/>
    <n v="2014968000"/>
    <n v="234"/>
    <n v="-2"/>
    <s v="PT Solusi Komputer"/>
  </r>
  <r>
    <s v="SKU0172"/>
    <s v="SSD 512GB"/>
    <s v="Computer Hardware"/>
    <s v="Pcs"/>
    <n v="130"/>
    <n v="6"/>
    <n v="32"/>
    <n v="789000"/>
    <s v="C-01-02"/>
    <n v="219"/>
    <n v="119"/>
    <n v="230"/>
    <x v="0"/>
    <n v="181470000"/>
    <n v="232"/>
    <n v="2"/>
    <s v="PT Indo Elektrik"/>
  </r>
  <r>
    <s v="SKU0173"/>
    <s v="RAM 16GB"/>
    <s v="Computer Hardware"/>
    <s v="Pcs"/>
    <n v="26"/>
    <n v="45"/>
    <n v="64"/>
    <n v="781000"/>
    <s v="E-02-02"/>
    <n v="86"/>
    <n v="250"/>
    <n v="-138"/>
    <x v="2"/>
    <n v="-107778000"/>
    <n v="0"/>
    <n v="0"/>
    <s v="PT Cipta Sarana Niaga"/>
  </r>
  <r>
    <s v="SKU0174"/>
    <s v="SSD 512GB"/>
    <s v="Computer Hardware"/>
    <s v="Pcs"/>
    <n v="21"/>
    <n v="7"/>
    <n v="21"/>
    <n v="693000"/>
    <s v="A-08-01"/>
    <n v="102"/>
    <n v="156"/>
    <n v="-33"/>
    <x v="2"/>
    <n v="-22869000"/>
    <n v="0"/>
    <n v="0"/>
    <s v="CV Karya Mandiri"/>
  </r>
  <r>
    <s v="SKU0175"/>
    <s v="RAM 16GB"/>
    <s v="Computer Hardware"/>
    <s v="Pcs"/>
    <n v="147"/>
    <n v="13"/>
    <n v="36"/>
    <n v="904000"/>
    <s v="C-04-02"/>
    <n v="214"/>
    <n v="215"/>
    <n v="146"/>
    <x v="0"/>
    <n v="131984000"/>
    <n v="146"/>
    <n v="0"/>
    <s v="CV Karya Mandiri"/>
  </r>
  <r>
    <s v="SKU0176"/>
    <s v="Processor"/>
    <s v="Computer Hardware"/>
    <s v="Pcs"/>
    <n v="200"/>
    <n v="14"/>
    <n v="50"/>
    <n v="6011000"/>
    <s v="D-02-01"/>
    <n v="201"/>
    <n v="99"/>
    <n v="302"/>
    <x v="0"/>
    <n v="1815322000"/>
    <n v="305"/>
    <n v="3"/>
    <s v="CV Mitra Perkasa"/>
  </r>
  <r>
    <s v="SKU0177"/>
    <s v="Processor"/>
    <s v="Computer Hardware"/>
    <s v="Pcs"/>
    <n v="18"/>
    <n v="49"/>
    <n v="65"/>
    <n v="3491000"/>
    <s v="C-09-01"/>
    <n v="99"/>
    <n v="72"/>
    <n v="45"/>
    <x v="3"/>
    <n v="157095000"/>
    <n v="42"/>
    <n v="-3"/>
    <s v="CV Prima Logistik"/>
  </r>
  <r>
    <s v="SKU0178"/>
    <s v="RAM 16GB"/>
    <s v="Computer Hardware"/>
    <s v="Pcs"/>
    <n v="102"/>
    <n v="11"/>
    <n v="37"/>
    <n v="887000"/>
    <s v="D-05-02"/>
    <n v="96"/>
    <n v="112"/>
    <n v="86"/>
    <x v="0"/>
    <n v="76282000"/>
    <n v="85"/>
    <n v="-1"/>
    <s v="CV Berkah Jaya"/>
  </r>
  <r>
    <s v="SKU0179"/>
    <s v="SSD 256GB"/>
    <s v="Computer Hardware"/>
    <s v="Pcs"/>
    <n v="80"/>
    <n v="17"/>
    <n v="25"/>
    <n v="553000"/>
    <s v="A-06-02"/>
    <n v="350"/>
    <n v="64"/>
    <n v="366"/>
    <x v="0"/>
    <n v="202398000"/>
    <n v="368"/>
    <n v="2"/>
    <s v="CV Karya Mandiri"/>
  </r>
  <r>
    <s v="SKU0180"/>
    <s v="PC Case"/>
    <s v="Computer Hardware"/>
    <s v="Pcs"/>
    <n v="22"/>
    <n v="26"/>
    <n v="38"/>
    <n v="393000"/>
    <s v="D-07-01"/>
    <n v="134"/>
    <n v="115"/>
    <n v="41"/>
    <x v="0"/>
    <n v="16113000"/>
    <n v="41"/>
    <n v="0"/>
    <s v="PT Sentosa Distribusi"/>
  </r>
  <r>
    <s v="SKU0181"/>
    <s v="SSD 512GB"/>
    <s v="Computer Hardware"/>
    <s v="Pcs"/>
    <n v="160"/>
    <n v="18"/>
    <n v="40"/>
    <n v="762000"/>
    <s v="E-10-02"/>
    <n v="198"/>
    <n v="90"/>
    <n v="268"/>
    <x v="0"/>
    <n v="204216000"/>
    <n v="266"/>
    <n v="-2"/>
    <s v="CV Berkah Jaya"/>
  </r>
  <r>
    <s v="SKU0182"/>
    <s v="PC Case"/>
    <s v="Computer Hardware"/>
    <s v="Pcs"/>
    <n v="80"/>
    <n v="14"/>
    <n v="23"/>
    <n v="355000"/>
    <s v="B-07-01"/>
    <n v="179"/>
    <n v="29"/>
    <n v="230"/>
    <x v="0"/>
    <n v="81650000"/>
    <n v="230"/>
    <n v="0"/>
    <s v="PT Indo Elektrik"/>
  </r>
  <r>
    <s v="SKU0183"/>
    <s v="SSD 512GB"/>
    <s v="Computer Hardware"/>
    <s v="Pcs"/>
    <n v="43"/>
    <n v="5"/>
    <n v="21"/>
    <n v="576000"/>
    <s v="D-08-02"/>
    <n v="131"/>
    <n v="156"/>
    <n v="18"/>
    <x v="1"/>
    <n v="10368000"/>
    <n v="21"/>
    <n v="3"/>
    <s v="CV Prima Logistik"/>
  </r>
  <r>
    <s v="SKU0184"/>
    <s v="SSD 256GB"/>
    <s v="Computer Hardware"/>
    <s v="Pcs"/>
    <n v="77"/>
    <n v="8"/>
    <n v="19"/>
    <n v="439000"/>
    <s v="D-04-02"/>
    <n v="102"/>
    <n v="55"/>
    <n v="124"/>
    <x v="0"/>
    <n v="54436000"/>
    <n v="124"/>
    <n v="0"/>
    <s v="PT Global Office Supply"/>
  </r>
  <r>
    <s v="SKU0185"/>
    <s v="SSD 512GB"/>
    <s v="Computer Hardware"/>
    <s v="Pcs"/>
    <n v="124"/>
    <n v="28"/>
    <n v="49"/>
    <n v="1037000"/>
    <s v="A-07-02"/>
    <n v="242"/>
    <n v="21"/>
    <n v="345"/>
    <x v="0"/>
    <n v="357765000"/>
    <n v="347"/>
    <n v="2"/>
    <s v="PT Solusi Komputer"/>
  </r>
  <r>
    <s v="SKU0186"/>
    <s v="CPU Cooler"/>
    <s v="Computer Hardware"/>
    <s v="Pcs"/>
    <n v="167"/>
    <n v="7"/>
    <n v="41"/>
    <n v="406000"/>
    <s v="B-10-01"/>
    <n v="48"/>
    <n v="235"/>
    <n v="-20"/>
    <x v="2"/>
    <n v="-8120000"/>
    <n v="0"/>
    <n v="0"/>
    <s v="PT Indo Elektrik"/>
  </r>
  <r>
    <s v="SKU0187"/>
    <s v="SSD 256GB"/>
    <s v="Computer Hardware"/>
    <s v="Pcs"/>
    <n v="132"/>
    <n v="30"/>
    <n v="48"/>
    <n v="381000"/>
    <s v="D-02-01"/>
    <n v="144"/>
    <n v="64"/>
    <n v="212"/>
    <x v="0"/>
    <n v="80772000"/>
    <n v="213"/>
    <n v="1"/>
    <s v="CV Mitra Perkasa"/>
  </r>
  <r>
    <s v="SKU0188"/>
    <s v="SSD 512GB"/>
    <s v="Computer Hardware"/>
    <s v="Pcs"/>
    <n v="92"/>
    <n v="43"/>
    <n v="52"/>
    <n v="632000"/>
    <s v="A-09-01"/>
    <n v="38"/>
    <n v="220"/>
    <n v="-90"/>
    <x v="2"/>
    <n v="-56880000"/>
    <n v="0"/>
    <n v="0"/>
    <s v="CV Mitra Perkasa"/>
  </r>
  <r>
    <s v="SKU0189"/>
    <s v="PC Case"/>
    <s v="Computer Hardware"/>
    <s v="Pcs"/>
    <n v="159"/>
    <n v="40"/>
    <n v="67"/>
    <n v="1646000"/>
    <s v="C-05-01"/>
    <n v="228"/>
    <n v="49"/>
    <n v="338"/>
    <x v="0"/>
    <n v="556348000"/>
    <n v="337"/>
    <n v="-1"/>
    <s v="CV Berkah Jaya"/>
  </r>
  <r>
    <s v="SKU0190"/>
    <s v="CPU Cooler"/>
    <s v="Computer Hardware"/>
    <s v="Pcs"/>
    <n v="126"/>
    <n v="37"/>
    <n v="61"/>
    <n v="481000"/>
    <s v="A-07-01"/>
    <n v="213"/>
    <n v="40"/>
    <n v="299"/>
    <x v="0"/>
    <n v="143819000"/>
    <n v="298"/>
    <n v="-1"/>
    <s v="PT Global Office Supply"/>
  </r>
  <r>
    <s v="SKU0191"/>
    <s v="CPU Cooler"/>
    <s v="Computer Hardware"/>
    <s v="Pcs"/>
    <n v="231"/>
    <n v="18"/>
    <n v="57"/>
    <n v="918000"/>
    <s v="B-05-02"/>
    <n v="104"/>
    <n v="66"/>
    <n v="269"/>
    <x v="0"/>
    <n v="246942000"/>
    <n v="269"/>
    <n v="0"/>
    <s v="CV Karya Mandiri"/>
  </r>
  <r>
    <s v="SKU0192"/>
    <s v="Motherboard"/>
    <s v="Computer Hardware"/>
    <s v="Pcs"/>
    <n v="126"/>
    <n v="30"/>
    <n v="48"/>
    <n v="2544000"/>
    <s v="C-01-01"/>
    <n v="198"/>
    <n v="54"/>
    <n v="270"/>
    <x v="0"/>
    <n v="686880000"/>
    <n v="270"/>
    <n v="0"/>
    <s v="CV Mitra Perkasa"/>
  </r>
  <r>
    <s v="SKU0193"/>
    <s v="Motherboard"/>
    <s v="Computer Hardware"/>
    <s v="Pcs"/>
    <n v="75"/>
    <n v="28"/>
    <n v="37"/>
    <n v="2212000"/>
    <s v="A-05-01"/>
    <n v="189"/>
    <n v="2"/>
    <n v="262"/>
    <x v="0"/>
    <n v="579544000"/>
    <n v="263"/>
    <n v="1"/>
    <s v="CV Karya Mandiri"/>
  </r>
  <r>
    <s v="SKU0194"/>
    <s v="SSD 512GB"/>
    <s v="Computer Hardware"/>
    <s v="Pcs"/>
    <n v="120"/>
    <n v="11"/>
    <n v="39"/>
    <n v="645000"/>
    <s v="A-09-01"/>
    <n v="146"/>
    <n v="43"/>
    <n v="223"/>
    <x v="0"/>
    <n v="143835000"/>
    <n v="226"/>
    <n v="3"/>
    <s v="CV Berkah Jaya"/>
  </r>
  <r>
    <s v="SKU0195"/>
    <s v="SSD 256GB"/>
    <s v="Computer Hardware"/>
    <s v="Pcs"/>
    <n v="153"/>
    <n v="40"/>
    <n v="55"/>
    <n v="650000"/>
    <s v="C-07-01"/>
    <n v="50"/>
    <n v="165"/>
    <n v="38"/>
    <x v="3"/>
    <n v="24700000"/>
    <n v="39"/>
    <n v="1"/>
    <s v="CV Mitra Perkasa"/>
  </r>
  <r>
    <s v="SKU0196"/>
    <s v="Processor"/>
    <s v="Computer Hardware"/>
    <s v="Pcs"/>
    <n v="83"/>
    <n v="43"/>
    <n v="57"/>
    <n v="1621000"/>
    <s v="A-07-02"/>
    <n v="159"/>
    <n v="174"/>
    <n v="68"/>
    <x v="0"/>
    <n v="110228000"/>
    <n v="67"/>
    <n v="-1"/>
    <s v="CV Berkah Jaya"/>
  </r>
  <r>
    <s v="SKU0197"/>
    <s v="CPU Cooler"/>
    <s v="Computer Hardware"/>
    <s v="Pcs"/>
    <n v="49"/>
    <n v="47"/>
    <n v="67"/>
    <n v="397000"/>
    <s v="A-07-02"/>
    <n v="203"/>
    <n v="49"/>
    <n v="203"/>
    <x v="0"/>
    <n v="80591000"/>
    <n v="205"/>
    <n v="2"/>
    <s v="CV Prima Logistik"/>
  </r>
  <r>
    <s v="SKU0198"/>
    <s v="CPU Cooler"/>
    <s v="Computer Hardware"/>
    <s v="Pcs"/>
    <n v="39"/>
    <n v="22"/>
    <n v="45"/>
    <n v="556000"/>
    <s v="C-08-01"/>
    <n v="100"/>
    <n v="101"/>
    <n v="38"/>
    <x v="1"/>
    <n v="21128000"/>
    <n v="37"/>
    <n v="-1"/>
    <s v="CV Prima Logistik"/>
  </r>
  <r>
    <s v="SKU0199"/>
    <s v="PC Case"/>
    <s v="Computer Hardware"/>
    <s v="Pcs"/>
    <n v="182"/>
    <n v="46"/>
    <n v="68"/>
    <n v="1606000"/>
    <s v="D-09-02"/>
    <n v="159"/>
    <n v="157"/>
    <n v="184"/>
    <x v="0"/>
    <n v="295504000"/>
    <n v="187"/>
    <n v="3"/>
    <s v="PT Sumber Teknologi Nusantara"/>
  </r>
  <r>
    <s v="SKU0200"/>
    <s v="SSD 256GB"/>
    <s v="Computer Hardware"/>
    <s v="Pcs"/>
    <n v="79"/>
    <n v="49"/>
    <n v="78"/>
    <n v="442000"/>
    <s v="C-02-02"/>
    <n v="148"/>
    <n v="132"/>
    <n v="95"/>
    <x v="0"/>
    <n v="41990000"/>
    <n v="98"/>
    <n v="3"/>
    <s v="PT Cipta Sarana Niaga"/>
  </r>
  <r>
    <s v="SKU0201"/>
    <s v="A4 Paper"/>
    <s v="Office Supplies"/>
    <s v="Ream"/>
    <n v="232"/>
    <n v="14"/>
    <n v="58"/>
    <n v="51000"/>
    <s v="A-05-01"/>
    <n v="165"/>
    <n v="70"/>
    <n v="327"/>
    <x v="0"/>
    <n v="16677000"/>
    <n v="327"/>
    <n v="0"/>
    <s v="PT Global Office Supply"/>
  </r>
  <r>
    <s v="SKU0202"/>
    <s v="A4 Paper"/>
    <s v="Office Supplies"/>
    <s v="Ream"/>
    <n v="201"/>
    <n v="38"/>
    <n v="50"/>
    <n v="45000"/>
    <s v="C-07-02"/>
    <n v="44"/>
    <n v="138"/>
    <n v="107"/>
    <x v="0"/>
    <n v="4815000"/>
    <n v="104"/>
    <n v="-3"/>
    <s v="PT Global Office Supply"/>
  </r>
  <r>
    <s v="SKU0203"/>
    <s v="Folder"/>
    <s v="Office Supplies"/>
    <s v="Pcs"/>
    <n v="104"/>
    <n v="24"/>
    <n v="52"/>
    <n v="4000"/>
    <s v="E-10-02"/>
    <n v="141"/>
    <n v="40"/>
    <n v="205"/>
    <x v="0"/>
    <n v="820000"/>
    <n v="207"/>
    <n v="2"/>
    <s v="CV Berkah Jaya"/>
  </r>
  <r>
    <s v="SKU0204"/>
    <s v="Toner Cartridge"/>
    <s v="Office Supplies"/>
    <s v="Pcs"/>
    <n v="236"/>
    <n v="8"/>
    <n v="59"/>
    <n v="266000"/>
    <s v="E-09-01"/>
    <n v="21"/>
    <n v="155"/>
    <n v="102"/>
    <x v="0"/>
    <n v="27132000"/>
    <n v="103"/>
    <n v="1"/>
    <s v="PT Sentosa Distribusi"/>
  </r>
  <r>
    <s v="SKU0205"/>
    <s v="A4 Paper"/>
    <s v="Office Supplies"/>
    <s v="Ream"/>
    <n v="79"/>
    <n v="33"/>
    <n v="59"/>
    <n v="45000"/>
    <s v="D-02-01"/>
    <n v="185"/>
    <n v="116"/>
    <n v="148"/>
    <x v="0"/>
    <n v="6660000"/>
    <n v="149"/>
    <n v="1"/>
    <s v="PT Global Office Supply"/>
  </r>
  <r>
    <s v="SKU0206"/>
    <s v="Sticky Notes"/>
    <s v="Office Supplies"/>
    <s v="Pack"/>
    <n v="79"/>
    <n v="18"/>
    <n v="47"/>
    <n v="21000"/>
    <s v="A-08-01"/>
    <n v="113"/>
    <n v="9"/>
    <n v="183"/>
    <x v="0"/>
    <n v="3843000"/>
    <n v="183"/>
    <n v="0"/>
    <s v="PT Indo Elektrik"/>
  </r>
  <r>
    <s v="SKU0207"/>
    <s v="Marker"/>
    <s v="Office Supplies"/>
    <s v="Box"/>
    <n v="82"/>
    <n v="48"/>
    <n v="74"/>
    <n v="27000"/>
    <s v="D-02-01"/>
    <n v="0"/>
    <n v="79"/>
    <n v="3"/>
    <x v="3"/>
    <n v="81000"/>
    <n v="2"/>
    <n v="-1"/>
    <s v="PT Solusi Komputer"/>
  </r>
  <r>
    <s v="SKU0208"/>
    <s v="Staples"/>
    <s v="Office Supplies"/>
    <s v="Box"/>
    <n v="66"/>
    <n v="30"/>
    <n v="54"/>
    <n v="6000"/>
    <s v="A-01-01"/>
    <n v="88"/>
    <n v="163"/>
    <n v="-9"/>
    <x v="2"/>
    <n v="-54000"/>
    <n v="0"/>
    <n v="0"/>
    <s v="PT Sumber Teknologi Nusantara"/>
  </r>
  <r>
    <s v="SKU0209"/>
    <s v="Staples"/>
    <s v="Office Supplies"/>
    <s v="Box"/>
    <n v="206"/>
    <n v="13"/>
    <n v="51"/>
    <n v="11000"/>
    <s v="B-09-02"/>
    <n v="14"/>
    <n v="180"/>
    <n v="40"/>
    <x v="1"/>
    <n v="440000"/>
    <n v="42"/>
    <n v="2"/>
    <s v="PT Cipta Sarana Niaga"/>
  </r>
  <r>
    <s v="SKU0210"/>
    <s v="Ballpoint Pen"/>
    <s v="Office Supplies"/>
    <s v="Box"/>
    <n v="137"/>
    <n v="32"/>
    <n v="42"/>
    <n v="18000"/>
    <s v="C-05-01"/>
    <n v="119"/>
    <n v="135"/>
    <n v="121"/>
    <x v="0"/>
    <n v="2178000"/>
    <n v="122"/>
    <n v="1"/>
    <s v="PT Sentosa Distribusi"/>
  </r>
  <r>
    <s v="SKU0211"/>
    <s v="Stapler"/>
    <s v="Office Supplies"/>
    <s v="Pcs"/>
    <n v="153"/>
    <n v="47"/>
    <n v="77"/>
    <n v="79000"/>
    <s v="A-05-02"/>
    <n v="281"/>
    <n v="72"/>
    <n v="362"/>
    <x v="0"/>
    <n v="28598000"/>
    <n v="362"/>
    <n v="0"/>
    <s v="CV Berkah Jaya"/>
  </r>
  <r>
    <s v="SKU0212"/>
    <s v="A4 Paper"/>
    <s v="Office Supplies"/>
    <s v="Ream"/>
    <n v="14"/>
    <n v="34"/>
    <n v="41"/>
    <n v="67000"/>
    <s v="D-07-02"/>
    <n v="386"/>
    <n v="84"/>
    <n v="316"/>
    <x v="0"/>
    <n v="21172000"/>
    <n v="315"/>
    <n v="-1"/>
    <s v="CV Berkah Jaya"/>
  </r>
  <r>
    <s v="SKU0213"/>
    <s v="Toner Cartridge"/>
    <s v="Office Supplies"/>
    <s v="Pcs"/>
    <n v="191"/>
    <n v="45"/>
    <n v="63"/>
    <n v="594000"/>
    <s v="A-08-01"/>
    <n v="154"/>
    <n v="89"/>
    <n v="256"/>
    <x v="0"/>
    <n v="152064000"/>
    <n v="258"/>
    <n v="2"/>
    <s v="PT Cipta Sarana Niaga"/>
  </r>
  <r>
    <s v="SKU0214"/>
    <s v="A4 Paper"/>
    <s v="Office Supplies"/>
    <s v="Ream"/>
    <n v="53"/>
    <n v="44"/>
    <n v="63"/>
    <n v="60000"/>
    <s v="A-06-02"/>
    <n v="261"/>
    <n v="78"/>
    <n v="236"/>
    <x v="0"/>
    <n v="14160000"/>
    <n v="234"/>
    <n v="-2"/>
    <s v="CV Berkah Jaya"/>
  </r>
  <r>
    <s v="SKU0215"/>
    <s v="Ballpoint Pen"/>
    <s v="Office Supplies"/>
    <s v="Box"/>
    <n v="121"/>
    <n v="42"/>
    <n v="59"/>
    <n v="25000"/>
    <s v="A-06-01"/>
    <n v="176"/>
    <n v="209"/>
    <n v="88"/>
    <x v="0"/>
    <n v="2200000"/>
    <n v="88"/>
    <n v="0"/>
    <s v="PT Indo Elektrik"/>
  </r>
  <r>
    <s v="SKU0216"/>
    <s v="Staples"/>
    <s v="Office Supplies"/>
    <s v="Box"/>
    <n v="66"/>
    <n v="26"/>
    <n v="55"/>
    <n v="15000"/>
    <s v="A-05-02"/>
    <n v="146"/>
    <n v="105"/>
    <n v="107"/>
    <x v="0"/>
    <n v="1605000"/>
    <n v="107"/>
    <n v="0"/>
    <s v="PT Sentosa Distribusi"/>
  </r>
  <r>
    <s v="SKU0217"/>
    <s v="Ballpoint Pen"/>
    <s v="Office Supplies"/>
    <s v="Box"/>
    <n v="140"/>
    <n v="17"/>
    <n v="46"/>
    <n v="34000"/>
    <s v="C-03-01"/>
    <n v="189"/>
    <n v="81"/>
    <n v="248"/>
    <x v="0"/>
    <n v="8432000"/>
    <n v="248"/>
    <n v="0"/>
    <s v="CV Berkah Jaya"/>
  </r>
  <r>
    <s v="SKU0218"/>
    <s v="Stapler"/>
    <s v="Office Supplies"/>
    <s v="Pcs"/>
    <n v="47"/>
    <n v="21"/>
    <n v="32"/>
    <n v="28000"/>
    <s v="D-09-02"/>
    <n v="84"/>
    <n v="191"/>
    <n v="-60"/>
    <x v="2"/>
    <n v="-1680000"/>
    <n v="0"/>
    <n v="0"/>
    <s v="PT Sentosa Distribusi"/>
  </r>
  <r>
    <s v="SKU0219"/>
    <s v="Ballpoint Pen"/>
    <s v="Office Supplies"/>
    <s v="Box"/>
    <n v="207"/>
    <n v="45"/>
    <n v="65"/>
    <n v="23000"/>
    <s v="E-09-01"/>
    <n v="219"/>
    <n v="180"/>
    <n v="246"/>
    <x v="0"/>
    <n v="5658000"/>
    <n v="247"/>
    <n v="1"/>
    <s v="CV Karya Mandiri"/>
  </r>
  <r>
    <s v="SKU0220"/>
    <s v="Toner Cartridge"/>
    <s v="Office Supplies"/>
    <s v="Pcs"/>
    <n v="184"/>
    <n v="41"/>
    <n v="66"/>
    <n v="639000"/>
    <s v="C-01-02"/>
    <n v="130"/>
    <n v="63"/>
    <n v="251"/>
    <x v="0"/>
    <n v="160389000"/>
    <n v="253"/>
    <n v="2"/>
    <s v="PT Solusi Komputer"/>
  </r>
  <r>
    <s v="SKU0221"/>
    <s v="Notebook"/>
    <s v="Office Supplies"/>
    <s v="Pcs"/>
    <n v="27"/>
    <n v="35"/>
    <n v="54"/>
    <n v="22000"/>
    <s v="B-08-02"/>
    <n v="148"/>
    <n v="111"/>
    <n v="64"/>
    <x v="0"/>
    <n v="1408000"/>
    <n v="65"/>
    <n v="1"/>
    <s v="PT Cipta Sarana Niaga"/>
  </r>
  <r>
    <s v="SKU0222"/>
    <s v="A4 Paper"/>
    <s v="Office Supplies"/>
    <s v="Ream"/>
    <n v="139"/>
    <n v="9"/>
    <n v="34"/>
    <n v="62000"/>
    <s v="C-09-02"/>
    <n v="115"/>
    <n v="58"/>
    <n v="196"/>
    <x v="0"/>
    <n v="12152000"/>
    <n v="195"/>
    <n v="-1"/>
    <s v="CV Karya Mandiri"/>
  </r>
  <r>
    <s v="SKU0223"/>
    <s v="A4 Paper"/>
    <s v="Office Supplies"/>
    <s v="Ream"/>
    <n v="222"/>
    <n v="23"/>
    <n v="55"/>
    <n v="63000"/>
    <s v="D-10-01"/>
    <n v="111"/>
    <n v="68"/>
    <n v="265"/>
    <x v="0"/>
    <n v="16695000"/>
    <n v="265"/>
    <n v="0"/>
    <s v="CV Mitra Perkasa"/>
  </r>
  <r>
    <s v="SKU0224"/>
    <s v="Printer Ink"/>
    <s v="Office Supplies"/>
    <s v="Bottle"/>
    <n v="128"/>
    <n v="42"/>
    <n v="64"/>
    <n v="148000"/>
    <s v="C-09-02"/>
    <n v="93"/>
    <n v="71"/>
    <n v="150"/>
    <x v="0"/>
    <n v="22200000"/>
    <n v="149"/>
    <n v="-1"/>
    <s v="PT Sumber Teknologi Nusantara"/>
  </r>
  <r>
    <s v="SKU0225"/>
    <s v="Stapler"/>
    <s v="Office Supplies"/>
    <s v="Pcs"/>
    <n v="164"/>
    <n v="35"/>
    <n v="56"/>
    <n v="56000"/>
    <s v="A-04-02"/>
    <n v="159"/>
    <n v="163"/>
    <n v="160"/>
    <x v="0"/>
    <n v="8960000"/>
    <n v="160"/>
    <n v="0"/>
    <s v="PT Sentosa Distribusi"/>
  </r>
  <r>
    <s v="SKU0226"/>
    <s v="Ballpoint Pen"/>
    <s v="Office Supplies"/>
    <s v="Box"/>
    <n v="240"/>
    <n v="26"/>
    <n v="60"/>
    <n v="43000"/>
    <s v="D-03-01"/>
    <n v="89"/>
    <n v="56"/>
    <n v="273"/>
    <x v="0"/>
    <n v="11739000"/>
    <n v="276"/>
    <n v="3"/>
    <s v="CV Mitra Perkasa"/>
  </r>
  <r>
    <s v="SKU0227"/>
    <s v="A4 Paper"/>
    <s v="Office Supplies"/>
    <s v="Ream"/>
    <n v="191"/>
    <n v="33"/>
    <n v="52"/>
    <n v="55000"/>
    <s v="D-04-01"/>
    <n v="0"/>
    <n v="106"/>
    <n v="85"/>
    <x v="0"/>
    <n v="4675000"/>
    <n v="86"/>
    <n v="1"/>
    <s v="PT Indo Elektrik"/>
  </r>
  <r>
    <s v="SKU0228"/>
    <s v="Notebook"/>
    <s v="Office Supplies"/>
    <s v="Pcs"/>
    <n v="105"/>
    <n v="23"/>
    <n v="40"/>
    <n v="19000"/>
    <s v="E-10-02"/>
    <n v="16"/>
    <n v="74"/>
    <n v="47"/>
    <x v="0"/>
    <n v="893000"/>
    <n v="50"/>
    <n v="3"/>
    <s v="PT Global Office Supply"/>
  </r>
  <r>
    <s v="SKU0229"/>
    <s v="Toner Cartridge"/>
    <s v="Office Supplies"/>
    <s v="Pcs"/>
    <n v="212"/>
    <n v="45"/>
    <n v="70"/>
    <n v="233000"/>
    <s v="A-05-01"/>
    <n v="193"/>
    <n v="93"/>
    <n v="312"/>
    <x v="0"/>
    <n v="72696000"/>
    <n v="314"/>
    <n v="2"/>
    <s v="CV Berkah Jaya"/>
  </r>
  <r>
    <s v="SKU0230"/>
    <s v="Ballpoint Pen"/>
    <s v="Office Supplies"/>
    <s v="Box"/>
    <n v="183"/>
    <n v="29"/>
    <n v="45"/>
    <n v="35000"/>
    <s v="E-07-01"/>
    <n v="138"/>
    <n v="64"/>
    <n v="257"/>
    <x v="0"/>
    <n v="8995000"/>
    <n v="254"/>
    <n v="-3"/>
    <s v="PT Cipta Sarana Niaga"/>
  </r>
  <r>
    <s v="SKU0231"/>
    <s v="Notebook"/>
    <s v="Office Supplies"/>
    <s v="Pcs"/>
    <n v="30"/>
    <n v="42"/>
    <n v="68"/>
    <n v="18000"/>
    <s v="C-03-01"/>
    <n v="135"/>
    <n v="122"/>
    <n v="43"/>
    <x v="1"/>
    <n v="774000"/>
    <n v="44"/>
    <n v="1"/>
    <s v="PT Sentosa Distribusi"/>
  </r>
  <r>
    <s v="SKU0232"/>
    <s v="Marker"/>
    <s v="Office Supplies"/>
    <s v="Box"/>
    <n v="162"/>
    <n v="50"/>
    <n v="57"/>
    <n v="28000"/>
    <s v="D-06-02"/>
    <n v="129"/>
    <n v="203"/>
    <n v="88"/>
    <x v="0"/>
    <n v="2464000"/>
    <n v="85"/>
    <n v="-3"/>
    <s v="PT Cipta Sarana Niaga"/>
  </r>
  <r>
    <s v="SKU0233"/>
    <s v="Folder"/>
    <s v="Office Supplies"/>
    <s v="Pcs"/>
    <n v="42"/>
    <n v="47"/>
    <n v="74"/>
    <n v="15000"/>
    <s v="A-06-02"/>
    <n v="300"/>
    <n v="152"/>
    <n v="190"/>
    <x v="0"/>
    <n v="2850000"/>
    <n v="190"/>
    <n v="0"/>
    <s v="PT Indo Elektrik"/>
  </r>
  <r>
    <s v="SKU0234"/>
    <s v="Printer Ink"/>
    <s v="Office Supplies"/>
    <s v="Bottle"/>
    <n v="14"/>
    <n v="28"/>
    <n v="42"/>
    <n v="142000"/>
    <s v="B-04-02"/>
    <n v="248"/>
    <n v="55"/>
    <n v="207"/>
    <x v="0"/>
    <n v="29394000"/>
    <n v="210"/>
    <n v="3"/>
    <s v="PT Sentosa Distribusi"/>
  </r>
  <r>
    <s v="SKU0235"/>
    <s v="Sticky Notes"/>
    <s v="Office Supplies"/>
    <s v="Pack"/>
    <n v="67"/>
    <n v="13"/>
    <n v="22"/>
    <n v="14000"/>
    <s v="B-09-02"/>
    <n v="82"/>
    <n v="88"/>
    <n v="61"/>
    <x v="0"/>
    <n v="854000"/>
    <n v="64"/>
    <n v="3"/>
    <s v="CV Mitra Perkasa"/>
  </r>
  <r>
    <s v="SKU0236"/>
    <s v="Printer Ink"/>
    <s v="Office Supplies"/>
    <s v="Bottle"/>
    <n v="179"/>
    <n v="26"/>
    <n v="55"/>
    <n v="59000"/>
    <s v="A-09-01"/>
    <n v="84"/>
    <n v="11"/>
    <n v="252"/>
    <x v="0"/>
    <n v="14868000"/>
    <n v="253"/>
    <n v="1"/>
    <s v="PT Solusi Komputer"/>
  </r>
  <r>
    <s v="SKU0237"/>
    <s v="Marker"/>
    <s v="Office Supplies"/>
    <s v="Box"/>
    <n v="51"/>
    <n v="16"/>
    <n v="43"/>
    <n v="29000"/>
    <s v="B-01-02"/>
    <n v="145"/>
    <n v="189"/>
    <n v="7"/>
    <x v="3"/>
    <n v="203000"/>
    <n v="7"/>
    <n v="0"/>
    <s v="PT Solusi Komputer"/>
  </r>
  <r>
    <s v="SKU0238"/>
    <s v="A4 Paper"/>
    <s v="Office Supplies"/>
    <s v="Ream"/>
    <n v="103"/>
    <n v="48"/>
    <n v="76"/>
    <n v="66000"/>
    <s v="C-09-01"/>
    <n v="170"/>
    <n v="298"/>
    <n v="-25"/>
    <x v="2"/>
    <n v="-1650000"/>
    <n v="0"/>
    <n v="0"/>
    <s v="CV Prima Logistik"/>
  </r>
  <r>
    <s v="SKU0239"/>
    <s v="Staples"/>
    <s v="Office Supplies"/>
    <s v="Box"/>
    <n v="69"/>
    <n v="39"/>
    <n v="51"/>
    <n v="19000"/>
    <s v="D-01-01"/>
    <n v="108"/>
    <n v="74"/>
    <n v="103"/>
    <x v="0"/>
    <n v="1957000"/>
    <n v="100"/>
    <n v="-3"/>
    <s v="PT Cipta Sarana Niaga"/>
  </r>
  <r>
    <s v="SKU0240"/>
    <s v="Folder"/>
    <s v="Office Supplies"/>
    <s v="Pcs"/>
    <n v="156"/>
    <n v="33"/>
    <n v="52"/>
    <n v="12000"/>
    <s v="E-10-02"/>
    <n v="10"/>
    <n v="162"/>
    <n v="4"/>
    <x v="3"/>
    <n v="48000"/>
    <n v="4"/>
    <n v="0"/>
    <s v="PT Cipta Sarana Niaga"/>
  </r>
  <r>
    <s v="SKU0241"/>
    <s v="Printer Ink"/>
    <s v="Office Supplies"/>
    <s v="Bottle"/>
    <n v="51"/>
    <n v="17"/>
    <n v="47"/>
    <n v="157000"/>
    <s v="A-09-02"/>
    <n v="185"/>
    <n v="129"/>
    <n v="107"/>
    <x v="0"/>
    <n v="16799000"/>
    <n v="107"/>
    <n v="0"/>
    <s v="PT Solusi Komputer"/>
  </r>
  <r>
    <s v="SKU0242"/>
    <s v="A4 Paper"/>
    <s v="Office Supplies"/>
    <s v="Ream"/>
    <n v="233"/>
    <n v="28"/>
    <n v="58"/>
    <n v="70000"/>
    <s v="E-06-02"/>
    <n v="248"/>
    <n v="101"/>
    <n v="380"/>
    <x v="0"/>
    <n v="26600000"/>
    <n v="380"/>
    <n v="0"/>
    <s v="CV Mitra Perkasa"/>
  </r>
  <r>
    <s v="SKU0243"/>
    <s v="Ballpoint Pen"/>
    <s v="Office Supplies"/>
    <s v="Box"/>
    <n v="31"/>
    <n v="15"/>
    <n v="28"/>
    <n v="27000"/>
    <s v="D-03-02"/>
    <n v="265"/>
    <n v="188"/>
    <n v="108"/>
    <x v="0"/>
    <n v="2916000"/>
    <n v="108"/>
    <n v="0"/>
    <s v="CV Karya Mandiri"/>
  </r>
  <r>
    <s v="SKU0244"/>
    <s v="Marker"/>
    <s v="Office Supplies"/>
    <s v="Box"/>
    <n v="243"/>
    <n v="19"/>
    <n v="60"/>
    <n v="25000"/>
    <s v="A-02-02"/>
    <n v="277"/>
    <n v="42"/>
    <n v="478"/>
    <x v="0"/>
    <n v="11950000"/>
    <n v="475"/>
    <n v="-3"/>
    <s v="CV Berkah Jaya"/>
  </r>
  <r>
    <s v="SKU0245"/>
    <s v="A4 Paper"/>
    <s v="Office Supplies"/>
    <s v="Ream"/>
    <n v="138"/>
    <n v="28"/>
    <n v="40"/>
    <n v="65000"/>
    <s v="A-06-01"/>
    <n v="169"/>
    <n v="30"/>
    <n v="277"/>
    <x v="0"/>
    <n v="18005000"/>
    <n v="277"/>
    <n v="0"/>
    <s v="PT Global Office Supply"/>
  </r>
  <r>
    <s v="SKU0246"/>
    <s v="Stapler"/>
    <s v="Office Supplies"/>
    <s v="Pcs"/>
    <n v="91"/>
    <n v="11"/>
    <n v="38"/>
    <n v="18000"/>
    <s v="A-10-01"/>
    <n v="103"/>
    <n v="172"/>
    <n v="22"/>
    <x v="1"/>
    <n v="396000"/>
    <n v="19"/>
    <n v="-3"/>
    <s v="CV Berkah Jaya"/>
  </r>
  <r>
    <s v="SKU0247"/>
    <s v="A4 Paper"/>
    <s v="Office Supplies"/>
    <s v="Ream"/>
    <n v="244"/>
    <n v="35"/>
    <n v="62"/>
    <n v="58000"/>
    <s v="E-09-02"/>
    <n v="244"/>
    <n v="78"/>
    <n v="410"/>
    <x v="0"/>
    <n v="23780000"/>
    <n v="413"/>
    <n v="3"/>
    <s v="PT Sentosa Distribusi"/>
  </r>
  <r>
    <s v="SKU0248"/>
    <s v="Sticky Notes"/>
    <s v="Office Supplies"/>
    <s v="Pack"/>
    <n v="11"/>
    <n v="10"/>
    <n v="15"/>
    <n v="27000"/>
    <s v="B-04-02"/>
    <n v="154"/>
    <n v="98"/>
    <n v="67"/>
    <x v="0"/>
    <n v="1809000"/>
    <n v="66"/>
    <n v="-1"/>
    <s v="PT Cipta Sarana Niaga"/>
  </r>
  <r>
    <s v="SKU0249"/>
    <s v="Printer Ink"/>
    <s v="Office Supplies"/>
    <s v="Bottle"/>
    <n v="38"/>
    <n v="23"/>
    <n v="35"/>
    <n v="158000"/>
    <s v="A-08-02"/>
    <n v="125"/>
    <n v="54"/>
    <n v="109"/>
    <x v="0"/>
    <n v="17222000"/>
    <n v="111"/>
    <n v="2"/>
    <s v="PT Cipta Sarana Niaga"/>
  </r>
  <r>
    <s v="SKU0250"/>
    <s v="Stapler"/>
    <s v="Office Supplies"/>
    <s v="Pcs"/>
    <n v="173"/>
    <n v="44"/>
    <n v="63"/>
    <n v="68000"/>
    <s v="A-08-01"/>
    <n v="148"/>
    <n v="91"/>
    <n v="230"/>
    <x v="0"/>
    <n v="15640000"/>
    <n v="230"/>
    <n v="0"/>
    <s v="CV Mitra Perkasa"/>
  </r>
  <r>
    <s v="SKU0251"/>
    <s v="Toner Cartridge"/>
    <s v="Office Supplies"/>
    <s v="Pcs"/>
    <n v="14"/>
    <n v="45"/>
    <n v="66"/>
    <n v="728000"/>
    <s v="B-06-01"/>
    <n v="148"/>
    <n v="74"/>
    <n v="88"/>
    <x v="0"/>
    <n v="64064000"/>
    <n v="89"/>
    <n v="1"/>
    <s v="PT Solusi Komputer"/>
  </r>
  <r>
    <s v="SKU0252"/>
    <s v="Staples"/>
    <s v="Office Supplies"/>
    <s v="Box"/>
    <n v="10"/>
    <n v="44"/>
    <n v="60"/>
    <n v="18000"/>
    <s v="D-07-02"/>
    <n v="325"/>
    <n v="103"/>
    <n v="232"/>
    <x v="0"/>
    <n v="4176000"/>
    <n v="230"/>
    <n v="-2"/>
    <s v="CV Prima Logistik"/>
  </r>
  <r>
    <s v="SKU0253"/>
    <s v="Notebook"/>
    <s v="Office Supplies"/>
    <s v="Pcs"/>
    <n v="181"/>
    <n v="10"/>
    <n v="45"/>
    <n v="29000"/>
    <s v="A-05-01"/>
    <n v="57"/>
    <n v="186"/>
    <n v="52"/>
    <x v="0"/>
    <n v="1508000"/>
    <n v="52"/>
    <n v="0"/>
    <s v="CV Berkah Jaya"/>
  </r>
  <r>
    <s v="SKU0254"/>
    <s v="Printer Ink"/>
    <s v="Office Supplies"/>
    <s v="Bottle"/>
    <n v="211"/>
    <n v="37"/>
    <n v="59"/>
    <n v="179000"/>
    <s v="C-05-02"/>
    <n v="211"/>
    <n v="188"/>
    <n v="234"/>
    <x v="0"/>
    <n v="41886000"/>
    <n v="236"/>
    <n v="2"/>
    <s v="PT Sumber Teknologi Nusantara"/>
  </r>
  <r>
    <s v="SKU0255"/>
    <s v="A4 Paper"/>
    <s v="Office Supplies"/>
    <s v="Ream"/>
    <n v="105"/>
    <n v="21"/>
    <n v="49"/>
    <n v="64000"/>
    <s v="C-03-02"/>
    <n v="126"/>
    <n v="204"/>
    <n v="27"/>
    <x v="1"/>
    <n v="1728000"/>
    <n v="28"/>
    <n v="1"/>
    <s v="PT Sumber Teknologi Nusantara"/>
  </r>
  <r>
    <s v="SKU0256"/>
    <s v="Folder"/>
    <s v="Office Supplies"/>
    <s v="Pcs"/>
    <n v="197"/>
    <n v="47"/>
    <n v="72"/>
    <n v="5000"/>
    <s v="E-10-01"/>
    <n v="228"/>
    <n v="146"/>
    <n v="279"/>
    <x v="0"/>
    <n v="1395000"/>
    <n v="279"/>
    <n v="0"/>
    <s v="CV Mitra Perkasa"/>
  </r>
  <r>
    <s v="SKU0257"/>
    <s v="Folder"/>
    <s v="Office Supplies"/>
    <s v="Pcs"/>
    <n v="21"/>
    <n v="27"/>
    <n v="49"/>
    <n v="4000"/>
    <s v="E-02-01"/>
    <n v="143"/>
    <n v="136"/>
    <n v="28"/>
    <x v="1"/>
    <n v="112000"/>
    <n v="25"/>
    <n v="-3"/>
    <s v="CV Berkah Jaya"/>
  </r>
  <r>
    <s v="SKU0258"/>
    <s v="Sticky Notes"/>
    <s v="Office Supplies"/>
    <s v="Pack"/>
    <n v="132"/>
    <n v="45"/>
    <n v="55"/>
    <n v="30000"/>
    <s v="A-05-01"/>
    <n v="163"/>
    <n v="25"/>
    <n v="270"/>
    <x v="0"/>
    <n v="8100000"/>
    <n v="270"/>
    <n v="0"/>
    <s v="PT Sentosa Distribusi"/>
  </r>
  <r>
    <s v="SKU0259"/>
    <s v="A4 Paper"/>
    <s v="Office Supplies"/>
    <s v="Ream"/>
    <n v="61"/>
    <n v="7"/>
    <n v="37"/>
    <n v="58000"/>
    <s v="A-03-02"/>
    <n v="143"/>
    <n v="46"/>
    <n v="158"/>
    <x v="0"/>
    <n v="9164000"/>
    <n v="158"/>
    <n v="0"/>
    <s v="CV Prima Logistik"/>
  </r>
  <r>
    <s v="SKU0260"/>
    <s v="Staples"/>
    <s v="Office Supplies"/>
    <s v="Box"/>
    <n v="218"/>
    <n v="39"/>
    <n v="59"/>
    <n v="17000"/>
    <s v="A-03-01"/>
    <n v="158"/>
    <n v="69"/>
    <n v="307"/>
    <x v="0"/>
    <n v="5219000"/>
    <n v="307"/>
    <n v="0"/>
    <s v="PT Cipta Sarana Niaga"/>
  </r>
  <r>
    <s v="SKU0261"/>
    <s v="Staples"/>
    <s v="Office Supplies"/>
    <s v="Box"/>
    <n v="230"/>
    <n v="8"/>
    <n v="57"/>
    <n v="16000"/>
    <s v="B-08-01"/>
    <n v="148"/>
    <n v="156"/>
    <n v="222"/>
    <x v="0"/>
    <n v="3552000"/>
    <n v="223"/>
    <n v="1"/>
    <s v="CV Berkah Jaya"/>
  </r>
  <r>
    <s v="SKU0262"/>
    <s v="Folder"/>
    <s v="Office Supplies"/>
    <s v="Pcs"/>
    <n v="237"/>
    <n v="30"/>
    <n v="59"/>
    <n v="8000"/>
    <s v="C-05-02"/>
    <n v="16"/>
    <n v="171"/>
    <n v="82"/>
    <x v="0"/>
    <n v="656000"/>
    <n v="84"/>
    <n v="2"/>
    <s v="CV Karya Mandiri"/>
  </r>
  <r>
    <s v="SKU0263"/>
    <s v="Notebook"/>
    <s v="Office Supplies"/>
    <s v="Pcs"/>
    <n v="187"/>
    <n v="36"/>
    <n v="52"/>
    <n v="23000"/>
    <s v="B-08-01"/>
    <n v="42"/>
    <n v="34"/>
    <n v="195"/>
    <x v="0"/>
    <n v="4485000"/>
    <n v="192"/>
    <n v="-3"/>
    <s v="PT Indo Elektrik"/>
  </r>
  <r>
    <s v="SKU0264"/>
    <s v="Marker"/>
    <s v="Office Supplies"/>
    <s v="Box"/>
    <n v="120"/>
    <n v="43"/>
    <n v="53"/>
    <n v="25000"/>
    <s v="B-09-02"/>
    <n v="206"/>
    <n v="126"/>
    <n v="200"/>
    <x v="0"/>
    <n v="5000000"/>
    <n v="202"/>
    <n v="2"/>
    <s v="PT Indo Elektrik"/>
  </r>
  <r>
    <s v="SKU0265"/>
    <s v="Ballpoint Pen"/>
    <s v="Office Supplies"/>
    <s v="Box"/>
    <n v="93"/>
    <n v="47"/>
    <n v="61"/>
    <n v="20000"/>
    <s v="C-09-02"/>
    <n v="66"/>
    <n v="84"/>
    <n v="75"/>
    <x v="0"/>
    <n v="1500000"/>
    <n v="78"/>
    <n v="3"/>
    <s v="PT Cipta Sarana Niaga"/>
  </r>
  <r>
    <s v="SKU0266"/>
    <s v="Marker"/>
    <s v="Office Supplies"/>
    <s v="Box"/>
    <n v="186"/>
    <n v="33"/>
    <n v="49"/>
    <n v="30000"/>
    <s v="A-03-02"/>
    <n v="68"/>
    <n v="88"/>
    <n v="166"/>
    <x v="0"/>
    <n v="4980000"/>
    <n v="168"/>
    <n v="2"/>
    <s v="CV Karya Mandiri"/>
  </r>
  <r>
    <s v="SKU0267"/>
    <s v="Toner Cartridge"/>
    <s v="Office Supplies"/>
    <s v="Pcs"/>
    <n v="80"/>
    <n v="45"/>
    <n v="75"/>
    <n v="625000"/>
    <s v="A-05-02"/>
    <n v="227"/>
    <n v="39"/>
    <n v="268"/>
    <x v="0"/>
    <n v="167500000"/>
    <n v="270"/>
    <n v="2"/>
    <s v="PT Sumber Teknologi Nusantara"/>
  </r>
  <r>
    <s v="SKU0268"/>
    <s v="Folder"/>
    <s v="Office Supplies"/>
    <s v="Pcs"/>
    <n v="215"/>
    <n v="48"/>
    <n v="58"/>
    <n v="10000"/>
    <s v="A-10-01"/>
    <n v="194"/>
    <n v="144"/>
    <n v="265"/>
    <x v="0"/>
    <n v="2650000"/>
    <n v="265"/>
    <n v="0"/>
    <s v="PT Sumber Teknologi Nusantara"/>
  </r>
  <r>
    <s v="SKU0269"/>
    <s v="Sticky Notes"/>
    <s v="Office Supplies"/>
    <s v="Pack"/>
    <n v="42"/>
    <n v="9"/>
    <n v="21"/>
    <n v="9000"/>
    <s v="C-04-01"/>
    <n v="125"/>
    <n v="68"/>
    <n v="99"/>
    <x v="0"/>
    <n v="891000"/>
    <n v="99"/>
    <n v="0"/>
    <s v="CV Berkah Jaya"/>
  </r>
  <r>
    <s v="SKU0270"/>
    <s v="Toner Cartridge"/>
    <s v="Office Supplies"/>
    <s v="Pcs"/>
    <n v="164"/>
    <n v="14"/>
    <n v="41"/>
    <n v="213000"/>
    <s v="C-04-02"/>
    <n v="57"/>
    <n v="71"/>
    <n v="150"/>
    <x v="0"/>
    <n v="31950000"/>
    <n v="150"/>
    <n v="0"/>
    <s v="CV Karya Mandiri"/>
  </r>
  <r>
    <s v="SKU0271"/>
    <s v="Sticky Notes"/>
    <s v="Office Supplies"/>
    <s v="Pack"/>
    <n v="156"/>
    <n v="13"/>
    <n v="39"/>
    <n v="10000"/>
    <s v="C-06-01"/>
    <n v="37"/>
    <n v="87"/>
    <n v="106"/>
    <x v="0"/>
    <n v="1060000"/>
    <n v="105"/>
    <n v="-1"/>
    <s v="CV Berkah Jaya"/>
  </r>
  <r>
    <s v="SKU0272"/>
    <s v="Staples"/>
    <s v="Office Supplies"/>
    <s v="Box"/>
    <n v="39"/>
    <n v="6"/>
    <n v="34"/>
    <n v="12000"/>
    <s v="D-02-02"/>
    <n v="77"/>
    <n v="77"/>
    <n v="39"/>
    <x v="0"/>
    <n v="468000"/>
    <n v="40"/>
    <n v="1"/>
    <s v="PT Sentosa Distribusi"/>
  </r>
  <r>
    <s v="SKU0273"/>
    <s v="Marker"/>
    <s v="Office Supplies"/>
    <s v="Box"/>
    <n v="40"/>
    <n v="21"/>
    <n v="50"/>
    <n v="55000"/>
    <s v="E-06-01"/>
    <n v="55"/>
    <n v="80"/>
    <n v="15"/>
    <x v="3"/>
    <n v="825000"/>
    <n v="13"/>
    <n v="-2"/>
    <s v="PT Cipta Sarana Niaga"/>
  </r>
  <r>
    <s v="SKU0274"/>
    <s v="Stapler"/>
    <s v="Office Supplies"/>
    <s v="Pcs"/>
    <n v="187"/>
    <n v="36"/>
    <n v="47"/>
    <n v="51000"/>
    <s v="A-09-02"/>
    <n v="121"/>
    <n v="149"/>
    <n v="159"/>
    <x v="0"/>
    <n v="8109000"/>
    <n v="156"/>
    <n v="-3"/>
    <s v="CV Mitra Perkasa"/>
  </r>
  <r>
    <s v="SKU0275"/>
    <s v="Sticky Notes"/>
    <s v="Office Supplies"/>
    <s v="Pack"/>
    <n v="240"/>
    <n v="50"/>
    <n v="69"/>
    <n v="13000"/>
    <s v="E-04-02"/>
    <n v="49"/>
    <n v="170"/>
    <n v="119"/>
    <x v="0"/>
    <n v="1547000"/>
    <n v="119"/>
    <n v="0"/>
    <s v="CV Mitra Perkasa"/>
  </r>
  <r>
    <s v="SKU0276"/>
    <s v="Folder"/>
    <s v="Office Supplies"/>
    <s v="Pcs"/>
    <n v="26"/>
    <n v="40"/>
    <n v="62"/>
    <n v="13000"/>
    <s v="B-10-01"/>
    <n v="10"/>
    <n v="92"/>
    <n v="-56"/>
    <x v="2"/>
    <n v="-728000"/>
    <n v="0"/>
    <n v="0"/>
    <s v="PT Cipta Sarana Niaga"/>
  </r>
  <r>
    <s v="SKU0277"/>
    <s v="Notebook"/>
    <s v="Office Supplies"/>
    <s v="Pcs"/>
    <n v="102"/>
    <n v="37"/>
    <n v="49"/>
    <n v="33000"/>
    <s v="B-03-02"/>
    <n v="20"/>
    <n v="126"/>
    <n v="-4"/>
    <x v="2"/>
    <n v="-132000"/>
    <n v="0"/>
    <n v="0"/>
    <s v="CV Mitra Perkasa"/>
  </r>
  <r>
    <s v="SKU0278"/>
    <s v="Stapler"/>
    <s v="Office Supplies"/>
    <s v="Pcs"/>
    <n v="16"/>
    <n v="28"/>
    <n v="50"/>
    <n v="78000"/>
    <s v="C-04-02"/>
    <n v="44"/>
    <n v="157"/>
    <n v="-97"/>
    <x v="2"/>
    <n v="-7566000"/>
    <n v="0"/>
    <n v="0"/>
    <s v="PT Solusi Komputer"/>
  </r>
  <r>
    <s v="SKU0279"/>
    <s v="Printer Ink"/>
    <s v="Office Supplies"/>
    <s v="Bottle"/>
    <n v="166"/>
    <n v="10"/>
    <n v="41"/>
    <n v="83000"/>
    <s v="C-06-01"/>
    <n v="107"/>
    <n v="183"/>
    <n v="90"/>
    <x v="0"/>
    <n v="7470000"/>
    <n v="89"/>
    <n v="-1"/>
    <s v="PT Cipta Sarana Niaga"/>
  </r>
  <r>
    <s v="SKU0280"/>
    <s v="Printer Ink"/>
    <s v="Office Supplies"/>
    <s v="Bottle"/>
    <n v="206"/>
    <n v="31"/>
    <n v="54"/>
    <n v="155000"/>
    <s v="A-09-01"/>
    <n v="34"/>
    <n v="159"/>
    <n v="81"/>
    <x v="0"/>
    <n v="12555000"/>
    <n v="83"/>
    <n v="2"/>
    <s v="CV Mitra Perkasa"/>
  </r>
  <r>
    <s v="SKU0281"/>
    <s v="Ballpoint Pen"/>
    <s v="Office Supplies"/>
    <s v="Box"/>
    <n v="129"/>
    <n v="48"/>
    <n v="69"/>
    <n v="32000"/>
    <s v="A-09-01"/>
    <n v="114"/>
    <n v="112"/>
    <n v="131"/>
    <x v="0"/>
    <n v="4192000"/>
    <n v="131"/>
    <n v="0"/>
    <s v="CV Berkah Jaya"/>
  </r>
  <r>
    <s v="SKU0282"/>
    <s v="Toner Cartridge"/>
    <s v="Office Supplies"/>
    <s v="Pcs"/>
    <n v="206"/>
    <n v="13"/>
    <n v="51"/>
    <n v="366000"/>
    <s v="A-04-02"/>
    <n v="0"/>
    <n v="26"/>
    <n v="180"/>
    <x v="0"/>
    <n v="65880000"/>
    <n v="181"/>
    <n v="1"/>
    <s v="PT Indo Elektrik"/>
  </r>
  <r>
    <s v="SKU0283"/>
    <s v="Printer Ink"/>
    <s v="Office Supplies"/>
    <s v="Bottle"/>
    <n v="87"/>
    <n v="15"/>
    <n v="25"/>
    <n v="89000"/>
    <s v="E-06-01"/>
    <n v="28"/>
    <n v="37"/>
    <n v="78"/>
    <x v="0"/>
    <n v="6942000"/>
    <n v="77"/>
    <n v="-1"/>
    <s v="CV Berkah Jaya"/>
  </r>
  <r>
    <s v="SKU0284"/>
    <s v="Folder"/>
    <s v="Office Supplies"/>
    <s v="Pcs"/>
    <n v="239"/>
    <n v="23"/>
    <n v="59"/>
    <n v="10000"/>
    <s v="B-03-02"/>
    <n v="111"/>
    <n v="52"/>
    <n v="298"/>
    <x v="0"/>
    <n v="2980000"/>
    <n v="300"/>
    <n v="2"/>
    <s v="PT Cipta Sarana Niaga"/>
  </r>
  <r>
    <s v="SKU0285"/>
    <s v="Staples"/>
    <s v="Office Supplies"/>
    <s v="Box"/>
    <n v="170"/>
    <n v="24"/>
    <n v="48"/>
    <n v="9000"/>
    <s v="A-06-02"/>
    <n v="122"/>
    <n v="127"/>
    <n v="165"/>
    <x v="0"/>
    <n v="1485000"/>
    <n v="165"/>
    <n v="0"/>
    <s v="PT Indo Elektrik"/>
  </r>
  <r>
    <s v="SKU0286"/>
    <s v="Notebook"/>
    <s v="Office Supplies"/>
    <s v="Pcs"/>
    <n v="158"/>
    <n v="14"/>
    <n v="39"/>
    <n v="26000"/>
    <s v="E-07-01"/>
    <n v="27"/>
    <n v="139"/>
    <n v="46"/>
    <x v="0"/>
    <n v="1196000"/>
    <n v="45"/>
    <n v="-1"/>
    <s v="PT Solusi Komputer"/>
  </r>
  <r>
    <s v="SKU0287"/>
    <s v="Folder"/>
    <s v="Office Supplies"/>
    <s v="Pcs"/>
    <n v="246"/>
    <n v="41"/>
    <n v="61"/>
    <n v="15000"/>
    <s v="A-06-01"/>
    <n v="274"/>
    <n v="113"/>
    <n v="407"/>
    <x v="0"/>
    <n v="6105000"/>
    <n v="404"/>
    <n v="-3"/>
    <s v="PT Sumber Teknologi Nusantara"/>
  </r>
  <r>
    <s v="SKU0288"/>
    <s v="Toner Cartridge"/>
    <s v="Office Supplies"/>
    <s v="Pcs"/>
    <n v="176"/>
    <n v="18"/>
    <n v="47"/>
    <n v="451000"/>
    <s v="C-07-02"/>
    <n v="199"/>
    <n v="121"/>
    <n v="254"/>
    <x v="0"/>
    <n v="114554000"/>
    <n v="253"/>
    <n v="-1"/>
    <s v="PT Solusi Komputer"/>
  </r>
  <r>
    <s v="SKU0289"/>
    <s v="A4 Paper"/>
    <s v="Office Supplies"/>
    <s v="Ream"/>
    <n v="237"/>
    <n v="45"/>
    <n v="67"/>
    <n v="71000"/>
    <s v="E-02-01"/>
    <n v="151"/>
    <n v="95"/>
    <n v="293"/>
    <x v="0"/>
    <n v="20803000"/>
    <n v="292"/>
    <n v="-1"/>
    <s v="PT Cipta Sarana Niaga"/>
  </r>
  <r>
    <s v="SKU0290"/>
    <s v="Sticky Notes"/>
    <s v="Office Supplies"/>
    <s v="Pack"/>
    <n v="216"/>
    <n v="48"/>
    <n v="65"/>
    <n v="15000"/>
    <s v="C-10-01"/>
    <n v="77"/>
    <n v="255"/>
    <n v="38"/>
    <x v="3"/>
    <n v="570000"/>
    <n v="37"/>
    <n v="-1"/>
    <s v="PT Cipta Sarana Niaga"/>
  </r>
  <r>
    <s v="SKU0291"/>
    <s v="A4 Paper"/>
    <s v="Office Supplies"/>
    <s v="Ream"/>
    <n v="122"/>
    <n v="31"/>
    <n v="51"/>
    <n v="50000"/>
    <s v="B-04-01"/>
    <n v="149"/>
    <n v="145"/>
    <n v="126"/>
    <x v="0"/>
    <n v="6300000"/>
    <n v="128"/>
    <n v="2"/>
    <s v="CV Karya Mandiri"/>
  </r>
  <r>
    <s v="SKU0292"/>
    <s v="Toner Cartridge"/>
    <s v="Office Supplies"/>
    <s v="Pcs"/>
    <n v="90"/>
    <n v="50"/>
    <n v="65"/>
    <n v="327000"/>
    <s v="C-06-02"/>
    <n v="94"/>
    <n v="191"/>
    <n v="-7"/>
    <x v="2"/>
    <n v="-2289000"/>
    <n v="0"/>
    <n v="0"/>
    <s v="CV Berkah Jaya"/>
  </r>
  <r>
    <s v="SKU0293"/>
    <s v="Folder"/>
    <s v="Office Supplies"/>
    <s v="Pcs"/>
    <n v="153"/>
    <n v="11"/>
    <n v="38"/>
    <n v="10000"/>
    <s v="C-10-02"/>
    <n v="124"/>
    <n v="191"/>
    <n v="86"/>
    <x v="0"/>
    <n v="860000"/>
    <n v="84"/>
    <n v="-2"/>
    <s v="CV Prima Logistik"/>
  </r>
  <r>
    <s v="SKU0294"/>
    <s v="Staples"/>
    <s v="Office Supplies"/>
    <s v="Box"/>
    <n v="73"/>
    <n v="14"/>
    <n v="22"/>
    <n v="19000"/>
    <s v="B-09-02"/>
    <n v="117"/>
    <n v="130"/>
    <n v="60"/>
    <x v="0"/>
    <n v="1140000"/>
    <n v="58"/>
    <n v="-2"/>
    <s v="PT Sumber Teknologi Nusantara"/>
  </r>
  <r>
    <s v="SKU0295"/>
    <s v="Toner Cartridge"/>
    <s v="Office Supplies"/>
    <s v="Pcs"/>
    <n v="73"/>
    <n v="15"/>
    <n v="30"/>
    <n v="608000"/>
    <s v="E-07-01"/>
    <n v="27"/>
    <n v="187"/>
    <n v="-87"/>
    <x v="2"/>
    <n v="-52896000"/>
    <n v="0"/>
    <n v="0"/>
    <s v="PT Solusi Komputer"/>
  </r>
  <r>
    <s v="SKU0296"/>
    <s v="Stapler"/>
    <s v="Office Supplies"/>
    <s v="Pcs"/>
    <n v="137"/>
    <n v="37"/>
    <n v="56"/>
    <n v="35000"/>
    <s v="B-10-02"/>
    <n v="299"/>
    <n v="0"/>
    <n v="436"/>
    <x v="0"/>
    <n v="15260000"/>
    <n v="436"/>
    <n v="0"/>
    <s v="CV Karya Mandiri"/>
  </r>
  <r>
    <s v="SKU0297"/>
    <s v="A4 Paper"/>
    <s v="Office Supplies"/>
    <s v="Ream"/>
    <n v="110"/>
    <n v="37"/>
    <n v="56"/>
    <n v="45000"/>
    <s v="B-04-02"/>
    <n v="31"/>
    <n v="147"/>
    <n v="-6"/>
    <x v="2"/>
    <n v="-270000"/>
    <n v="0"/>
    <n v="0"/>
    <s v="CV Prima Logistik"/>
  </r>
  <r>
    <s v="SKU0298"/>
    <s v="Folder"/>
    <s v="Office Supplies"/>
    <s v="Pcs"/>
    <n v="22"/>
    <n v="23"/>
    <n v="43"/>
    <n v="2000"/>
    <s v="E-02-02"/>
    <n v="133"/>
    <n v="98"/>
    <n v="57"/>
    <x v="0"/>
    <n v="114000"/>
    <n v="58"/>
    <n v="1"/>
    <s v="PT Solusi Komputer"/>
  </r>
  <r>
    <s v="SKU0299"/>
    <s v="Staples"/>
    <s v="Office Supplies"/>
    <s v="Box"/>
    <n v="226"/>
    <n v="11"/>
    <n v="56"/>
    <n v="5000"/>
    <s v="B-07-02"/>
    <n v="127"/>
    <n v="76"/>
    <n v="277"/>
    <x v="0"/>
    <n v="1385000"/>
    <n v="275"/>
    <n v="-2"/>
    <s v="PT Sentosa Distribusi"/>
  </r>
  <r>
    <s v="SKU0300"/>
    <s v="Marker"/>
    <s v="Office Supplies"/>
    <s v="Box"/>
    <n v="21"/>
    <n v="30"/>
    <n v="36"/>
    <n v="43000"/>
    <s v="D-06-02"/>
    <n v="68"/>
    <n v="59"/>
    <n v="30"/>
    <x v="3"/>
    <n v="1290000"/>
    <n v="32"/>
    <n v="2"/>
    <s v="PT Solusi Komputer"/>
  </r>
  <r>
    <s v="SKU0301"/>
    <s v="Label Sticker"/>
    <s v="Packaging Materials"/>
    <s v="Roll"/>
    <n v="83"/>
    <n v="9"/>
    <n v="26"/>
    <n v="45000"/>
    <s v="C-09-02"/>
    <n v="231"/>
    <n v="89"/>
    <n v="225"/>
    <x v="0"/>
    <n v="10125000"/>
    <n v="223"/>
    <n v="-2"/>
    <s v="PT Indo Elektrik"/>
  </r>
  <r>
    <s v="SKU0302"/>
    <s v="Poly Mailer"/>
    <s v="Packaging Materials"/>
    <s v="Pack"/>
    <n v="42"/>
    <n v="11"/>
    <n v="28"/>
    <n v="30000"/>
    <s v="C-02-02"/>
    <n v="49"/>
    <n v="122"/>
    <n v="-31"/>
    <x v="2"/>
    <n v="-930000"/>
    <n v="0"/>
    <n v="0"/>
    <s v="CV Berkah Jaya"/>
  </r>
  <r>
    <s v="SKU0303"/>
    <s v="Label Sticker"/>
    <s v="Packaging Materials"/>
    <s v="Roll"/>
    <n v="46"/>
    <n v="17"/>
    <n v="41"/>
    <n v="58000"/>
    <s v="C-06-02"/>
    <n v="126"/>
    <n v="179"/>
    <n v="-7"/>
    <x v="2"/>
    <n v="-406000"/>
    <n v="0"/>
    <n v="0"/>
    <s v="PT Indo Elektrik"/>
  </r>
  <r>
    <s v="SKU0304"/>
    <s v="Cardboard Box"/>
    <s v="Packaging Materials"/>
    <s v="Pcs"/>
    <n v="19"/>
    <n v="13"/>
    <n v="40"/>
    <n v="2000"/>
    <s v="D-01-01"/>
    <n v="122"/>
    <n v="131"/>
    <n v="10"/>
    <x v="3"/>
    <n v="20000"/>
    <n v="7"/>
    <n v="-3"/>
    <s v="CV Berkah Jaya"/>
  </r>
  <r>
    <s v="SKU0305"/>
    <s v="Foam Sheet"/>
    <s v="Packaging Materials"/>
    <s v="Sheet"/>
    <n v="165"/>
    <n v="37"/>
    <n v="46"/>
    <n v="7000"/>
    <s v="D-10-01"/>
    <n v="130"/>
    <n v="72"/>
    <n v="223"/>
    <x v="0"/>
    <n v="1561000"/>
    <n v="223"/>
    <n v="0"/>
    <s v="CV Berkah Jaya"/>
  </r>
  <r>
    <s v="SKU0306"/>
    <s v="Packing Tape"/>
    <s v="Packaging Materials"/>
    <s v="Roll"/>
    <n v="167"/>
    <n v="24"/>
    <n v="47"/>
    <n v="20000"/>
    <s v="D-03-01"/>
    <n v="39"/>
    <n v="67"/>
    <n v="139"/>
    <x v="0"/>
    <n v="2780000"/>
    <n v="138"/>
    <n v="-1"/>
    <s v="CV Berkah Jaya"/>
  </r>
  <r>
    <s v="SKU0307"/>
    <s v="Pallet"/>
    <s v="Packaging Materials"/>
    <s v="Pcs"/>
    <n v="191"/>
    <n v="41"/>
    <n v="55"/>
    <n v="330000"/>
    <s v="A-02-01"/>
    <n v="50"/>
    <n v="124"/>
    <n v="117"/>
    <x v="0"/>
    <n v="38610000"/>
    <n v="120"/>
    <n v="3"/>
    <s v="CV Karya Mandiri"/>
  </r>
  <r>
    <s v="SKU0308"/>
    <s v="Label Sticker"/>
    <s v="Packaging Materials"/>
    <s v="Roll"/>
    <n v="38"/>
    <n v="31"/>
    <n v="54"/>
    <n v="53000"/>
    <s v="E-07-01"/>
    <n v="28"/>
    <n v="119"/>
    <n v="-53"/>
    <x v="2"/>
    <n v="-2809000"/>
    <n v="0"/>
    <n v="0"/>
    <s v="PT Cipta Sarana Niaga"/>
  </r>
  <r>
    <s v="SKU0309"/>
    <s v="Strapping Band"/>
    <s v="Packaging Materials"/>
    <s v="Roll"/>
    <n v="77"/>
    <n v="46"/>
    <n v="76"/>
    <n v="80000"/>
    <s v="D-07-02"/>
    <n v="152"/>
    <n v="93"/>
    <n v="136"/>
    <x v="0"/>
    <n v="10880000"/>
    <n v="134"/>
    <n v="-2"/>
    <s v="PT Solusi Komputer"/>
  </r>
  <r>
    <s v="SKU0310"/>
    <s v="Cardboard Box"/>
    <s v="Packaging Materials"/>
    <s v="Pcs"/>
    <n v="132"/>
    <n v="15"/>
    <n v="36"/>
    <n v="11000"/>
    <s v="E-10-02"/>
    <n v="23"/>
    <n v="99"/>
    <n v="56"/>
    <x v="0"/>
    <n v="616000"/>
    <n v="56"/>
    <n v="0"/>
    <s v="PT Solusi Komputer"/>
  </r>
  <r>
    <s v="SKU0311"/>
    <s v="Packing Tape"/>
    <s v="Packaging Materials"/>
    <s v="Roll"/>
    <n v="184"/>
    <n v="20"/>
    <n v="46"/>
    <n v="34000"/>
    <s v="E-05-02"/>
    <n v="315"/>
    <n v="136"/>
    <n v="363"/>
    <x v="0"/>
    <n v="12342000"/>
    <n v="363"/>
    <n v="0"/>
    <s v="PT Solusi Komputer"/>
  </r>
  <r>
    <s v="SKU0312"/>
    <s v="Stretch Film"/>
    <s v="Packaging Materials"/>
    <s v="Roll"/>
    <n v="122"/>
    <n v="25"/>
    <n v="43"/>
    <n v="34000"/>
    <s v="C-07-01"/>
    <n v="31"/>
    <n v="98"/>
    <n v="55"/>
    <x v="0"/>
    <n v="1870000"/>
    <n v="58"/>
    <n v="3"/>
    <s v="PT Sentosa Distribusi"/>
  </r>
  <r>
    <s v="SKU0313"/>
    <s v="Ziplock Bag"/>
    <s v="Packaging Materials"/>
    <s v="Pack"/>
    <n v="208"/>
    <n v="44"/>
    <n v="64"/>
    <n v="40000"/>
    <s v="E-06-01"/>
    <n v="99"/>
    <n v="282"/>
    <n v="25"/>
    <x v="3"/>
    <n v="1000000"/>
    <n v="26"/>
    <n v="1"/>
    <s v="PT Sumber Teknologi Nusantara"/>
  </r>
  <r>
    <s v="SKU0314"/>
    <s v="Pallet"/>
    <s v="Packaging Materials"/>
    <s v="Pcs"/>
    <n v="153"/>
    <n v="25"/>
    <n v="51"/>
    <n v="186000"/>
    <s v="D-04-02"/>
    <n v="204"/>
    <n v="157"/>
    <n v="200"/>
    <x v="0"/>
    <n v="37200000"/>
    <n v="203"/>
    <n v="3"/>
    <s v="CV Karya Mandiri"/>
  </r>
  <r>
    <s v="SKU0315"/>
    <s v="Label Sticker"/>
    <s v="Packaging Materials"/>
    <s v="Roll"/>
    <n v="127"/>
    <n v="39"/>
    <n v="54"/>
    <n v="21000"/>
    <s v="C-03-02"/>
    <n v="159"/>
    <n v="139"/>
    <n v="147"/>
    <x v="0"/>
    <n v="3087000"/>
    <n v="147"/>
    <n v="0"/>
    <s v="PT Indo Elektrik"/>
  </r>
  <r>
    <s v="SKU0316"/>
    <s v="Strapping Band"/>
    <s v="Packaging Materials"/>
    <s v="Roll"/>
    <n v="59"/>
    <n v="20"/>
    <n v="33"/>
    <n v="81000"/>
    <s v="B-10-01"/>
    <n v="75"/>
    <n v="70"/>
    <n v="64"/>
    <x v="0"/>
    <n v="5184000"/>
    <n v="61"/>
    <n v="-3"/>
    <s v="PT Indo Elektrik"/>
  </r>
  <r>
    <s v="SKU0317"/>
    <s v="Poly Mailer"/>
    <s v="Packaging Materials"/>
    <s v="Pack"/>
    <n v="190"/>
    <n v="18"/>
    <n v="47"/>
    <n v="51000"/>
    <s v="C-01-01"/>
    <n v="115"/>
    <n v="46"/>
    <n v="259"/>
    <x v="0"/>
    <n v="13209000"/>
    <n v="259"/>
    <n v="0"/>
    <s v="CV Karya Mandiri"/>
  </r>
  <r>
    <s v="SKU0318"/>
    <s v="Label Sticker"/>
    <s v="Packaging Materials"/>
    <s v="Roll"/>
    <n v="249"/>
    <n v="22"/>
    <n v="62"/>
    <n v="45000"/>
    <s v="D-07-02"/>
    <n v="34"/>
    <n v="100"/>
    <n v="183"/>
    <x v="0"/>
    <n v="8235000"/>
    <n v="182"/>
    <n v="-1"/>
    <s v="CV Mitra Perkasa"/>
  </r>
  <r>
    <s v="SKU0319"/>
    <s v="Ziplock Bag"/>
    <s v="Packaging Materials"/>
    <s v="Pack"/>
    <n v="219"/>
    <n v="27"/>
    <n v="56"/>
    <n v="33000"/>
    <s v="B-09-02"/>
    <n v="37"/>
    <n v="115"/>
    <n v="141"/>
    <x v="0"/>
    <n v="4653000"/>
    <n v="139"/>
    <n v="-2"/>
    <s v="PT Sentosa Distribusi"/>
  </r>
  <r>
    <s v="SKU0320"/>
    <s v="Poly Mailer"/>
    <s v="Packaging Materials"/>
    <s v="Pack"/>
    <n v="98"/>
    <n v="33"/>
    <n v="58"/>
    <n v="25000"/>
    <s v="E-08-02"/>
    <n v="101"/>
    <n v="29"/>
    <n v="170"/>
    <x v="0"/>
    <n v="4250000"/>
    <n v="171"/>
    <n v="1"/>
    <s v="PT Cipta Sarana Niaga"/>
  </r>
  <r>
    <s v="SKU0321"/>
    <s v="Stretch Film"/>
    <s v="Packaging Materials"/>
    <s v="Roll"/>
    <n v="221"/>
    <n v="39"/>
    <n v="55"/>
    <n v="81000"/>
    <s v="E-05-02"/>
    <n v="106"/>
    <n v="190"/>
    <n v="137"/>
    <x v="0"/>
    <n v="11097000"/>
    <n v="134"/>
    <n v="-3"/>
    <s v="PT Indo Elektrik"/>
  </r>
  <r>
    <s v="SKU0322"/>
    <s v="Packing Tape"/>
    <s v="Packaging Materials"/>
    <s v="Roll"/>
    <n v="167"/>
    <n v="42"/>
    <n v="54"/>
    <n v="11000"/>
    <s v="A-04-01"/>
    <n v="0"/>
    <n v="134"/>
    <n v="33"/>
    <x v="3"/>
    <n v="363000"/>
    <n v="33"/>
    <n v="0"/>
    <s v="CV Prima Logistik"/>
  </r>
  <r>
    <s v="SKU0323"/>
    <s v="Stretch Film"/>
    <s v="Packaging Materials"/>
    <s v="Roll"/>
    <n v="23"/>
    <n v="11"/>
    <n v="29"/>
    <n v="89000"/>
    <s v="E-06-02"/>
    <n v="123"/>
    <n v="132"/>
    <n v="14"/>
    <x v="1"/>
    <n v="1246000"/>
    <n v="13"/>
    <n v="-1"/>
    <s v="CV Berkah Jaya"/>
  </r>
  <r>
    <s v="SKU0324"/>
    <s v="Bubble Wrap"/>
    <s v="Packaging Materials"/>
    <s v="Roll"/>
    <n v="207"/>
    <n v="13"/>
    <n v="51"/>
    <n v="112000"/>
    <s v="B-01-01"/>
    <n v="183"/>
    <n v="160"/>
    <n v="230"/>
    <x v="0"/>
    <n v="25760000"/>
    <n v="229"/>
    <n v="-1"/>
    <s v="PT Indo Elektrik"/>
  </r>
  <r>
    <s v="SKU0325"/>
    <s v="Foam Sheet"/>
    <s v="Packaging Materials"/>
    <s v="Sheet"/>
    <n v="176"/>
    <n v="17"/>
    <n v="46"/>
    <n v="18000"/>
    <s v="C-01-02"/>
    <n v="105"/>
    <n v="193"/>
    <n v="88"/>
    <x v="0"/>
    <n v="1584000"/>
    <n v="85"/>
    <n v="-3"/>
    <s v="PT Cipta Sarana Niaga"/>
  </r>
  <r>
    <s v="SKU0326"/>
    <s v="Cardboard Box"/>
    <s v="Packaging Materials"/>
    <s v="Pcs"/>
    <n v="32"/>
    <n v="46"/>
    <n v="69"/>
    <n v="14000"/>
    <s v="D-05-01"/>
    <n v="120"/>
    <n v="166"/>
    <n v="-14"/>
    <x v="2"/>
    <n v="-196000"/>
    <n v="0"/>
    <n v="0"/>
    <s v="CV Prima Logistik"/>
  </r>
  <r>
    <s v="SKU0327"/>
    <s v="Packing Tape"/>
    <s v="Packaging Materials"/>
    <s v="Roll"/>
    <n v="235"/>
    <n v="16"/>
    <n v="58"/>
    <n v="21000"/>
    <s v="D-02-02"/>
    <n v="59"/>
    <n v="260"/>
    <n v="34"/>
    <x v="1"/>
    <n v="714000"/>
    <n v="35"/>
    <n v="1"/>
    <s v="PT Global Office Supply"/>
  </r>
  <r>
    <s v="SKU0328"/>
    <s v="Poly Mailer"/>
    <s v="Packaging Materials"/>
    <s v="Pack"/>
    <n v="12"/>
    <n v="24"/>
    <n v="47"/>
    <n v="19000"/>
    <s v="A-07-02"/>
    <n v="66"/>
    <n v="67"/>
    <n v="11"/>
    <x v="3"/>
    <n v="209000"/>
    <n v="14"/>
    <n v="3"/>
    <s v="PT Solusi Komputer"/>
  </r>
  <r>
    <s v="SKU0329"/>
    <s v="Poly Mailer"/>
    <s v="Packaging Materials"/>
    <s v="Pack"/>
    <n v="174"/>
    <n v="39"/>
    <n v="60"/>
    <n v="73000"/>
    <s v="A-09-02"/>
    <n v="68"/>
    <n v="129"/>
    <n v="113"/>
    <x v="0"/>
    <n v="8249000"/>
    <n v="110"/>
    <n v="-3"/>
    <s v="CV Karya Mandiri"/>
  </r>
  <r>
    <s v="SKU0330"/>
    <s v="Foam Sheet"/>
    <s v="Packaging Materials"/>
    <s v="Sheet"/>
    <n v="59"/>
    <n v="12"/>
    <n v="27"/>
    <n v="11000"/>
    <s v="E-07-02"/>
    <n v="190"/>
    <n v="70"/>
    <n v="179"/>
    <x v="0"/>
    <n v="1969000"/>
    <n v="177"/>
    <n v="-2"/>
    <s v="PT Sentosa Distribusi"/>
  </r>
  <r>
    <s v="SKU0331"/>
    <s v="Poly Mailer"/>
    <s v="Packaging Materials"/>
    <s v="Pack"/>
    <n v="13"/>
    <n v="26"/>
    <n v="56"/>
    <n v="38000"/>
    <s v="D-07-01"/>
    <n v="306"/>
    <n v="130"/>
    <n v="189"/>
    <x v="0"/>
    <n v="7182000"/>
    <n v="189"/>
    <n v="0"/>
    <s v="PT Cipta Sarana Niaga"/>
  </r>
  <r>
    <s v="SKU0332"/>
    <s v="Packing Tape"/>
    <s v="Packaging Materials"/>
    <s v="Roll"/>
    <n v="229"/>
    <n v="45"/>
    <n v="62"/>
    <n v="27000"/>
    <s v="D-03-02"/>
    <n v="73"/>
    <n v="94"/>
    <n v="208"/>
    <x v="0"/>
    <n v="5616000"/>
    <n v="207"/>
    <n v="-1"/>
    <s v="PT Global Office Supply"/>
  </r>
  <r>
    <s v="SKU0333"/>
    <s v="Bubble Wrap"/>
    <s v="Packaging Materials"/>
    <s v="Roll"/>
    <n v="181"/>
    <n v="11"/>
    <n v="45"/>
    <n v="76000"/>
    <s v="D-01-02"/>
    <n v="114"/>
    <n v="142"/>
    <n v="153"/>
    <x v="0"/>
    <n v="11628000"/>
    <n v="154"/>
    <n v="1"/>
    <s v="PT Sentosa Distribusi"/>
  </r>
  <r>
    <s v="SKU0334"/>
    <s v="Stretch Film"/>
    <s v="Packaging Materials"/>
    <s v="Roll"/>
    <n v="76"/>
    <n v="29"/>
    <n v="41"/>
    <n v="31000"/>
    <s v="E-09-01"/>
    <n v="154"/>
    <n v="115"/>
    <n v="115"/>
    <x v="0"/>
    <n v="3565000"/>
    <n v="115"/>
    <n v="0"/>
    <s v="CV Karya Mandiri"/>
  </r>
  <r>
    <s v="SKU0335"/>
    <s v="Label Sticker"/>
    <s v="Packaging Materials"/>
    <s v="Roll"/>
    <n v="159"/>
    <n v="41"/>
    <n v="46"/>
    <n v="29000"/>
    <s v="E-02-02"/>
    <n v="27"/>
    <n v="135"/>
    <n v="51"/>
    <x v="0"/>
    <n v="1479000"/>
    <n v="53"/>
    <n v="2"/>
    <s v="PT Cipta Sarana Niaga"/>
  </r>
  <r>
    <s v="SKU0336"/>
    <s v="Stretch Film"/>
    <s v="Packaging Materials"/>
    <s v="Roll"/>
    <n v="180"/>
    <n v="12"/>
    <n v="45"/>
    <n v="45000"/>
    <s v="B-01-01"/>
    <n v="244"/>
    <n v="49"/>
    <n v="375"/>
    <x v="0"/>
    <n v="16875000"/>
    <n v="373"/>
    <n v="-2"/>
    <s v="PT Cipta Sarana Niaga"/>
  </r>
  <r>
    <s v="SKU0337"/>
    <s v="Pallet"/>
    <s v="Packaging Materials"/>
    <s v="Pcs"/>
    <n v="186"/>
    <n v="12"/>
    <n v="46"/>
    <n v="239000"/>
    <s v="C-04-02"/>
    <n v="37"/>
    <n v="126"/>
    <n v="97"/>
    <x v="0"/>
    <n v="23183000"/>
    <n v="94"/>
    <n v="-3"/>
    <s v="PT Cipta Sarana Niaga"/>
  </r>
  <r>
    <s v="SKU0338"/>
    <s v="Stretch Film"/>
    <s v="Packaging Materials"/>
    <s v="Roll"/>
    <n v="44"/>
    <n v="35"/>
    <n v="44"/>
    <n v="86000"/>
    <s v="E-08-02"/>
    <n v="71"/>
    <n v="69"/>
    <n v="46"/>
    <x v="0"/>
    <n v="3956000"/>
    <n v="47"/>
    <n v="1"/>
    <s v="CV Karya Mandiri"/>
  </r>
  <r>
    <s v="SKU0339"/>
    <s v="Label Sticker"/>
    <s v="Packaging Materials"/>
    <s v="Roll"/>
    <n v="189"/>
    <n v="40"/>
    <n v="60"/>
    <n v="36000"/>
    <s v="E-03-02"/>
    <n v="66"/>
    <n v="93"/>
    <n v="162"/>
    <x v="0"/>
    <n v="5832000"/>
    <n v="165"/>
    <n v="3"/>
    <s v="PT Indo Elektrik"/>
  </r>
  <r>
    <s v="SKU0340"/>
    <s v="Stretch Film"/>
    <s v="Packaging Materials"/>
    <s v="Roll"/>
    <n v="144"/>
    <n v="33"/>
    <n v="54"/>
    <n v="50000"/>
    <s v="A-05-02"/>
    <n v="144"/>
    <n v="203"/>
    <n v="85"/>
    <x v="0"/>
    <n v="4250000"/>
    <n v="82"/>
    <n v="-3"/>
    <s v="CV Berkah Jaya"/>
  </r>
  <r>
    <s v="SKU0341"/>
    <s v="Bubble Wrap"/>
    <s v="Packaging Materials"/>
    <s v="Roll"/>
    <n v="222"/>
    <n v="40"/>
    <n v="61"/>
    <n v="32000"/>
    <s v="D-07-02"/>
    <n v="144"/>
    <n v="99"/>
    <n v="267"/>
    <x v="0"/>
    <n v="8544000"/>
    <n v="265"/>
    <n v="-2"/>
    <s v="CV Prima Logistik"/>
  </r>
  <r>
    <s v="SKU0342"/>
    <s v="Packing Tape"/>
    <s v="Packaging Materials"/>
    <s v="Roll"/>
    <n v="93"/>
    <n v="38"/>
    <n v="57"/>
    <n v="13000"/>
    <s v="E-04-02"/>
    <n v="13"/>
    <n v="168"/>
    <n v="-62"/>
    <x v="2"/>
    <n v="-806000"/>
    <n v="0"/>
    <n v="0"/>
    <s v="CV Mitra Perkasa"/>
  </r>
  <r>
    <s v="SKU0343"/>
    <s v="Strapping Band"/>
    <s v="Packaging Materials"/>
    <s v="Roll"/>
    <n v="33"/>
    <n v="37"/>
    <n v="56"/>
    <n v="82000"/>
    <s v="C-10-01"/>
    <n v="0"/>
    <n v="91"/>
    <n v="-58"/>
    <x v="2"/>
    <n v="-4756000"/>
    <n v="0"/>
    <n v="0"/>
    <s v="PT Sumber Teknologi Nusantara"/>
  </r>
  <r>
    <s v="SKU0344"/>
    <s v="Pallet"/>
    <s v="Packaging Materials"/>
    <s v="Pcs"/>
    <n v="126"/>
    <n v="41"/>
    <n v="47"/>
    <n v="292000"/>
    <s v="C-10-02"/>
    <n v="98"/>
    <n v="124"/>
    <n v="100"/>
    <x v="0"/>
    <n v="29200000"/>
    <n v="97"/>
    <n v="-3"/>
    <s v="PT Indo Elektrik"/>
  </r>
  <r>
    <s v="SKU0345"/>
    <s v="Cardboard Box"/>
    <s v="Packaging Materials"/>
    <s v="Pcs"/>
    <n v="75"/>
    <n v="5"/>
    <n v="33"/>
    <n v="8000"/>
    <s v="D-08-01"/>
    <n v="86"/>
    <n v="66"/>
    <n v="95"/>
    <x v="0"/>
    <n v="760000"/>
    <n v="95"/>
    <n v="0"/>
    <s v="CV Prima Logistik"/>
  </r>
  <r>
    <s v="SKU0346"/>
    <s v="Cardboard Box"/>
    <s v="Packaging Materials"/>
    <s v="Pcs"/>
    <n v="98"/>
    <n v="49"/>
    <n v="56"/>
    <n v="8000"/>
    <s v="A-04-02"/>
    <n v="92"/>
    <n v="45"/>
    <n v="145"/>
    <x v="0"/>
    <n v="1160000"/>
    <n v="143"/>
    <n v="-2"/>
    <s v="PT Indo Elektrik"/>
  </r>
  <r>
    <s v="SKU0347"/>
    <s v="Foam Sheet"/>
    <s v="Packaging Materials"/>
    <s v="Sheet"/>
    <n v="83"/>
    <n v="31"/>
    <n v="41"/>
    <n v="4000"/>
    <s v="E-10-01"/>
    <n v="114"/>
    <n v="144"/>
    <n v="53"/>
    <x v="0"/>
    <n v="212000"/>
    <n v="54"/>
    <n v="1"/>
    <s v="PT Sentosa Distribusi"/>
  </r>
  <r>
    <s v="SKU0348"/>
    <s v="Label Sticker"/>
    <s v="Packaging Materials"/>
    <s v="Roll"/>
    <n v="124"/>
    <n v="29"/>
    <n v="46"/>
    <n v="34000"/>
    <s v="E-04-02"/>
    <n v="87"/>
    <n v="147"/>
    <n v="64"/>
    <x v="0"/>
    <n v="2176000"/>
    <n v="64"/>
    <n v="0"/>
    <s v="CV Mitra Perkasa"/>
  </r>
  <r>
    <s v="SKU0349"/>
    <s v="Packing Tape"/>
    <s v="Packaging Materials"/>
    <s v="Roll"/>
    <n v="230"/>
    <n v="27"/>
    <n v="57"/>
    <n v="28000"/>
    <s v="D-05-01"/>
    <n v="148"/>
    <n v="106"/>
    <n v="272"/>
    <x v="0"/>
    <n v="7616000"/>
    <n v="274"/>
    <n v="2"/>
    <s v="PT Sentosa Distribusi"/>
  </r>
  <r>
    <s v="SKU0350"/>
    <s v="Pallet"/>
    <s v="Packaging Materials"/>
    <s v="Pcs"/>
    <n v="196"/>
    <n v="19"/>
    <n v="49"/>
    <n v="145000"/>
    <s v="B-10-01"/>
    <n v="150"/>
    <n v="54"/>
    <n v="292"/>
    <x v="0"/>
    <n v="42340000"/>
    <n v="289"/>
    <n v="-3"/>
    <s v="PT Sumber Teknologi Nusantara"/>
  </r>
  <r>
    <s v="SKU0351"/>
    <s v="Pallet"/>
    <s v="Packaging Materials"/>
    <s v="Pcs"/>
    <n v="146"/>
    <n v="29"/>
    <n v="41"/>
    <n v="297000"/>
    <s v="C-10-01"/>
    <n v="93"/>
    <n v="251"/>
    <n v="-12"/>
    <x v="2"/>
    <n v="-3564000"/>
    <n v="0"/>
    <n v="0"/>
    <s v="CV Prima Logistik"/>
  </r>
  <r>
    <s v="SKU0352"/>
    <s v="Packing Tape"/>
    <s v="Packaging Materials"/>
    <s v="Roll"/>
    <n v="58"/>
    <n v="12"/>
    <n v="18"/>
    <n v="16000"/>
    <s v="D-10-01"/>
    <n v="161"/>
    <n v="77"/>
    <n v="142"/>
    <x v="0"/>
    <n v="2272000"/>
    <n v="139"/>
    <n v="-3"/>
    <s v="PT Global Office Supply"/>
  </r>
  <r>
    <s v="SKU0353"/>
    <s v="Stretch Film"/>
    <s v="Packaging Materials"/>
    <s v="Roll"/>
    <n v="27"/>
    <n v="11"/>
    <n v="35"/>
    <n v="82000"/>
    <s v="C-09-02"/>
    <n v="289"/>
    <n v="295"/>
    <n v="21"/>
    <x v="1"/>
    <n v="1722000"/>
    <n v="18"/>
    <n v="-3"/>
    <s v="PT Sumber Teknologi Nusantara"/>
  </r>
  <r>
    <s v="SKU0354"/>
    <s v="Cardboard Box"/>
    <s v="Packaging Materials"/>
    <s v="Pcs"/>
    <n v="199"/>
    <n v="7"/>
    <n v="49"/>
    <n v="5000"/>
    <s v="B-05-02"/>
    <n v="186"/>
    <n v="150"/>
    <n v="235"/>
    <x v="0"/>
    <n v="1175000"/>
    <n v="235"/>
    <n v="0"/>
    <s v="CV Karya Mandiri"/>
  </r>
  <r>
    <s v="SKU0355"/>
    <s v="Stretch Film"/>
    <s v="Packaging Materials"/>
    <s v="Roll"/>
    <n v="45"/>
    <n v="37"/>
    <n v="51"/>
    <n v="44000"/>
    <s v="E-07-02"/>
    <n v="80"/>
    <n v="53"/>
    <n v="72"/>
    <x v="0"/>
    <n v="3168000"/>
    <n v="72"/>
    <n v="0"/>
    <s v="CV Prima Logistik"/>
  </r>
  <r>
    <s v="SKU0356"/>
    <s v="Label Sticker"/>
    <s v="Packaging Materials"/>
    <s v="Roll"/>
    <n v="163"/>
    <n v="48"/>
    <n v="63"/>
    <n v="46000"/>
    <s v="B-10-01"/>
    <n v="214"/>
    <n v="45"/>
    <n v="332"/>
    <x v="0"/>
    <n v="15272000"/>
    <n v="332"/>
    <n v="0"/>
    <s v="CV Prima Logistik"/>
  </r>
  <r>
    <s v="SKU0357"/>
    <s v="Pallet"/>
    <s v="Packaging Materials"/>
    <s v="Pcs"/>
    <n v="115"/>
    <n v="24"/>
    <n v="37"/>
    <n v="193000"/>
    <s v="D-06-02"/>
    <n v="252"/>
    <n v="107"/>
    <n v="260"/>
    <x v="0"/>
    <n v="50180000"/>
    <n v="259"/>
    <n v="-1"/>
    <s v="PT Sumber Teknologi Nusantara"/>
  </r>
  <r>
    <s v="SKU0358"/>
    <s v="Packing Tape"/>
    <s v="Packaging Materials"/>
    <s v="Roll"/>
    <n v="183"/>
    <n v="32"/>
    <n v="54"/>
    <n v="28000"/>
    <s v="A-04-01"/>
    <n v="295"/>
    <n v="99"/>
    <n v="379"/>
    <x v="0"/>
    <n v="10612000"/>
    <n v="380"/>
    <n v="1"/>
    <s v="CV Karya Mandiri"/>
  </r>
  <r>
    <s v="SKU0359"/>
    <s v="Ziplock Bag"/>
    <s v="Packaging Materials"/>
    <s v="Pack"/>
    <n v="188"/>
    <n v="31"/>
    <n v="49"/>
    <n v="28000"/>
    <s v="B-10-01"/>
    <n v="370"/>
    <n v="190"/>
    <n v="368"/>
    <x v="0"/>
    <n v="10304000"/>
    <n v="370"/>
    <n v="2"/>
    <s v="PT Sentosa Distribusi"/>
  </r>
  <r>
    <s v="SKU0360"/>
    <s v="Packing Tape"/>
    <s v="Packaging Materials"/>
    <s v="Roll"/>
    <n v="147"/>
    <n v="35"/>
    <n v="47"/>
    <n v="32000"/>
    <s v="B-10-01"/>
    <n v="213"/>
    <n v="48"/>
    <n v="312"/>
    <x v="0"/>
    <n v="9984000"/>
    <n v="311"/>
    <n v="-1"/>
    <s v="CV Prima Logistik"/>
  </r>
  <r>
    <s v="SKU0361"/>
    <s v="Foam Sheet"/>
    <s v="Packaging Materials"/>
    <s v="Sheet"/>
    <n v="153"/>
    <n v="31"/>
    <n v="49"/>
    <n v="4000"/>
    <s v="D-04-02"/>
    <n v="152"/>
    <n v="98"/>
    <n v="207"/>
    <x v="0"/>
    <n v="828000"/>
    <n v="207"/>
    <n v="0"/>
    <s v="PT Indo Elektrik"/>
  </r>
  <r>
    <s v="SKU0362"/>
    <s v="Ziplock Bag"/>
    <s v="Packaging Materials"/>
    <s v="Pack"/>
    <n v="75"/>
    <n v="18"/>
    <n v="33"/>
    <n v="23000"/>
    <s v="C-09-02"/>
    <n v="81"/>
    <n v="75"/>
    <n v="81"/>
    <x v="0"/>
    <n v="1863000"/>
    <n v="81"/>
    <n v="0"/>
    <s v="CV Mitra Perkasa"/>
  </r>
  <r>
    <s v="SKU0363"/>
    <s v="Bubble Wrap"/>
    <s v="Packaging Materials"/>
    <s v="Roll"/>
    <n v="195"/>
    <n v="17"/>
    <n v="48"/>
    <n v="93000"/>
    <s v="C-05-01"/>
    <n v="46"/>
    <n v="52"/>
    <n v="189"/>
    <x v="0"/>
    <n v="17577000"/>
    <n v="190"/>
    <n v="1"/>
    <s v="PT Cipta Sarana Niaga"/>
  </r>
  <r>
    <s v="SKU0364"/>
    <s v="Strapping Band"/>
    <s v="Packaging Materials"/>
    <s v="Roll"/>
    <n v="233"/>
    <n v="9"/>
    <n v="58"/>
    <n v="25000"/>
    <s v="E-07-01"/>
    <n v="242"/>
    <n v="68"/>
    <n v="407"/>
    <x v="0"/>
    <n v="10175000"/>
    <n v="407"/>
    <n v="0"/>
    <s v="PT Solusi Komputer"/>
  </r>
  <r>
    <s v="SKU0365"/>
    <s v="Stretch Film"/>
    <s v="Packaging Materials"/>
    <s v="Roll"/>
    <n v="63"/>
    <n v="26"/>
    <n v="40"/>
    <n v="152000"/>
    <s v="B-04-02"/>
    <n v="152"/>
    <n v="167"/>
    <n v="48"/>
    <x v="0"/>
    <n v="7296000"/>
    <n v="46"/>
    <n v="-2"/>
    <s v="PT Sumber Teknologi Nusantara"/>
  </r>
  <r>
    <s v="SKU0366"/>
    <s v="Bubble Wrap"/>
    <s v="Packaging Materials"/>
    <s v="Roll"/>
    <n v="203"/>
    <n v="35"/>
    <n v="50"/>
    <n v="120000"/>
    <s v="E-06-01"/>
    <n v="138"/>
    <n v="203"/>
    <n v="138"/>
    <x v="0"/>
    <n v="16560000"/>
    <n v="140"/>
    <n v="2"/>
    <s v="PT Solusi Komputer"/>
  </r>
  <r>
    <s v="SKU0367"/>
    <s v="Ziplock Bag"/>
    <s v="Packaging Materials"/>
    <s v="Pack"/>
    <n v="151"/>
    <n v="25"/>
    <n v="54"/>
    <n v="23000"/>
    <s v="C-05-01"/>
    <n v="87"/>
    <n v="70"/>
    <n v="168"/>
    <x v="0"/>
    <n v="3864000"/>
    <n v="167"/>
    <n v="-1"/>
    <s v="PT Cipta Sarana Niaga"/>
  </r>
  <r>
    <s v="SKU0368"/>
    <s v="Pallet"/>
    <s v="Packaging Materials"/>
    <s v="Pcs"/>
    <n v="88"/>
    <n v="21"/>
    <n v="37"/>
    <n v="263000"/>
    <s v="D-02-02"/>
    <n v="116"/>
    <n v="156"/>
    <n v="48"/>
    <x v="0"/>
    <n v="12624000"/>
    <n v="48"/>
    <n v="0"/>
    <s v="PT Indo Elektrik"/>
  </r>
  <r>
    <s v="SKU0369"/>
    <s v="Bubble Wrap"/>
    <s v="Packaging Materials"/>
    <s v="Roll"/>
    <n v="130"/>
    <n v="25"/>
    <n v="36"/>
    <n v="117000"/>
    <s v="C-01-01"/>
    <n v="63"/>
    <n v="114"/>
    <n v="79"/>
    <x v="0"/>
    <n v="9243000"/>
    <n v="81"/>
    <n v="2"/>
    <s v="CV Berkah Jaya"/>
  </r>
  <r>
    <s v="SKU0370"/>
    <s v="Cardboard Box"/>
    <s v="Packaging Materials"/>
    <s v="Pcs"/>
    <n v="231"/>
    <n v="19"/>
    <n v="57"/>
    <n v="11000"/>
    <s v="A-02-01"/>
    <n v="150"/>
    <n v="28"/>
    <n v="353"/>
    <x v="0"/>
    <n v="3883000"/>
    <n v="354"/>
    <n v="1"/>
    <s v="PT Sentosa Distribusi"/>
  </r>
  <r>
    <s v="SKU0371"/>
    <s v="Pallet"/>
    <s v="Packaging Materials"/>
    <s v="Pcs"/>
    <n v="85"/>
    <n v="14"/>
    <n v="25"/>
    <n v="293000"/>
    <s v="B-05-02"/>
    <n v="102"/>
    <n v="303"/>
    <n v="-116"/>
    <x v="2"/>
    <n v="-33988000"/>
    <n v="0"/>
    <n v="0"/>
    <s v="CV Berkah Jaya"/>
  </r>
  <r>
    <s v="SKU0372"/>
    <s v="Strapping Band"/>
    <s v="Packaging Materials"/>
    <s v="Roll"/>
    <n v="137"/>
    <n v="40"/>
    <n v="65"/>
    <n v="51000"/>
    <s v="B-07-01"/>
    <n v="119"/>
    <n v="54"/>
    <n v="202"/>
    <x v="0"/>
    <n v="10302000"/>
    <n v="205"/>
    <n v="3"/>
    <s v="CV Berkah Jaya"/>
  </r>
  <r>
    <s v="SKU0373"/>
    <s v="Foam Sheet"/>
    <s v="Packaging Materials"/>
    <s v="Sheet"/>
    <n v="53"/>
    <n v="27"/>
    <n v="37"/>
    <n v="17000"/>
    <s v="E-07-01"/>
    <n v="74"/>
    <n v="51"/>
    <n v="76"/>
    <x v="0"/>
    <n v="1292000"/>
    <n v="73"/>
    <n v="-3"/>
    <s v="PT Sentosa Distribusi"/>
  </r>
  <r>
    <s v="SKU0374"/>
    <s v="Foam Sheet"/>
    <s v="Packaging Materials"/>
    <s v="Sheet"/>
    <n v="244"/>
    <n v="39"/>
    <n v="64"/>
    <n v="8000"/>
    <s v="D-04-02"/>
    <n v="87"/>
    <n v="116"/>
    <n v="215"/>
    <x v="0"/>
    <n v="1720000"/>
    <n v="218"/>
    <n v="3"/>
    <s v="PT Sumber Teknologi Nusantara"/>
  </r>
  <r>
    <s v="SKU0375"/>
    <s v="Bubble Wrap"/>
    <s v="Packaging Materials"/>
    <s v="Roll"/>
    <n v="22"/>
    <n v="5"/>
    <n v="23"/>
    <n v="110000"/>
    <s v="E-01-01"/>
    <n v="112"/>
    <n v="206"/>
    <n v="-72"/>
    <x v="2"/>
    <n v="-7920000"/>
    <n v="0"/>
    <n v="0"/>
    <s v="PT Sentosa Distribusi"/>
  </r>
  <r>
    <s v="SKU0376"/>
    <s v="Bubble Wrap"/>
    <s v="Packaging Materials"/>
    <s v="Roll"/>
    <n v="48"/>
    <n v="5"/>
    <n v="16"/>
    <n v="115000"/>
    <s v="C-10-01"/>
    <n v="214"/>
    <n v="103"/>
    <n v="159"/>
    <x v="0"/>
    <n v="18285000"/>
    <n v="156"/>
    <n v="-3"/>
    <s v="PT Indo Elektrik"/>
  </r>
  <r>
    <s v="SKU0377"/>
    <s v="Cardboard Box"/>
    <s v="Packaging Materials"/>
    <s v="Pcs"/>
    <n v="173"/>
    <n v="47"/>
    <n v="71"/>
    <n v="11000"/>
    <s v="E-03-01"/>
    <n v="289"/>
    <n v="37"/>
    <n v="425"/>
    <x v="0"/>
    <n v="4675000"/>
    <n v="426"/>
    <n v="1"/>
    <s v="CV Karya Mandiri"/>
  </r>
  <r>
    <s v="SKU0378"/>
    <s v="Cardboard Box"/>
    <s v="Packaging Materials"/>
    <s v="Pcs"/>
    <n v="146"/>
    <n v="40"/>
    <n v="58"/>
    <n v="2000"/>
    <s v="A-02-01"/>
    <n v="227"/>
    <n v="104"/>
    <n v="269"/>
    <x v="0"/>
    <n v="538000"/>
    <n v="269"/>
    <n v="0"/>
    <s v="PT Sumber Teknologi Nusantara"/>
  </r>
  <r>
    <s v="SKU0379"/>
    <s v="Poly Mailer"/>
    <s v="Packaging Materials"/>
    <s v="Pack"/>
    <n v="14"/>
    <n v="37"/>
    <n v="64"/>
    <n v="51000"/>
    <s v="B-02-01"/>
    <n v="164"/>
    <n v="87"/>
    <n v="91"/>
    <x v="0"/>
    <n v="4641000"/>
    <n v="91"/>
    <n v="0"/>
    <s v="PT Global Office Supply"/>
  </r>
  <r>
    <s v="SKU0380"/>
    <s v="Bubble Wrap"/>
    <s v="Packaging Materials"/>
    <s v="Roll"/>
    <n v="48"/>
    <n v="20"/>
    <n v="31"/>
    <n v="92000"/>
    <s v="D-04-02"/>
    <n v="237"/>
    <n v="167"/>
    <n v="118"/>
    <x v="0"/>
    <n v="10856000"/>
    <n v="115"/>
    <n v="-3"/>
    <s v="PT Solusi Komputer"/>
  </r>
  <r>
    <s v="SKU0381"/>
    <s v="Label Sticker"/>
    <s v="Packaging Materials"/>
    <s v="Roll"/>
    <n v="213"/>
    <n v="30"/>
    <n v="53"/>
    <n v="27000"/>
    <s v="C-06-02"/>
    <n v="230"/>
    <n v="63"/>
    <n v="380"/>
    <x v="0"/>
    <n v="10260000"/>
    <n v="379"/>
    <n v="-1"/>
    <s v="CV Berkah Jaya"/>
  </r>
  <r>
    <s v="SKU0382"/>
    <s v="Strapping Band"/>
    <s v="Packaging Materials"/>
    <s v="Roll"/>
    <n v="188"/>
    <n v="19"/>
    <n v="47"/>
    <n v="51000"/>
    <s v="E-02-02"/>
    <n v="166"/>
    <n v="47"/>
    <n v="307"/>
    <x v="0"/>
    <n v="15657000"/>
    <n v="307"/>
    <n v="0"/>
    <s v="CV Mitra Perkasa"/>
  </r>
  <r>
    <s v="SKU0383"/>
    <s v="Bubble Wrap"/>
    <s v="Packaging Materials"/>
    <s v="Roll"/>
    <n v="107"/>
    <n v="29"/>
    <n v="51"/>
    <n v="76000"/>
    <s v="A-04-02"/>
    <n v="145"/>
    <n v="52"/>
    <n v="200"/>
    <x v="0"/>
    <n v="15200000"/>
    <n v="203"/>
    <n v="3"/>
    <s v="CV Karya Mandiri"/>
  </r>
  <r>
    <s v="SKU0384"/>
    <s v="Packing Tape"/>
    <s v="Packaging Materials"/>
    <s v="Roll"/>
    <n v="137"/>
    <n v="32"/>
    <n v="57"/>
    <n v="10000"/>
    <s v="D-07-01"/>
    <n v="86"/>
    <n v="128"/>
    <n v="95"/>
    <x v="0"/>
    <n v="950000"/>
    <n v="95"/>
    <n v="0"/>
    <s v="CV Berkah Jaya"/>
  </r>
  <r>
    <s v="SKU0385"/>
    <s v="Pallet"/>
    <s v="Packaging Materials"/>
    <s v="Pcs"/>
    <n v="68"/>
    <n v="18"/>
    <n v="45"/>
    <n v="101000"/>
    <s v="D-01-01"/>
    <n v="90"/>
    <n v="228"/>
    <n v="-70"/>
    <x v="2"/>
    <n v="-7070000"/>
    <n v="0"/>
    <n v="0"/>
    <s v="PT Solusi Komputer"/>
  </r>
  <r>
    <s v="SKU0386"/>
    <s v="Cardboard Box"/>
    <s v="Packaging Materials"/>
    <s v="Pcs"/>
    <n v="185"/>
    <n v="22"/>
    <n v="46"/>
    <n v="3000"/>
    <s v="E-03-01"/>
    <n v="65"/>
    <n v="138"/>
    <n v="112"/>
    <x v="0"/>
    <n v="336000"/>
    <n v="112"/>
    <n v="0"/>
    <s v="PT Solusi Komputer"/>
  </r>
  <r>
    <s v="SKU0387"/>
    <s v="Packing Tape"/>
    <s v="Packaging Materials"/>
    <s v="Roll"/>
    <n v="90"/>
    <n v="6"/>
    <n v="22"/>
    <n v="35000"/>
    <s v="A-10-01"/>
    <n v="141"/>
    <n v="70"/>
    <n v="161"/>
    <x v="0"/>
    <n v="5635000"/>
    <n v="161"/>
    <n v="0"/>
    <s v="PT Solusi Komputer"/>
  </r>
  <r>
    <s v="SKU0388"/>
    <s v="Bubble Wrap"/>
    <s v="Packaging Materials"/>
    <s v="Roll"/>
    <n v="51"/>
    <n v="41"/>
    <n v="53"/>
    <n v="63000"/>
    <s v="C-05-02"/>
    <n v="169"/>
    <n v="154"/>
    <n v="66"/>
    <x v="0"/>
    <n v="4158000"/>
    <n v="65"/>
    <n v="-1"/>
    <s v="PT Solusi Komputer"/>
  </r>
  <r>
    <s v="SKU0389"/>
    <s v="Label Sticker"/>
    <s v="Packaging Materials"/>
    <s v="Roll"/>
    <n v="203"/>
    <n v="13"/>
    <n v="50"/>
    <n v="34000"/>
    <s v="D-03-01"/>
    <n v="0"/>
    <n v="25"/>
    <n v="178"/>
    <x v="0"/>
    <n v="6052000"/>
    <n v="180"/>
    <n v="2"/>
    <s v="CV Mitra Perkasa"/>
  </r>
  <r>
    <s v="SKU0390"/>
    <s v="Cardboard Box"/>
    <s v="Packaging Materials"/>
    <s v="Pcs"/>
    <n v="121"/>
    <n v="19"/>
    <n v="30"/>
    <n v="3000"/>
    <s v="D-09-02"/>
    <n v="150"/>
    <n v="85"/>
    <n v="186"/>
    <x v="0"/>
    <n v="558000"/>
    <n v="185"/>
    <n v="-1"/>
    <s v="CV Berkah Jaya"/>
  </r>
  <r>
    <s v="SKU0391"/>
    <s v="Strapping Band"/>
    <s v="Packaging Materials"/>
    <s v="Roll"/>
    <n v="208"/>
    <n v="25"/>
    <n v="52"/>
    <n v="70000"/>
    <s v="C-09-02"/>
    <n v="57"/>
    <n v="174"/>
    <n v="91"/>
    <x v="0"/>
    <n v="6370000"/>
    <n v="93"/>
    <n v="2"/>
    <s v="PT Cipta Sarana Niaga"/>
  </r>
  <r>
    <s v="SKU0392"/>
    <s v="Stretch Film"/>
    <s v="Packaging Materials"/>
    <s v="Roll"/>
    <n v="151"/>
    <n v="29"/>
    <n v="47"/>
    <n v="121000"/>
    <s v="E-04-02"/>
    <n v="209"/>
    <n v="166"/>
    <n v="194"/>
    <x v="0"/>
    <n v="23474000"/>
    <n v="193"/>
    <n v="-1"/>
    <s v="PT Sentosa Distribusi"/>
  </r>
  <r>
    <s v="SKU0393"/>
    <s v="Ziplock Bag"/>
    <s v="Packaging Materials"/>
    <s v="Pack"/>
    <n v="207"/>
    <n v="44"/>
    <n v="58"/>
    <n v="13000"/>
    <s v="E-06-02"/>
    <n v="122"/>
    <n v="109"/>
    <n v="220"/>
    <x v="0"/>
    <n v="2860000"/>
    <n v="223"/>
    <n v="3"/>
    <s v="CV Prima Logistik"/>
  </r>
  <r>
    <s v="SKU0394"/>
    <s v="Bubble Wrap"/>
    <s v="Packaging Materials"/>
    <s v="Roll"/>
    <n v="49"/>
    <n v="29"/>
    <n v="56"/>
    <n v="59000"/>
    <s v="E-08-01"/>
    <n v="92"/>
    <n v="49"/>
    <n v="92"/>
    <x v="0"/>
    <n v="5428000"/>
    <n v="90"/>
    <n v="-2"/>
    <s v="PT Sentosa Distribusi"/>
  </r>
  <r>
    <s v="SKU0395"/>
    <s v="Label Sticker"/>
    <s v="Packaging Materials"/>
    <s v="Roll"/>
    <n v="37"/>
    <n v="10"/>
    <n v="15"/>
    <n v="33000"/>
    <s v="C-09-01"/>
    <n v="268"/>
    <n v="176"/>
    <n v="129"/>
    <x v="0"/>
    <n v="4257000"/>
    <n v="128"/>
    <n v="-1"/>
    <s v="PT Cipta Sarana Niaga"/>
  </r>
  <r>
    <s v="SKU0396"/>
    <s v="Poly Mailer"/>
    <s v="Packaging Materials"/>
    <s v="Pack"/>
    <n v="43"/>
    <n v="10"/>
    <n v="20"/>
    <n v="28000"/>
    <s v="C-09-02"/>
    <n v="68"/>
    <n v="121"/>
    <n v="-10"/>
    <x v="2"/>
    <n v="-280000"/>
    <n v="0"/>
    <n v="0"/>
    <s v="PT Global Office Supply"/>
  </r>
  <r>
    <s v="SKU0397"/>
    <s v="Pallet"/>
    <s v="Packaging Materials"/>
    <s v="Pcs"/>
    <n v="114"/>
    <n v="11"/>
    <n v="28"/>
    <n v="342000"/>
    <s v="C-03-02"/>
    <n v="228"/>
    <n v="173"/>
    <n v="169"/>
    <x v="0"/>
    <n v="57798000"/>
    <n v="170"/>
    <n v="1"/>
    <s v="CV Mitra Perkasa"/>
  </r>
  <r>
    <s v="SKU0398"/>
    <s v="Bubble Wrap"/>
    <s v="Packaging Materials"/>
    <s v="Roll"/>
    <n v="163"/>
    <n v="25"/>
    <n v="42"/>
    <n v="101000"/>
    <s v="B-09-02"/>
    <n v="93"/>
    <n v="170"/>
    <n v="86"/>
    <x v="0"/>
    <n v="8686000"/>
    <n v="86"/>
    <n v="0"/>
    <s v="PT Sumber Teknologi Nusantara"/>
  </r>
  <r>
    <s v="SKU0399"/>
    <s v="Ziplock Bag"/>
    <s v="Packaging Materials"/>
    <s v="Pack"/>
    <n v="195"/>
    <n v="40"/>
    <n v="52"/>
    <n v="13000"/>
    <s v="D-04-01"/>
    <n v="170"/>
    <n v="252"/>
    <n v="113"/>
    <x v="0"/>
    <n v="1469000"/>
    <n v="113"/>
    <n v="0"/>
    <s v="PT Solusi Komputer"/>
  </r>
  <r>
    <s v="SKU0400"/>
    <s v="Ziplock Bag"/>
    <s v="Packaging Materials"/>
    <s v="Pack"/>
    <n v="45"/>
    <n v="22"/>
    <n v="36"/>
    <n v="18000"/>
    <s v="D-02-02"/>
    <n v="158"/>
    <n v="89"/>
    <n v="114"/>
    <x v="0"/>
    <n v="2052000"/>
    <n v="111"/>
    <n v="-3"/>
    <s v="PT Cipta Sarana Niaga"/>
  </r>
  <r>
    <s v="SKU0401"/>
    <s v="Power Strip"/>
    <s v="Electrical Supplies"/>
    <s v="Pcs"/>
    <n v="121"/>
    <n v="22"/>
    <n v="40"/>
    <n v="87000"/>
    <s v="D-01-02"/>
    <n v="201"/>
    <n v="122"/>
    <n v="200"/>
    <x v="0"/>
    <n v="17400000"/>
    <n v="200"/>
    <n v="0"/>
    <s v="PT Cipta Sarana Niaga"/>
  </r>
  <r>
    <s v="SKU0402"/>
    <s v="Cable Tie"/>
    <s v="Electrical Supplies"/>
    <s v="Pack"/>
    <n v="73"/>
    <n v="45"/>
    <n v="65"/>
    <n v="16000"/>
    <s v="D-10-01"/>
    <n v="64"/>
    <n v="161"/>
    <n v="-24"/>
    <x v="2"/>
    <n v="-384000"/>
    <n v="0"/>
    <n v="0"/>
    <s v="PT Solusi Komputer"/>
  </r>
  <r>
    <s v="SKU0403"/>
    <s v="Plug Adapter"/>
    <s v="Electrical Supplies"/>
    <s v="Pcs"/>
    <n v="44"/>
    <n v="24"/>
    <n v="29"/>
    <n v="16000"/>
    <s v="C-02-01"/>
    <n v="152"/>
    <n v="177"/>
    <n v="19"/>
    <x v="3"/>
    <n v="304000"/>
    <n v="16"/>
    <n v="-3"/>
    <s v="PT Global Office Supply"/>
  </r>
  <r>
    <s v="SKU0404"/>
    <s v="Electrical Tape"/>
    <s v="Electrical Supplies"/>
    <s v="Roll"/>
    <n v="122"/>
    <n v="26"/>
    <n v="44"/>
    <n v="15000"/>
    <s v="A-09-02"/>
    <n v="11"/>
    <n v="112"/>
    <n v="21"/>
    <x v="3"/>
    <n v="315000"/>
    <n v="20"/>
    <n v="-1"/>
    <s v="PT Solusi Komputer"/>
  </r>
  <r>
    <s v="SKU0405"/>
    <s v="Cable Tie"/>
    <s v="Electrical Supplies"/>
    <s v="Pack"/>
    <n v="187"/>
    <n v="17"/>
    <n v="46"/>
    <n v="27000"/>
    <s v="B-02-01"/>
    <n v="224"/>
    <n v="106"/>
    <n v="305"/>
    <x v="0"/>
    <n v="8235000"/>
    <n v="306"/>
    <n v="1"/>
    <s v="CV Berkah Jaya"/>
  </r>
  <r>
    <s v="SKU0406"/>
    <s v="Cable Tie"/>
    <s v="Electrical Supplies"/>
    <s v="Pack"/>
    <n v="198"/>
    <n v="49"/>
    <n v="74"/>
    <n v="17000"/>
    <s v="D-07-02"/>
    <n v="163"/>
    <n v="75"/>
    <n v="286"/>
    <x v="0"/>
    <n v="4862000"/>
    <n v="287"/>
    <n v="1"/>
    <s v="CV Karya Mandiri"/>
  </r>
  <r>
    <s v="SKU0407"/>
    <s v="Cable Tie"/>
    <s v="Electrical Supplies"/>
    <s v="Pack"/>
    <n v="81"/>
    <n v="30"/>
    <n v="46"/>
    <n v="20000"/>
    <s v="D-07-01"/>
    <n v="104"/>
    <n v="21"/>
    <n v="164"/>
    <x v="0"/>
    <n v="3280000"/>
    <n v="166"/>
    <n v="2"/>
    <s v="CV Mitra Perkasa"/>
  </r>
  <r>
    <s v="SKU0408"/>
    <s v="Network Cable"/>
    <s v="Electrical Supplies"/>
    <s v="Meter"/>
    <n v="56"/>
    <n v="48"/>
    <n v="77"/>
    <n v="12000"/>
    <s v="A-02-02"/>
    <n v="69"/>
    <n v="129"/>
    <n v="-4"/>
    <x v="2"/>
    <n v="-48000"/>
    <n v="0"/>
    <n v="0"/>
    <s v="PT Indo Elektrik"/>
  </r>
  <r>
    <s v="SKU0409"/>
    <s v="Battery AA"/>
    <s v="Electrical Supplies"/>
    <s v="Pack"/>
    <n v="214"/>
    <n v="23"/>
    <n v="53"/>
    <n v="43000"/>
    <s v="C-07-01"/>
    <n v="87"/>
    <n v="251"/>
    <n v="50"/>
    <x v="1"/>
    <n v="2150000"/>
    <n v="50"/>
    <n v="0"/>
    <s v="CV Mitra Perkasa"/>
  </r>
  <r>
    <s v="SKU0410"/>
    <s v="Extension Cable"/>
    <s v="Electrical Supplies"/>
    <s v="Pcs"/>
    <n v="87"/>
    <n v="20"/>
    <n v="33"/>
    <n v="116000"/>
    <s v="E-06-02"/>
    <n v="27"/>
    <n v="100"/>
    <n v="14"/>
    <x v="3"/>
    <n v="1624000"/>
    <n v="13"/>
    <n v="-1"/>
    <s v="PT Sentosa Distribusi"/>
  </r>
  <r>
    <s v="SKU0411"/>
    <s v="Electrical Tape"/>
    <s v="Electrical Supplies"/>
    <s v="Roll"/>
    <n v="124"/>
    <n v="43"/>
    <n v="63"/>
    <n v="7000"/>
    <s v="C-06-02"/>
    <n v="0"/>
    <n v="56"/>
    <n v="68"/>
    <x v="0"/>
    <n v="476000"/>
    <n v="70"/>
    <n v="2"/>
    <s v="PT Solusi Komputer"/>
  </r>
  <r>
    <s v="SKU0412"/>
    <s v="Circuit Breaker"/>
    <s v="Electrical Supplies"/>
    <s v="Pcs"/>
    <n v="117"/>
    <n v="39"/>
    <n v="45"/>
    <n v="222000"/>
    <s v="E-05-02"/>
    <n v="43"/>
    <n v="83"/>
    <n v="77"/>
    <x v="0"/>
    <n v="17094000"/>
    <n v="76"/>
    <n v="-1"/>
    <s v="CV Berkah Jaya"/>
  </r>
  <r>
    <s v="SKU0413"/>
    <s v="Network Cable"/>
    <s v="Electrical Supplies"/>
    <s v="Meter"/>
    <n v="244"/>
    <n v="10"/>
    <n v="61"/>
    <n v="14000"/>
    <s v="E-03-01"/>
    <n v="137"/>
    <n v="111"/>
    <n v="270"/>
    <x v="0"/>
    <n v="3780000"/>
    <n v="273"/>
    <n v="3"/>
    <s v="CV Prima Logistik"/>
  </r>
  <r>
    <s v="SKU0414"/>
    <s v="Extension Cable"/>
    <s v="Electrical Supplies"/>
    <s v="Pcs"/>
    <n v="166"/>
    <n v="7"/>
    <n v="41"/>
    <n v="117000"/>
    <s v="E-09-01"/>
    <n v="236"/>
    <n v="180"/>
    <n v="222"/>
    <x v="0"/>
    <n v="25974000"/>
    <n v="222"/>
    <n v="0"/>
    <s v="PT Global Office Supply"/>
  </r>
  <r>
    <s v="SKU0415"/>
    <s v="Electrical Tape"/>
    <s v="Electrical Supplies"/>
    <s v="Roll"/>
    <n v="12"/>
    <n v="11"/>
    <n v="24"/>
    <n v="8000"/>
    <s v="D-03-02"/>
    <n v="124"/>
    <n v="56"/>
    <n v="80"/>
    <x v="0"/>
    <n v="640000"/>
    <n v="80"/>
    <n v="0"/>
    <s v="CV Prima Logistik"/>
  </r>
  <r>
    <s v="SKU0416"/>
    <s v="Circuit Breaker"/>
    <s v="Electrical Supplies"/>
    <s v="Pcs"/>
    <n v="186"/>
    <n v="41"/>
    <n v="53"/>
    <n v="193000"/>
    <s v="C-04-02"/>
    <n v="24"/>
    <n v="179"/>
    <n v="31"/>
    <x v="3"/>
    <n v="5983000"/>
    <n v="31"/>
    <n v="0"/>
    <s v="CV Karya Mandiri"/>
  </r>
  <r>
    <s v="SKU0417"/>
    <s v="Plug Adapter"/>
    <s v="Electrical Supplies"/>
    <s v="Pcs"/>
    <n v="186"/>
    <n v="37"/>
    <n v="46"/>
    <n v="47000"/>
    <s v="A-02-02"/>
    <n v="134"/>
    <n v="72"/>
    <n v="248"/>
    <x v="0"/>
    <n v="11656000"/>
    <n v="250"/>
    <n v="2"/>
    <s v="CV Berkah Jaya"/>
  </r>
  <r>
    <s v="SKU0418"/>
    <s v="Power Strip"/>
    <s v="Electrical Supplies"/>
    <s v="Pcs"/>
    <n v="116"/>
    <n v="10"/>
    <n v="29"/>
    <n v="120000"/>
    <s v="C-03-01"/>
    <n v="49"/>
    <n v="148"/>
    <n v="17"/>
    <x v="1"/>
    <n v="2040000"/>
    <n v="17"/>
    <n v="0"/>
    <s v="PT Sentosa Distribusi"/>
  </r>
  <r>
    <s v="SKU0419"/>
    <s v="Cable Tie"/>
    <s v="Electrical Supplies"/>
    <s v="Pack"/>
    <n v="210"/>
    <n v="18"/>
    <n v="52"/>
    <n v="22000"/>
    <s v="C-03-01"/>
    <n v="70"/>
    <n v="53"/>
    <n v="227"/>
    <x v="0"/>
    <n v="4994000"/>
    <n v="227"/>
    <n v="0"/>
    <s v="CV Karya Mandiri"/>
  </r>
  <r>
    <s v="SKU0420"/>
    <s v="Power Strip"/>
    <s v="Electrical Supplies"/>
    <s v="Pcs"/>
    <n v="194"/>
    <n v="49"/>
    <n v="68"/>
    <n v="157000"/>
    <s v="A-05-01"/>
    <n v="149"/>
    <n v="20"/>
    <n v="323"/>
    <x v="0"/>
    <n v="50711000"/>
    <n v="320"/>
    <n v="-3"/>
    <s v="CV Berkah Jaya"/>
  </r>
  <r>
    <s v="SKU0421"/>
    <s v="LED Bulb"/>
    <s v="Electrical Supplies"/>
    <s v="Pcs"/>
    <n v="39"/>
    <n v="6"/>
    <n v="21"/>
    <n v="57000"/>
    <s v="E-04-01"/>
    <n v="158"/>
    <n v="36"/>
    <n v="161"/>
    <x v="0"/>
    <n v="9177000"/>
    <n v="163"/>
    <n v="2"/>
    <s v="CV Mitra Perkasa"/>
  </r>
  <r>
    <s v="SKU0422"/>
    <s v="Battery AA"/>
    <s v="Electrical Supplies"/>
    <s v="Pack"/>
    <n v="54"/>
    <n v="40"/>
    <n v="50"/>
    <n v="48000"/>
    <s v="D-06-02"/>
    <n v="233"/>
    <n v="167"/>
    <n v="120"/>
    <x v="0"/>
    <n v="5760000"/>
    <n v="117"/>
    <n v="-3"/>
    <s v="CV Berkah Jaya"/>
  </r>
  <r>
    <s v="SKU0423"/>
    <s v="Plug Adapter"/>
    <s v="Electrical Supplies"/>
    <s v="Pcs"/>
    <n v="214"/>
    <n v="30"/>
    <n v="55"/>
    <n v="24000"/>
    <s v="B-02-02"/>
    <n v="16"/>
    <n v="56"/>
    <n v="174"/>
    <x v="0"/>
    <n v="4176000"/>
    <n v="177"/>
    <n v="3"/>
    <s v="PT Sentosa Distribusi"/>
  </r>
  <r>
    <s v="SKU0424"/>
    <s v="Electrical Tape"/>
    <s v="Electrical Supplies"/>
    <s v="Roll"/>
    <n v="198"/>
    <n v="44"/>
    <n v="55"/>
    <n v="5000"/>
    <s v="D-08-02"/>
    <n v="32"/>
    <n v="235"/>
    <n v="-5"/>
    <x v="2"/>
    <n v="-25000"/>
    <n v="0"/>
    <n v="0"/>
    <s v="CV Karya Mandiri"/>
  </r>
  <r>
    <s v="SKU0425"/>
    <s v="Electrical Tape"/>
    <s v="Electrical Supplies"/>
    <s v="Roll"/>
    <n v="190"/>
    <n v="18"/>
    <n v="47"/>
    <n v="5000"/>
    <s v="E-09-01"/>
    <n v="96"/>
    <n v="94"/>
    <n v="192"/>
    <x v="0"/>
    <n v="960000"/>
    <n v="193"/>
    <n v="1"/>
    <s v="PT Cipta Sarana Niaga"/>
  </r>
  <r>
    <s v="SKU0426"/>
    <s v="Network Cable"/>
    <s v="Electrical Supplies"/>
    <s v="Meter"/>
    <n v="214"/>
    <n v="39"/>
    <n v="53"/>
    <n v="5000"/>
    <s v="C-01-02"/>
    <n v="34"/>
    <n v="234"/>
    <n v="14"/>
    <x v="3"/>
    <n v="70000"/>
    <n v="14"/>
    <n v="0"/>
    <s v="CV Berkah Jaya"/>
  </r>
  <r>
    <s v="SKU0427"/>
    <s v="Plug Adapter"/>
    <s v="Electrical Supplies"/>
    <s v="Pcs"/>
    <n v="77"/>
    <n v="47"/>
    <n v="67"/>
    <n v="17000"/>
    <s v="E-01-02"/>
    <n v="224"/>
    <n v="233"/>
    <n v="68"/>
    <x v="0"/>
    <n v="1156000"/>
    <n v="65"/>
    <n v="-3"/>
    <s v="PT Indo Elektrik"/>
  </r>
  <r>
    <s v="SKU0428"/>
    <s v="Network Cable"/>
    <s v="Electrical Supplies"/>
    <s v="Meter"/>
    <n v="166"/>
    <n v="30"/>
    <n v="53"/>
    <n v="10000"/>
    <s v="C-03-01"/>
    <n v="239"/>
    <n v="117"/>
    <n v="288"/>
    <x v="0"/>
    <n v="2880000"/>
    <n v="289"/>
    <n v="1"/>
    <s v="CV Mitra Perkasa"/>
  </r>
  <r>
    <s v="SKU0429"/>
    <s v="Plug Adapter"/>
    <s v="Electrical Supplies"/>
    <s v="Pcs"/>
    <n v="54"/>
    <n v="48"/>
    <n v="75"/>
    <n v="49000"/>
    <s v="D-10-01"/>
    <n v="112"/>
    <n v="145"/>
    <n v="21"/>
    <x v="3"/>
    <n v="1029000"/>
    <n v="23"/>
    <n v="2"/>
    <s v="PT Cipta Sarana Niaga"/>
  </r>
  <r>
    <s v="SKU0430"/>
    <s v="Power Strip"/>
    <s v="Electrical Supplies"/>
    <s v="Pcs"/>
    <n v="90"/>
    <n v="12"/>
    <n v="24"/>
    <n v="79000"/>
    <s v="A-08-01"/>
    <n v="2"/>
    <n v="183"/>
    <n v="-91"/>
    <x v="2"/>
    <n v="-7189000"/>
    <n v="0"/>
    <n v="0"/>
    <s v="PT Cipta Sarana Niaga"/>
  </r>
  <r>
    <s v="SKU0431"/>
    <s v="Cable Tie"/>
    <s v="Electrical Supplies"/>
    <s v="Pack"/>
    <n v="46"/>
    <n v="37"/>
    <n v="54"/>
    <n v="30000"/>
    <s v="D-09-01"/>
    <n v="147"/>
    <n v="164"/>
    <n v="29"/>
    <x v="3"/>
    <n v="870000"/>
    <n v="30"/>
    <n v="1"/>
    <s v="PT Global Office Supply"/>
  </r>
  <r>
    <s v="SKU0432"/>
    <s v="Network Cable"/>
    <s v="Electrical Supplies"/>
    <s v="Meter"/>
    <n v="118"/>
    <n v="16"/>
    <n v="36"/>
    <n v="10000"/>
    <s v="E-05-01"/>
    <n v="141"/>
    <n v="39"/>
    <n v="220"/>
    <x v="0"/>
    <n v="2200000"/>
    <n v="217"/>
    <n v="-3"/>
    <s v="PT Indo Elektrik"/>
  </r>
  <r>
    <s v="SKU0433"/>
    <s v="Circuit Breaker"/>
    <s v="Electrical Supplies"/>
    <s v="Pcs"/>
    <n v="135"/>
    <n v="23"/>
    <n v="33"/>
    <n v="87000"/>
    <s v="C-01-01"/>
    <n v="71"/>
    <n v="155"/>
    <n v="51"/>
    <x v="0"/>
    <n v="4437000"/>
    <n v="50"/>
    <n v="-1"/>
    <s v="PT Sentosa Distribusi"/>
  </r>
  <r>
    <s v="SKU0434"/>
    <s v="Network Cable"/>
    <s v="Electrical Supplies"/>
    <s v="Meter"/>
    <n v="231"/>
    <n v="27"/>
    <n v="57"/>
    <n v="4000"/>
    <s v="A-09-02"/>
    <n v="42"/>
    <n v="133"/>
    <n v="140"/>
    <x v="0"/>
    <n v="560000"/>
    <n v="137"/>
    <n v="-3"/>
    <s v="CV Karya Mandiri"/>
  </r>
  <r>
    <s v="SKU0435"/>
    <s v="Electrical Tape"/>
    <s v="Electrical Supplies"/>
    <s v="Roll"/>
    <n v="139"/>
    <n v="46"/>
    <n v="66"/>
    <n v="22000"/>
    <s v="E-04-02"/>
    <n v="22"/>
    <n v="83"/>
    <n v="78"/>
    <x v="0"/>
    <n v="1716000"/>
    <n v="81"/>
    <n v="3"/>
    <s v="PT Global Office Supply"/>
  </r>
  <r>
    <s v="SKU0436"/>
    <s v="Electrical Tape"/>
    <s v="Electrical Supplies"/>
    <s v="Roll"/>
    <n v="135"/>
    <n v="15"/>
    <n v="33"/>
    <n v="19000"/>
    <s v="A-02-02"/>
    <n v="52"/>
    <n v="157"/>
    <n v="30"/>
    <x v="1"/>
    <n v="570000"/>
    <n v="27"/>
    <n v="-3"/>
    <s v="PT Solusi Komputer"/>
  </r>
  <r>
    <s v="SKU0437"/>
    <s v="Battery AAA"/>
    <s v="Electrical Supplies"/>
    <s v="Pack"/>
    <n v="80"/>
    <n v="19"/>
    <n v="41"/>
    <n v="17000"/>
    <s v="B-01-02"/>
    <n v="241"/>
    <n v="185"/>
    <n v="136"/>
    <x v="0"/>
    <n v="2312000"/>
    <n v="134"/>
    <n v="-2"/>
    <s v="PT Cipta Sarana Niaga"/>
  </r>
  <r>
    <s v="SKU0438"/>
    <s v="Network Cable"/>
    <s v="Electrical Supplies"/>
    <s v="Meter"/>
    <n v="207"/>
    <n v="36"/>
    <n v="58"/>
    <n v="15000"/>
    <s v="A-08-01"/>
    <n v="70"/>
    <n v="159"/>
    <n v="118"/>
    <x v="0"/>
    <n v="1770000"/>
    <n v="117"/>
    <n v="-1"/>
    <s v="PT Indo Elektrik"/>
  </r>
  <r>
    <s v="SKU0439"/>
    <s v="Power Strip"/>
    <s v="Electrical Supplies"/>
    <s v="Pcs"/>
    <n v="208"/>
    <n v="39"/>
    <n v="55"/>
    <n v="113000"/>
    <s v="E-09-01"/>
    <n v="191"/>
    <n v="114"/>
    <n v="285"/>
    <x v="0"/>
    <n v="32205000"/>
    <n v="282"/>
    <n v="-3"/>
    <s v="PT Indo Elektrik"/>
  </r>
  <r>
    <s v="SKU0440"/>
    <s v="Plug Adapter"/>
    <s v="Electrical Supplies"/>
    <s v="Pcs"/>
    <n v="65"/>
    <n v="32"/>
    <n v="40"/>
    <n v="44000"/>
    <s v="B-10-01"/>
    <n v="204"/>
    <n v="21"/>
    <n v="248"/>
    <x v="0"/>
    <n v="10912000"/>
    <n v="247"/>
    <n v="-1"/>
    <s v="CV Prima Logistik"/>
  </r>
  <r>
    <s v="SKU0441"/>
    <s v="Plug Adapter"/>
    <s v="Electrical Supplies"/>
    <s v="Pcs"/>
    <n v="99"/>
    <n v="10"/>
    <n v="29"/>
    <n v="26000"/>
    <s v="E-10-02"/>
    <n v="41"/>
    <n v="54"/>
    <n v="86"/>
    <x v="0"/>
    <n v="2236000"/>
    <n v="85"/>
    <n v="-1"/>
    <s v="CV Mitra Perkasa"/>
  </r>
  <r>
    <s v="SKU0442"/>
    <s v="Battery AA"/>
    <s v="Electrical Supplies"/>
    <s v="Pack"/>
    <n v="186"/>
    <n v="27"/>
    <n v="54"/>
    <n v="52000"/>
    <s v="E-01-01"/>
    <n v="122"/>
    <n v="82"/>
    <n v="226"/>
    <x v="0"/>
    <n v="11752000"/>
    <n v="224"/>
    <n v="-2"/>
    <s v="PT Solusi Komputer"/>
  </r>
  <r>
    <s v="SKU0443"/>
    <s v="Extension Cable"/>
    <s v="Electrical Supplies"/>
    <s v="Pcs"/>
    <n v="45"/>
    <n v="18"/>
    <n v="29"/>
    <n v="113000"/>
    <s v="D-07-01"/>
    <n v="16"/>
    <n v="66"/>
    <n v="-5"/>
    <x v="2"/>
    <n v="-565000"/>
    <n v="0"/>
    <n v="0"/>
    <s v="PT Sumber Teknologi Nusantara"/>
  </r>
  <r>
    <s v="SKU0444"/>
    <s v="Circuit Breaker"/>
    <s v="Electrical Supplies"/>
    <s v="Pcs"/>
    <n v="162"/>
    <n v="39"/>
    <n v="49"/>
    <n v="116000"/>
    <s v="E-06-01"/>
    <n v="198"/>
    <n v="63"/>
    <n v="297"/>
    <x v="0"/>
    <n v="34452000"/>
    <n v="297"/>
    <n v="0"/>
    <s v="CV Berkah Jaya"/>
  </r>
  <r>
    <s v="SKU0445"/>
    <s v="Battery AAA"/>
    <s v="Electrical Supplies"/>
    <s v="Pack"/>
    <n v="78"/>
    <n v="37"/>
    <n v="63"/>
    <n v="51000"/>
    <s v="A-09-02"/>
    <n v="126"/>
    <n v="142"/>
    <n v="62"/>
    <x v="1"/>
    <n v="3162000"/>
    <n v="62"/>
    <n v="0"/>
    <s v="CV Mitra Perkasa"/>
  </r>
  <r>
    <s v="SKU0446"/>
    <s v="LED Bulb"/>
    <s v="Electrical Supplies"/>
    <s v="Pcs"/>
    <n v="231"/>
    <n v="46"/>
    <n v="57"/>
    <n v="29000"/>
    <s v="B-06-02"/>
    <n v="89"/>
    <n v="113"/>
    <n v="207"/>
    <x v="0"/>
    <n v="6003000"/>
    <n v="204"/>
    <n v="-3"/>
    <s v="PT Sentosa Distribusi"/>
  </r>
  <r>
    <s v="SKU0447"/>
    <s v="Cable Tie"/>
    <s v="Electrical Supplies"/>
    <s v="Pack"/>
    <n v="73"/>
    <n v="48"/>
    <n v="65"/>
    <n v="34000"/>
    <s v="A-10-01"/>
    <n v="132"/>
    <n v="38"/>
    <n v="167"/>
    <x v="0"/>
    <n v="5678000"/>
    <n v="167"/>
    <n v="0"/>
    <s v="CV Karya Mandiri"/>
  </r>
  <r>
    <s v="SKU0448"/>
    <s v="Battery AAA"/>
    <s v="Electrical Supplies"/>
    <s v="Pack"/>
    <n v="116"/>
    <n v="29"/>
    <n v="48"/>
    <n v="55000"/>
    <s v="E-01-02"/>
    <n v="67"/>
    <n v="303"/>
    <n v="-120"/>
    <x v="2"/>
    <n v="-6600000"/>
    <n v="0"/>
    <n v="0"/>
    <s v="CV Mitra Perkasa"/>
  </r>
  <r>
    <s v="SKU0449"/>
    <s v="Electrical Tape"/>
    <s v="Electrical Supplies"/>
    <s v="Roll"/>
    <n v="201"/>
    <n v="22"/>
    <n v="50"/>
    <n v="21000"/>
    <s v="C-10-01"/>
    <n v="126"/>
    <n v="184"/>
    <n v="143"/>
    <x v="0"/>
    <n v="3003000"/>
    <n v="146"/>
    <n v="3"/>
    <s v="CV Berkah Jaya"/>
  </r>
  <r>
    <s v="SKU0450"/>
    <s v="Cable Tie"/>
    <s v="Electrical Supplies"/>
    <s v="Pack"/>
    <n v="10"/>
    <n v="10"/>
    <n v="38"/>
    <n v="26000"/>
    <s v="E-01-02"/>
    <n v="155"/>
    <n v="105"/>
    <n v="60"/>
    <x v="0"/>
    <n v="1560000"/>
    <n v="57"/>
    <n v="-3"/>
    <s v="CV Karya Mandiri"/>
  </r>
  <r>
    <s v="SKU0451"/>
    <s v="Power Strip"/>
    <s v="Electrical Supplies"/>
    <s v="Pcs"/>
    <n v="65"/>
    <n v="32"/>
    <n v="43"/>
    <n v="146000"/>
    <s v="B-08-01"/>
    <n v="98"/>
    <n v="0"/>
    <n v="163"/>
    <x v="0"/>
    <n v="23798000"/>
    <n v="163"/>
    <n v="0"/>
    <s v="CV Karya Mandiri"/>
  </r>
  <r>
    <s v="SKU0452"/>
    <s v="Battery AAA"/>
    <s v="Electrical Supplies"/>
    <s v="Pack"/>
    <n v="150"/>
    <n v="41"/>
    <n v="50"/>
    <n v="36000"/>
    <s v="D-02-01"/>
    <n v="254"/>
    <n v="11"/>
    <n v="393"/>
    <x v="0"/>
    <n v="14148000"/>
    <n v="392"/>
    <n v="-1"/>
    <s v="PT Solusi Komputer"/>
  </r>
  <r>
    <s v="SKU0453"/>
    <s v="LED Bulb"/>
    <s v="Electrical Supplies"/>
    <s v="Pcs"/>
    <n v="35"/>
    <n v="45"/>
    <n v="75"/>
    <n v="14000"/>
    <s v="A-02-01"/>
    <n v="174"/>
    <n v="134"/>
    <n v="75"/>
    <x v="1"/>
    <n v="1050000"/>
    <n v="74"/>
    <n v="-1"/>
    <s v="CV Karya Mandiri"/>
  </r>
  <r>
    <s v="SKU0454"/>
    <s v="Extension Cable"/>
    <s v="Electrical Supplies"/>
    <s v="Pcs"/>
    <n v="126"/>
    <n v="5"/>
    <n v="31"/>
    <n v="91000"/>
    <s v="E-05-01"/>
    <n v="81"/>
    <n v="206"/>
    <n v="1"/>
    <x v="3"/>
    <n v="91000"/>
    <n v="1"/>
    <n v="0"/>
    <s v="CV Prima Logistik"/>
  </r>
  <r>
    <s v="SKU0455"/>
    <s v="Battery AAA"/>
    <s v="Electrical Supplies"/>
    <s v="Pack"/>
    <n v="233"/>
    <n v="22"/>
    <n v="58"/>
    <n v="25000"/>
    <s v="B-07-01"/>
    <n v="49"/>
    <n v="167"/>
    <n v="115"/>
    <x v="0"/>
    <n v="2875000"/>
    <n v="115"/>
    <n v="0"/>
    <s v="CV Berkah Jaya"/>
  </r>
  <r>
    <s v="SKU0456"/>
    <s v="Cable Tie"/>
    <s v="Electrical Supplies"/>
    <s v="Pack"/>
    <n v="241"/>
    <n v="46"/>
    <n v="60"/>
    <n v="29000"/>
    <s v="C-06-01"/>
    <n v="193"/>
    <n v="214"/>
    <n v="220"/>
    <x v="0"/>
    <n v="6380000"/>
    <n v="220"/>
    <n v="0"/>
    <s v="PT Sumber Teknologi Nusantara"/>
  </r>
  <r>
    <s v="SKU0457"/>
    <s v="Battery AA"/>
    <s v="Electrical Supplies"/>
    <s v="Pack"/>
    <n v="177"/>
    <n v="10"/>
    <n v="44"/>
    <n v="42000"/>
    <s v="A-01-01"/>
    <n v="277"/>
    <n v="144"/>
    <n v="310"/>
    <x v="0"/>
    <n v="13020000"/>
    <n v="310"/>
    <n v="0"/>
    <s v="CV Mitra Perkasa"/>
  </r>
  <r>
    <s v="SKU0458"/>
    <s v="Plug Adapter"/>
    <s v="Electrical Supplies"/>
    <s v="Pcs"/>
    <n v="43"/>
    <n v="42"/>
    <n v="54"/>
    <n v="14000"/>
    <s v="E-04-02"/>
    <n v="171"/>
    <n v="146"/>
    <n v="68"/>
    <x v="0"/>
    <n v="952000"/>
    <n v="67"/>
    <n v="-1"/>
    <s v="PT Indo Elektrik"/>
  </r>
  <r>
    <s v="SKU0459"/>
    <s v="LED Bulb"/>
    <s v="Electrical Supplies"/>
    <s v="Pcs"/>
    <n v="188"/>
    <n v="26"/>
    <n v="47"/>
    <n v="12000"/>
    <s v="E-05-01"/>
    <n v="69"/>
    <n v="152"/>
    <n v="105"/>
    <x v="0"/>
    <n v="1260000"/>
    <n v="102"/>
    <n v="-3"/>
    <s v="PT Global Office Supply"/>
  </r>
  <r>
    <s v="SKU0460"/>
    <s v="Plug Adapter"/>
    <s v="Electrical Supplies"/>
    <s v="Pcs"/>
    <n v="68"/>
    <n v="29"/>
    <n v="36"/>
    <n v="14000"/>
    <s v="A-07-02"/>
    <n v="220"/>
    <n v="45"/>
    <n v="243"/>
    <x v="0"/>
    <n v="3402000"/>
    <n v="242"/>
    <n v="-1"/>
    <s v="CV Mitra Perkasa"/>
  </r>
  <r>
    <s v="SKU0461"/>
    <s v="Cable Tie"/>
    <s v="Electrical Supplies"/>
    <s v="Pack"/>
    <n v="45"/>
    <n v="29"/>
    <n v="58"/>
    <n v="17000"/>
    <s v="E-02-01"/>
    <n v="69"/>
    <n v="163"/>
    <n v="-49"/>
    <x v="2"/>
    <n v="-833000"/>
    <n v="0"/>
    <n v="0"/>
    <s v="PT Sentosa Distribusi"/>
  </r>
  <r>
    <s v="SKU0462"/>
    <s v="Power Strip"/>
    <s v="Electrical Supplies"/>
    <s v="Pcs"/>
    <n v="154"/>
    <n v="5"/>
    <n v="38"/>
    <n v="180000"/>
    <s v="C-09-01"/>
    <n v="17"/>
    <n v="114"/>
    <n v="57"/>
    <x v="0"/>
    <n v="10260000"/>
    <n v="57"/>
    <n v="0"/>
    <s v="PT Sentosa Distribusi"/>
  </r>
  <r>
    <s v="SKU0463"/>
    <s v="Battery AA"/>
    <s v="Electrical Supplies"/>
    <s v="Pack"/>
    <n v="201"/>
    <n v="14"/>
    <n v="50"/>
    <n v="55000"/>
    <s v="E-04-02"/>
    <n v="218"/>
    <n v="7"/>
    <n v="412"/>
    <x v="0"/>
    <n v="22660000"/>
    <n v="410"/>
    <n v="-2"/>
    <s v="PT Solusi Komputer"/>
  </r>
  <r>
    <s v="SKU0464"/>
    <s v="Battery AA"/>
    <s v="Electrical Supplies"/>
    <s v="Pack"/>
    <n v="239"/>
    <n v="11"/>
    <n v="59"/>
    <n v="20000"/>
    <s v="D-08-02"/>
    <n v="110"/>
    <n v="117"/>
    <n v="232"/>
    <x v="0"/>
    <n v="4640000"/>
    <n v="229"/>
    <n v="-3"/>
    <s v="CV Mitra Perkasa"/>
  </r>
  <r>
    <s v="SKU0465"/>
    <s v="Cable Tie"/>
    <s v="Electrical Supplies"/>
    <s v="Pack"/>
    <n v="90"/>
    <n v="13"/>
    <n v="25"/>
    <n v="21000"/>
    <s v="E-02-01"/>
    <n v="72"/>
    <n v="183"/>
    <n v="-21"/>
    <x v="2"/>
    <n v="-441000"/>
    <n v="0"/>
    <n v="0"/>
    <s v="PT Cipta Sarana Niaga"/>
  </r>
  <r>
    <s v="SKU0466"/>
    <s v="Battery AA"/>
    <s v="Electrical Supplies"/>
    <s v="Pack"/>
    <n v="163"/>
    <n v="43"/>
    <n v="71"/>
    <n v="50000"/>
    <s v="B-09-01"/>
    <n v="165"/>
    <n v="115"/>
    <n v="213"/>
    <x v="0"/>
    <n v="10650000"/>
    <n v="213"/>
    <n v="0"/>
    <s v="PT Solusi Komputer"/>
  </r>
  <r>
    <s v="SKU0467"/>
    <s v="Battery AAA"/>
    <s v="Electrical Supplies"/>
    <s v="Pack"/>
    <n v="142"/>
    <n v="43"/>
    <n v="64"/>
    <n v="28000"/>
    <s v="E-08-02"/>
    <n v="201"/>
    <n v="61"/>
    <n v="282"/>
    <x v="0"/>
    <n v="7896000"/>
    <n v="282"/>
    <n v="0"/>
    <s v="CV Prima Logistik"/>
  </r>
  <r>
    <s v="SKU0468"/>
    <s v="Battery AAA"/>
    <s v="Electrical Supplies"/>
    <s v="Pack"/>
    <n v="210"/>
    <n v="20"/>
    <n v="52"/>
    <n v="18000"/>
    <s v="A-08-01"/>
    <n v="93"/>
    <n v="93"/>
    <n v="210"/>
    <x v="0"/>
    <n v="3780000"/>
    <n v="210"/>
    <n v="0"/>
    <s v="PT Global Office Supply"/>
  </r>
  <r>
    <s v="SKU0469"/>
    <s v="Plug Adapter"/>
    <s v="Electrical Supplies"/>
    <s v="Pcs"/>
    <n v="162"/>
    <n v="9"/>
    <n v="40"/>
    <n v="50000"/>
    <s v="C-04-01"/>
    <n v="29"/>
    <n v="135"/>
    <n v="56"/>
    <x v="0"/>
    <n v="2800000"/>
    <n v="53"/>
    <n v="-3"/>
    <s v="PT Sumber Teknologi Nusantara"/>
  </r>
  <r>
    <s v="SKU0470"/>
    <s v="Extension Cable"/>
    <s v="Electrical Supplies"/>
    <s v="Pcs"/>
    <n v="230"/>
    <n v="41"/>
    <n v="59"/>
    <n v="84000"/>
    <s v="D-05-02"/>
    <n v="70"/>
    <n v="87"/>
    <n v="213"/>
    <x v="0"/>
    <n v="17892000"/>
    <n v="211"/>
    <n v="-2"/>
    <s v="CV Berkah Jaya"/>
  </r>
  <r>
    <s v="SKU0471"/>
    <s v="Plug Adapter"/>
    <s v="Electrical Supplies"/>
    <s v="Pcs"/>
    <n v="14"/>
    <n v="42"/>
    <n v="49"/>
    <n v="14000"/>
    <s v="B-07-02"/>
    <n v="155"/>
    <n v="102"/>
    <n v="67"/>
    <x v="0"/>
    <n v="938000"/>
    <n v="67"/>
    <n v="0"/>
    <s v="PT Sumber Teknologi Nusantara"/>
  </r>
  <r>
    <s v="SKU0472"/>
    <s v="LED Bulb"/>
    <s v="Electrical Supplies"/>
    <s v="Pcs"/>
    <n v="212"/>
    <n v="30"/>
    <n v="53"/>
    <n v="15000"/>
    <s v="E-01-01"/>
    <n v="248"/>
    <n v="54"/>
    <n v="406"/>
    <x v="0"/>
    <n v="6090000"/>
    <n v="406"/>
    <n v="0"/>
    <s v="PT Cipta Sarana Niaga"/>
  </r>
  <r>
    <s v="SKU0473"/>
    <s v="Electrical Tape"/>
    <s v="Electrical Supplies"/>
    <s v="Roll"/>
    <n v="189"/>
    <n v="30"/>
    <n v="47"/>
    <n v="18000"/>
    <s v="D-05-01"/>
    <n v="226"/>
    <n v="165"/>
    <n v="250"/>
    <x v="0"/>
    <n v="4500000"/>
    <n v="250"/>
    <n v="0"/>
    <s v="PT Indo Elektrik"/>
  </r>
  <r>
    <s v="SKU0474"/>
    <s v="Extension Cable"/>
    <s v="Electrical Supplies"/>
    <s v="Pcs"/>
    <n v="31"/>
    <n v="24"/>
    <n v="31"/>
    <n v="70000"/>
    <s v="B-04-01"/>
    <n v="105"/>
    <n v="46"/>
    <n v="90"/>
    <x v="0"/>
    <n v="6300000"/>
    <n v="90"/>
    <n v="0"/>
    <s v="PT Indo Elektrik"/>
  </r>
  <r>
    <s v="SKU0475"/>
    <s v="Circuit Breaker"/>
    <s v="Electrical Supplies"/>
    <s v="Pcs"/>
    <n v="110"/>
    <n v="42"/>
    <n v="67"/>
    <n v="128000"/>
    <s v="B-10-02"/>
    <n v="195"/>
    <n v="126"/>
    <n v="179"/>
    <x v="0"/>
    <n v="22912000"/>
    <n v="176"/>
    <n v="-3"/>
    <s v="CV Mitra Perkasa"/>
  </r>
  <r>
    <s v="SKU0476"/>
    <s v="Battery AA"/>
    <s v="Electrical Supplies"/>
    <s v="Pack"/>
    <n v="72"/>
    <n v="10"/>
    <n v="28"/>
    <n v="18000"/>
    <s v="C-10-01"/>
    <n v="129"/>
    <n v="49"/>
    <n v="152"/>
    <x v="0"/>
    <n v="2736000"/>
    <n v="152"/>
    <n v="0"/>
    <s v="CV Mitra Perkasa"/>
  </r>
  <r>
    <s v="SKU0477"/>
    <s v="Network Cable"/>
    <s v="Electrical Supplies"/>
    <s v="Meter"/>
    <n v="89"/>
    <n v="47"/>
    <n v="75"/>
    <n v="4000"/>
    <s v="A-08-02"/>
    <n v="134"/>
    <n v="202"/>
    <n v="21"/>
    <x v="3"/>
    <n v="84000"/>
    <n v="22"/>
    <n v="1"/>
    <s v="PT Sentosa Distribusi"/>
  </r>
  <r>
    <s v="SKU0478"/>
    <s v="Extension Cable"/>
    <s v="Electrical Supplies"/>
    <s v="Pcs"/>
    <n v="12"/>
    <n v="15"/>
    <n v="35"/>
    <n v="124000"/>
    <s v="D-04-01"/>
    <n v="173"/>
    <n v="162"/>
    <n v="23"/>
    <x v="1"/>
    <n v="2852000"/>
    <n v="26"/>
    <n v="3"/>
    <s v="CV Berkah Jaya"/>
  </r>
  <r>
    <s v="SKU0479"/>
    <s v="Battery AAA"/>
    <s v="Electrical Supplies"/>
    <s v="Pack"/>
    <n v="105"/>
    <n v="13"/>
    <n v="41"/>
    <n v="25000"/>
    <s v="E-07-02"/>
    <n v="61"/>
    <n v="230"/>
    <n v="-64"/>
    <x v="2"/>
    <n v="-1600000"/>
    <n v="0"/>
    <n v="0"/>
    <s v="PT Cipta Sarana Niaga"/>
  </r>
  <r>
    <s v="SKU0480"/>
    <s v="LED Bulb"/>
    <s v="Electrical Supplies"/>
    <s v="Pcs"/>
    <n v="216"/>
    <n v="32"/>
    <n v="54"/>
    <n v="33000"/>
    <s v="A-05-01"/>
    <n v="113"/>
    <n v="145"/>
    <n v="184"/>
    <x v="0"/>
    <n v="6072000"/>
    <n v="187"/>
    <n v="3"/>
    <s v="PT Indo Elektrik"/>
  </r>
  <r>
    <s v="SKU0481"/>
    <s v="Network Cable"/>
    <s v="Electrical Supplies"/>
    <s v="Meter"/>
    <n v="29"/>
    <n v="36"/>
    <n v="55"/>
    <n v="14000"/>
    <s v="C-04-01"/>
    <n v="87"/>
    <n v="0"/>
    <n v="116"/>
    <x v="0"/>
    <n v="1624000"/>
    <n v="116"/>
    <n v="0"/>
    <s v="PT Indo Elektrik"/>
  </r>
  <r>
    <s v="SKU0482"/>
    <s v="Plug Adapter"/>
    <s v="Electrical Supplies"/>
    <s v="Pcs"/>
    <n v="52"/>
    <n v="28"/>
    <n v="38"/>
    <n v="46000"/>
    <s v="E-10-01"/>
    <n v="52"/>
    <n v="174"/>
    <n v="-70"/>
    <x v="2"/>
    <n v="-3220000"/>
    <n v="0"/>
    <n v="0"/>
    <s v="PT Cipta Sarana Niaga"/>
  </r>
  <r>
    <s v="SKU0483"/>
    <s v="Network Cable"/>
    <s v="Electrical Supplies"/>
    <s v="Meter"/>
    <n v="195"/>
    <n v="12"/>
    <n v="48"/>
    <n v="14000"/>
    <s v="A-01-01"/>
    <n v="46"/>
    <n v="86"/>
    <n v="155"/>
    <x v="0"/>
    <n v="2170000"/>
    <n v="155"/>
    <n v="0"/>
    <s v="PT Indo Elektrik"/>
  </r>
  <r>
    <s v="SKU0484"/>
    <s v="LED Bulb"/>
    <s v="Electrical Supplies"/>
    <s v="Pcs"/>
    <n v="21"/>
    <n v="35"/>
    <n v="51"/>
    <n v="27000"/>
    <s v="A-10-02"/>
    <n v="134"/>
    <n v="24"/>
    <n v="131"/>
    <x v="0"/>
    <n v="3537000"/>
    <n v="131"/>
    <n v="0"/>
    <s v="PT Global Office Supply"/>
  </r>
  <r>
    <s v="SKU0485"/>
    <s v="LED Bulb"/>
    <s v="Electrical Supplies"/>
    <s v="Pcs"/>
    <n v="215"/>
    <n v="50"/>
    <n v="78"/>
    <n v="47000"/>
    <s v="B-05-01"/>
    <n v="2"/>
    <n v="204"/>
    <n v="13"/>
    <x v="3"/>
    <n v="611000"/>
    <n v="13"/>
    <n v="0"/>
    <s v="PT Global Office Supply"/>
  </r>
  <r>
    <s v="SKU0486"/>
    <s v="Battery AA"/>
    <s v="Electrical Supplies"/>
    <s v="Pack"/>
    <n v="244"/>
    <n v="25"/>
    <n v="61"/>
    <n v="41000"/>
    <s v="D-07-02"/>
    <n v="150"/>
    <n v="83"/>
    <n v="311"/>
    <x v="0"/>
    <n v="12751000"/>
    <n v="310"/>
    <n v="-1"/>
    <s v="CV Mitra Perkasa"/>
  </r>
  <r>
    <s v="SKU0487"/>
    <s v="Power Strip"/>
    <s v="Electrical Supplies"/>
    <s v="Pcs"/>
    <n v="182"/>
    <n v="8"/>
    <n v="45"/>
    <n v="173000"/>
    <s v="D-04-01"/>
    <n v="73"/>
    <n v="166"/>
    <n v="89"/>
    <x v="0"/>
    <n v="15397000"/>
    <n v="89"/>
    <n v="0"/>
    <s v="CV Prima Logistik"/>
  </r>
  <r>
    <s v="SKU0488"/>
    <s v="Electrical Tape"/>
    <s v="Electrical Supplies"/>
    <s v="Roll"/>
    <n v="234"/>
    <n v="34"/>
    <n v="58"/>
    <n v="7000"/>
    <s v="C-01-02"/>
    <n v="187"/>
    <n v="258"/>
    <n v="163"/>
    <x v="0"/>
    <n v="1141000"/>
    <n v="163"/>
    <n v="0"/>
    <s v="PT Cipta Sarana Niaga"/>
  </r>
  <r>
    <s v="SKU0489"/>
    <s v="Circuit Breaker"/>
    <s v="Electrical Supplies"/>
    <s v="Pcs"/>
    <n v="12"/>
    <n v="28"/>
    <n v="39"/>
    <n v="161000"/>
    <s v="D-07-01"/>
    <n v="63"/>
    <n v="62"/>
    <n v="13"/>
    <x v="3"/>
    <n v="2093000"/>
    <n v="14"/>
    <n v="1"/>
    <s v="PT Cipta Sarana Niaga"/>
  </r>
  <r>
    <s v="SKU0490"/>
    <s v="Network Cable"/>
    <s v="Electrical Supplies"/>
    <s v="Meter"/>
    <n v="128"/>
    <n v="28"/>
    <n v="51"/>
    <n v="7000"/>
    <s v="E-10-01"/>
    <n v="134"/>
    <n v="182"/>
    <n v="80"/>
    <x v="0"/>
    <n v="560000"/>
    <n v="79"/>
    <n v="-1"/>
    <s v="CV Karya Mandiri"/>
  </r>
  <r>
    <s v="SKU0491"/>
    <s v="Circuit Breaker"/>
    <s v="Electrical Supplies"/>
    <s v="Pcs"/>
    <n v="213"/>
    <n v="20"/>
    <n v="53"/>
    <n v="239000"/>
    <s v="C-07-01"/>
    <n v="211"/>
    <n v="52"/>
    <n v="372"/>
    <x v="0"/>
    <n v="88908000"/>
    <n v="373"/>
    <n v="1"/>
    <s v="PT Sumber Teknologi Nusantara"/>
  </r>
  <r>
    <s v="SKU0492"/>
    <s v="Battery AA"/>
    <s v="Electrical Supplies"/>
    <s v="Pack"/>
    <n v="98"/>
    <n v="45"/>
    <n v="72"/>
    <n v="49000"/>
    <s v="C-02-01"/>
    <n v="132"/>
    <n v="115"/>
    <n v="115"/>
    <x v="0"/>
    <n v="5635000"/>
    <n v="114"/>
    <n v="-1"/>
    <s v="PT Sumber Teknologi Nusantara"/>
  </r>
  <r>
    <s v="SKU0493"/>
    <s v="Electrical Tape"/>
    <s v="Electrical Supplies"/>
    <s v="Roll"/>
    <n v="36"/>
    <n v="18"/>
    <n v="39"/>
    <n v="14000"/>
    <s v="C-07-02"/>
    <n v="247"/>
    <n v="9"/>
    <n v="274"/>
    <x v="0"/>
    <n v="3836000"/>
    <n v="271"/>
    <n v="-3"/>
    <s v="CV Prima Logistik"/>
  </r>
  <r>
    <s v="SKU0494"/>
    <s v="LED Bulb"/>
    <s v="Electrical Supplies"/>
    <s v="Pcs"/>
    <n v="192"/>
    <n v="22"/>
    <n v="48"/>
    <n v="21000"/>
    <s v="B-05-02"/>
    <n v="106"/>
    <n v="123"/>
    <n v="175"/>
    <x v="0"/>
    <n v="3675000"/>
    <n v="178"/>
    <n v="3"/>
    <s v="PT Sumber Teknologi Nusantara"/>
  </r>
  <r>
    <s v="SKU0495"/>
    <s v="Electrical Tape"/>
    <s v="Electrical Supplies"/>
    <s v="Roll"/>
    <n v="127"/>
    <n v="10"/>
    <n v="33"/>
    <n v="16000"/>
    <s v="D-03-01"/>
    <n v="170"/>
    <n v="70"/>
    <n v="227"/>
    <x v="0"/>
    <n v="3632000"/>
    <n v="224"/>
    <n v="-3"/>
    <s v="CV Mitra Perkasa"/>
  </r>
  <r>
    <s v="SKU0496"/>
    <s v="Electrical Tape"/>
    <s v="Electrical Supplies"/>
    <s v="Roll"/>
    <n v="161"/>
    <n v="41"/>
    <n v="47"/>
    <n v="7000"/>
    <s v="E-03-01"/>
    <n v="146"/>
    <n v="91"/>
    <n v="216"/>
    <x v="0"/>
    <n v="1512000"/>
    <n v="216"/>
    <n v="0"/>
    <s v="PT Global Office Supply"/>
  </r>
  <r>
    <s v="SKU0497"/>
    <s v="Battery AA"/>
    <s v="Electrical Supplies"/>
    <s v="Pack"/>
    <n v="76"/>
    <n v="25"/>
    <n v="55"/>
    <n v="33000"/>
    <s v="E-05-02"/>
    <n v="384"/>
    <n v="103"/>
    <n v="357"/>
    <x v="0"/>
    <n v="11781000"/>
    <n v="360"/>
    <n v="3"/>
    <s v="PT Global Office Supply"/>
  </r>
  <r>
    <s v="SKU0498"/>
    <s v="Cable Tie"/>
    <s v="Electrical Supplies"/>
    <s v="Pack"/>
    <n v="79"/>
    <n v="19"/>
    <n v="26"/>
    <n v="22000"/>
    <s v="A-09-02"/>
    <n v="149"/>
    <n v="152"/>
    <n v="76"/>
    <x v="0"/>
    <n v="1672000"/>
    <n v="76"/>
    <n v="0"/>
    <s v="CV Prima Logistik"/>
  </r>
  <r>
    <s v="SKU0499"/>
    <s v="Power Strip"/>
    <s v="Electrical Supplies"/>
    <s v="Pcs"/>
    <n v="37"/>
    <n v="15"/>
    <n v="34"/>
    <n v="84000"/>
    <s v="C-01-01"/>
    <n v="63"/>
    <n v="91"/>
    <n v="9"/>
    <x v="3"/>
    <n v="756000"/>
    <n v="7"/>
    <n v="-2"/>
    <s v="CV Karya Mandiri"/>
  </r>
  <r>
    <s v="SKU0500"/>
    <s v="Power Strip"/>
    <s v="Electrical Supplies"/>
    <s v="Pcs"/>
    <n v="207"/>
    <n v="18"/>
    <n v="51"/>
    <n v="136000"/>
    <s v="C-10-02"/>
    <n v="367"/>
    <n v="146"/>
    <n v="428"/>
    <x v="0"/>
    <n v="58208000"/>
    <n v="427"/>
    <n v="-1"/>
    <s v="PT Cipta Sarana Niag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SKU0001"/>
    <x v="0"/>
    <s v="Computer Accessories"/>
    <s v="Pcs"/>
    <n v="199"/>
    <n v="22"/>
    <n v="49"/>
    <n v="91000"/>
    <s v="A-09-02"/>
    <n v="158"/>
    <n v="120"/>
    <n v="237"/>
    <x v="0"/>
    <n v="21567000"/>
    <n v="237"/>
    <n v="0"/>
  </r>
  <r>
    <s v="SKU0002"/>
    <x v="1"/>
    <s v="Computer Accessories"/>
    <s v="Pcs"/>
    <n v="161"/>
    <n v="32"/>
    <n v="40"/>
    <n v="31000"/>
    <s v="A-06-02"/>
    <n v="123"/>
    <n v="69"/>
    <n v="215"/>
    <x v="0"/>
    <n v="6665000"/>
    <n v="217"/>
    <n v="2"/>
  </r>
  <r>
    <s v="SKU0003"/>
    <x v="2"/>
    <s v="Computer Accessories"/>
    <s v="Pcs"/>
    <n v="164"/>
    <n v="6"/>
    <n v="41"/>
    <n v="438000"/>
    <s v="E-06-02"/>
    <n v="248"/>
    <n v="13"/>
    <n v="399"/>
    <x v="0"/>
    <n v="174762000"/>
    <n v="402"/>
    <n v="3"/>
  </r>
  <r>
    <s v="SKU0004"/>
    <x v="3"/>
    <s v="Computer Accessories"/>
    <s v="Pcs"/>
    <n v="124"/>
    <n v="42"/>
    <n v="55"/>
    <n v="192000"/>
    <s v="E-09-02"/>
    <n v="59"/>
    <n v="121"/>
    <n v="62"/>
    <x v="0"/>
    <n v="11904000"/>
    <n v="59"/>
    <n v="-3"/>
  </r>
  <r>
    <s v="SKU0005"/>
    <x v="3"/>
    <s v="Computer Accessories"/>
    <s v="Pcs"/>
    <n v="81"/>
    <n v="14"/>
    <n v="25"/>
    <n v="254000"/>
    <s v="A-07-02"/>
    <n v="175"/>
    <n v="22"/>
    <n v="234"/>
    <x v="0"/>
    <n v="59436000"/>
    <n v="231"/>
    <n v="-3"/>
  </r>
  <r>
    <s v="SKU0006"/>
    <x v="3"/>
    <s v="Computer Accessories"/>
    <s v="Pcs"/>
    <n v="101"/>
    <n v="27"/>
    <n v="51"/>
    <n v="129000"/>
    <s v="A-03-02"/>
    <n v="152"/>
    <n v="144"/>
    <n v="109"/>
    <x v="0"/>
    <n v="14061000"/>
    <n v="108"/>
    <n v="-1"/>
  </r>
  <r>
    <s v="SKU0007"/>
    <x v="1"/>
    <s v="Computer Accessories"/>
    <s v="Pcs"/>
    <n v="246"/>
    <n v="29"/>
    <n v="61"/>
    <n v="35000"/>
    <s v="B-09-02"/>
    <n v="261"/>
    <n v="46"/>
    <n v="461"/>
    <x v="0"/>
    <n v="16135000"/>
    <n v="461"/>
    <n v="0"/>
  </r>
  <r>
    <s v="SKU0008"/>
    <x v="4"/>
    <s v="Computer Accessories"/>
    <s v="Pcs"/>
    <n v="59"/>
    <n v="50"/>
    <n v="57"/>
    <n v="88000"/>
    <s v="E-03-01"/>
    <n v="73"/>
    <n v="63"/>
    <n v="69"/>
    <x v="0"/>
    <n v="6072000"/>
    <n v="69"/>
    <n v="0"/>
  </r>
  <r>
    <s v="SKU0009"/>
    <x v="5"/>
    <s v="Computer Accessories"/>
    <s v="Pcs"/>
    <n v="228"/>
    <n v="19"/>
    <n v="57"/>
    <n v="130000"/>
    <s v="B-08-02"/>
    <n v="107"/>
    <n v="194"/>
    <n v="141"/>
    <x v="0"/>
    <n v="18330000"/>
    <n v="141"/>
    <n v="0"/>
  </r>
  <r>
    <s v="SKU0010"/>
    <x v="4"/>
    <s v="Computer Accessories"/>
    <s v="Pcs"/>
    <n v="104"/>
    <n v="27"/>
    <n v="38"/>
    <n v="35000"/>
    <s v="E-05-02"/>
    <n v="36"/>
    <n v="92"/>
    <n v="48"/>
    <x v="0"/>
    <n v="1680000"/>
    <n v="47"/>
    <n v="-1"/>
  </r>
  <r>
    <s v="SKU0011"/>
    <x v="6"/>
    <s v="Computer Accessories"/>
    <s v="Pcs"/>
    <n v="146"/>
    <n v="20"/>
    <n v="36"/>
    <n v="68000"/>
    <s v="C-05-01"/>
    <n v="67"/>
    <n v="190"/>
    <n v="23"/>
    <x v="1"/>
    <n v="1564000"/>
    <n v="23"/>
    <n v="0"/>
  </r>
  <r>
    <s v="SKU0012"/>
    <x v="1"/>
    <s v="Computer Accessories"/>
    <s v="Pcs"/>
    <n v="185"/>
    <n v="25"/>
    <n v="54"/>
    <n v="48000"/>
    <s v="B-05-02"/>
    <n v="74"/>
    <n v="187"/>
    <n v="72"/>
    <x v="0"/>
    <n v="3456000"/>
    <n v="73"/>
    <n v="1"/>
  </r>
  <r>
    <s v="SKU0013"/>
    <x v="4"/>
    <s v="Computer Accessories"/>
    <s v="Pcs"/>
    <n v="78"/>
    <n v="9"/>
    <n v="20"/>
    <n v="66000"/>
    <s v="E-06-02"/>
    <n v="171"/>
    <n v="179"/>
    <n v="70"/>
    <x v="0"/>
    <n v="4620000"/>
    <n v="69"/>
    <n v="-1"/>
  </r>
  <r>
    <s v="SKU0014"/>
    <x v="2"/>
    <s v="Computer Accessories"/>
    <s v="Pcs"/>
    <n v="137"/>
    <n v="30"/>
    <n v="55"/>
    <n v="515000"/>
    <s v="A-10-01"/>
    <n v="98"/>
    <n v="63"/>
    <n v="172"/>
    <x v="0"/>
    <n v="88580000"/>
    <n v="171"/>
    <n v="-1"/>
  </r>
  <r>
    <s v="SKU0015"/>
    <x v="7"/>
    <s v="Computer Accessories"/>
    <s v="Pcs"/>
    <n v="200"/>
    <n v="40"/>
    <n v="62"/>
    <n v="133000"/>
    <s v="E-08-02"/>
    <n v="84"/>
    <n v="123"/>
    <n v="161"/>
    <x v="0"/>
    <n v="21413000"/>
    <n v="159"/>
    <n v="-2"/>
  </r>
  <r>
    <s v="SKU0016"/>
    <x v="3"/>
    <s v="Computer Accessories"/>
    <s v="Pcs"/>
    <n v="102"/>
    <n v="19"/>
    <n v="28"/>
    <n v="284000"/>
    <s v="D-02-02"/>
    <n v="283"/>
    <n v="257"/>
    <n v="128"/>
    <x v="0"/>
    <n v="36352000"/>
    <n v="129"/>
    <n v="1"/>
  </r>
  <r>
    <s v="SKU0017"/>
    <x v="8"/>
    <s v="Computer Accessories"/>
    <s v="Pcs"/>
    <n v="49"/>
    <n v="45"/>
    <n v="55"/>
    <n v="59000"/>
    <s v="D-09-01"/>
    <n v="47"/>
    <n v="155"/>
    <n v="-59"/>
    <x v="2"/>
    <n v="-3481000"/>
    <n v="0"/>
    <n v="0"/>
  </r>
  <r>
    <s v="SKU0018"/>
    <x v="3"/>
    <s v="Computer Accessories"/>
    <s v="Pcs"/>
    <n v="162"/>
    <n v="34"/>
    <n v="55"/>
    <n v="275000"/>
    <s v="D-06-01"/>
    <n v="44"/>
    <n v="105"/>
    <n v="101"/>
    <x v="0"/>
    <n v="27775000"/>
    <n v="102"/>
    <n v="1"/>
  </r>
  <r>
    <s v="SKU0019"/>
    <x v="0"/>
    <s v="Computer Accessories"/>
    <s v="Pcs"/>
    <n v="236"/>
    <n v="39"/>
    <n v="68"/>
    <n v="259000"/>
    <s v="E-10-01"/>
    <n v="111"/>
    <n v="171"/>
    <n v="176"/>
    <x v="0"/>
    <n v="45584000"/>
    <n v="177"/>
    <n v="1"/>
  </r>
  <r>
    <s v="SKU0020"/>
    <x v="0"/>
    <s v="Computer Accessories"/>
    <s v="Pcs"/>
    <n v="121"/>
    <n v="15"/>
    <n v="34"/>
    <n v="160000"/>
    <s v="E-07-01"/>
    <n v="88"/>
    <n v="105"/>
    <n v="104"/>
    <x v="0"/>
    <n v="16640000"/>
    <n v="107"/>
    <n v="3"/>
  </r>
  <r>
    <s v="SKU0021"/>
    <x v="1"/>
    <s v="Computer Accessories"/>
    <s v="Pcs"/>
    <n v="55"/>
    <n v="37"/>
    <n v="45"/>
    <n v="117000"/>
    <s v="E-01-02"/>
    <n v="27"/>
    <n v="22"/>
    <n v="60"/>
    <x v="0"/>
    <n v="7020000"/>
    <n v="60"/>
    <n v="0"/>
  </r>
  <r>
    <s v="SKU0022"/>
    <x v="6"/>
    <s v="Computer Accessories"/>
    <s v="Pcs"/>
    <n v="49"/>
    <n v="28"/>
    <n v="57"/>
    <n v="75000"/>
    <s v="D-05-02"/>
    <n v="94"/>
    <n v="150"/>
    <n v="-7"/>
    <x v="2"/>
    <n v="-525000"/>
    <n v="0"/>
    <n v="0"/>
  </r>
  <r>
    <s v="SKU0023"/>
    <x v="8"/>
    <s v="Computer Accessories"/>
    <s v="Pcs"/>
    <n v="92"/>
    <n v="36"/>
    <n v="41"/>
    <n v="121000"/>
    <s v="C-04-01"/>
    <n v="86"/>
    <n v="195"/>
    <n v="-17"/>
    <x v="2"/>
    <n v="-2057000"/>
    <n v="0"/>
    <n v="0"/>
  </r>
  <r>
    <s v="SKU0024"/>
    <x v="2"/>
    <s v="Computer Accessories"/>
    <s v="Pcs"/>
    <n v="71"/>
    <n v="41"/>
    <n v="48"/>
    <n v="209000"/>
    <s v="E-07-02"/>
    <n v="203"/>
    <n v="182"/>
    <n v="92"/>
    <x v="0"/>
    <n v="19228000"/>
    <n v="93"/>
    <n v="1"/>
  </r>
  <r>
    <s v="SKU0025"/>
    <x v="0"/>
    <s v="Computer Accessories"/>
    <s v="Pcs"/>
    <n v="146"/>
    <n v="13"/>
    <n v="36"/>
    <n v="279000"/>
    <s v="D-06-01"/>
    <n v="223"/>
    <n v="190"/>
    <n v="179"/>
    <x v="0"/>
    <n v="49941000"/>
    <n v="181"/>
    <n v="2"/>
  </r>
  <r>
    <s v="SKU0026"/>
    <x v="5"/>
    <s v="Computer Accessories"/>
    <s v="Pcs"/>
    <n v="233"/>
    <n v="43"/>
    <n v="61"/>
    <n v="360000"/>
    <s v="D-05-02"/>
    <n v="132"/>
    <n v="68"/>
    <n v="297"/>
    <x v="0"/>
    <n v="106920000"/>
    <n v="294"/>
    <n v="-3"/>
  </r>
  <r>
    <s v="SKU0027"/>
    <x v="5"/>
    <s v="Computer Accessories"/>
    <s v="Pcs"/>
    <n v="181"/>
    <n v="46"/>
    <n v="62"/>
    <n v="294000"/>
    <s v="D-04-01"/>
    <n v="117"/>
    <n v="38"/>
    <n v="260"/>
    <x v="0"/>
    <n v="76440000"/>
    <n v="261"/>
    <n v="1"/>
  </r>
  <r>
    <s v="SKU0028"/>
    <x v="0"/>
    <s v="Computer Accessories"/>
    <s v="Pcs"/>
    <n v="67"/>
    <n v="9"/>
    <n v="24"/>
    <n v="148000"/>
    <s v="D-08-02"/>
    <n v="344"/>
    <n v="258"/>
    <n v="153"/>
    <x v="0"/>
    <n v="22644000"/>
    <n v="155"/>
    <n v="2"/>
  </r>
  <r>
    <s v="SKU0029"/>
    <x v="2"/>
    <s v="Computer Accessories"/>
    <s v="Pcs"/>
    <n v="66"/>
    <n v="5"/>
    <n v="16"/>
    <n v="481000"/>
    <s v="B-05-02"/>
    <n v="57"/>
    <n v="114"/>
    <n v="9"/>
    <x v="1"/>
    <n v="4329000"/>
    <n v="9"/>
    <n v="0"/>
  </r>
  <r>
    <s v="SKU0030"/>
    <x v="8"/>
    <s v="Computer Accessories"/>
    <s v="Pcs"/>
    <n v="28"/>
    <n v="37"/>
    <n v="49"/>
    <n v="87000"/>
    <s v="E-03-02"/>
    <n v="0"/>
    <n v="251"/>
    <n v="-223"/>
    <x v="2"/>
    <n v="-19401000"/>
    <n v="0"/>
    <n v="0"/>
  </r>
  <r>
    <s v="SKU0031"/>
    <x v="2"/>
    <s v="Computer Accessories"/>
    <s v="Pcs"/>
    <n v="43"/>
    <n v="41"/>
    <n v="64"/>
    <n v="456000"/>
    <s v="B-06-02"/>
    <n v="55"/>
    <n v="234"/>
    <n v="-136"/>
    <x v="2"/>
    <n v="-62016000"/>
    <n v="0"/>
    <n v="0"/>
  </r>
  <r>
    <s v="SKU0032"/>
    <x v="3"/>
    <s v="Computer Accessories"/>
    <s v="Pcs"/>
    <n v="34"/>
    <n v="11"/>
    <n v="37"/>
    <n v="177000"/>
    <s v="C-03-02"/>
    <n v="138"/>
    <n v="73"/>
    <n v="99"/>
    <x v="0"/>
    <n v="17523000"/>
    <n v="97"/>
    <n v="-2"/>
  </r>
  <r>
    <s v="SKU0033"/>
    <x v="3"/>
    <s v="Computer Accessories"/>
    <s v="Pcs"/>
    <n v="231"/>
    <n v="8"/>
    <n v="57"/>
    <n v="319000"/>
    <s v="A-04-02"/>
    <n v="137"/>
    <n v="143"/>
    <n v="225"/>
    <x v="0"/>
    <n v="71775000"/>
    <n v="225"/>
    <n v="0"/>
  </r>
  <r>
    <s v="SKU0034"/>
    <x v="4"/>
    <s v="Computer Accessories"/>
    <s v="Pcs"/>
    <n v="73"/>
    <n v="17"/>
    <n v="28"/>
    <n v="28000"/>
    <s v="C-09-02"/>
    <n v="92"/>
    <n v="101"/>
    <n v="64"/>
    <x v="0"/>
    <n v="1792000"/>
    <n v="64"/>
    <n v="0"/>
  </r>
  <r>
    <s v="SKU0035"/>
    <x v="3"/>
    <s v="Computer Accessories"/>
    <s v="Pcs"/>
    <n v="81"/>
    <n v="34"/>
    <n v="46"/>
    <n v="173000"/>
    <s v="C-09-01"/>
    <n v="193"/>
    <n v="303"/>
    <n v="-29"/>
    <x v="2"/>
    <n v="-5017000"/>
    <n v="0"/>
    <n v="0"/>
  </r>
  <r>
    <s v="SKU0036"/>
    <x v="0"/>
    <s v="Computer Accessories"/>
    <s v="Pcs"/>
    <n v="176"/>
    <n v="39"/>
    <n v="44"/>
    <n v="97000"/>
    <s v="E-09-01"/>
    <n v="30"/>
    <n v="1"/>
    <n v="205"/>
    <x v="0"/>
    <n v="19885000"/>
    <n v="203"/>
    <n v="-2"/>
  </r>
  <r>
    <s v="SKU0037"/>
    <x v="7"/>
    <s v="Computer Accessories"/>
    <s v="Pcs"/>
    <n v="134"/>
    <n v="35"/>
    <n v="46"/>
    <n v="174000"/>
    <s v="A-04-02"/>
    <n v="200"/>
    <n v="140"/>
    <n v="194"/>
    <x v="0"/>
    <n v="33756000"/>
    <n v="194"/>
    <n v="0"/>
  </r>
  <r>
    <s v="SKU0038"/>
    <x v="3"/>
    <s v="Computer Accessories"/>
    <s v="Pcs"/>
    <n v="109"/>
    <n v="21"/>
    <n v="51"/>
    <n v="81000"/>
    <s v="B-09-01"/>
    <n v="116"/>
    <n v="221"/>
    <n v="4"/>
    <x v="3"/>
    <n v="324000"/>
    <n v="1"/>
    <n v="-3"/>
  </r>
  <r>
    <s v="SKU0039"/>
    <x v="1"/>
    <s v="Computer Accessories"/>
    <s v="Pcs"/>
    <n v="193"/>
    <n v="36"/>
    <n v="48"/>
    <n v="104000"/>
    <s v="B-09-02"/>
    <n v="33"/>
    <n v="79"/>
    <n v="147"/>
    <x v="0"/>
    <n v="15288000"/>
    <n v="145"/>
    <n v="-2"/>
  </r>
  <r>
    <s v="SKU0040"/>
    <x v="8"/>
    <s v="Computer Accessories"/>
    <s v="Pcs"/>
    <n v="198"/>
    <n v="39"/>
    <n v="49"/>
    <n v="119000"/>
    <s v="A-04-02"/>
    <n v="36"/>
    <n v="46"/>
    <n v="188"/>
    <x v="0"/>
    <n v="22372000"/>
    <n v="189"/>
    <n v="1"/>
  </r>
  <r>
    <s v="SKU0041"/>
    <x v="6"/>
    <s v="Computer Accessories"/>
    <s v="Pcs"/>
    <n v="138"/>
    <n v="38"/>
    <n v="48"/>
    <n v="147000"/>
    <s v="D-03-02"/>
    <n v="163"/>
    <n v="195"/>
    <n v="106"/>
    <x v="0"/>
    <n v="15582000"/>
    <n v="106"/>
    <n v="0"/>
  </r>
  <r>
    <s v="SKU0042"/>
    <x v="7"/>
    <s v="Computer Accessories"/>
    <s v="Pcs"/>
    <n v="162"/>
    <n v="9"/>
    <n v="40"/>
    <n v="87000"/>
    <s v="C-06-02"/>
    <n v="112"/>
    <n v="43"/>
    <n v="231"/>
    <x v="0"/>
    <n v="20097000"/>
    <n v="230"/>
    <n v="-1"/>
  </r>
  <r>
    <s v="SKU0043"/>
    <x v="6"/>
    <s v="Computer Accessories"/>
    <s v="Pcs"/>
    <n v="158"/>
    <n v="43"/>
    <n v="49"/>
    <n v="88000"/>
    <s v="A-06-01"/>
    <n v="329"/>
    <n v="213"/>
    <n v="274"/>
    <x v="0"/>
    <n v="24112000"/>
    <n v="275"/>
    <n v="1"/>
  </r>
  <r>
    <s v="SKU0044"/>
    <x v="6"/>
    <s v="Computer Accessories"/>
    <s v="Pcs"/>
    <n v="143"/>
    <n v="25"/>
    <n v="38"/>
    <n v="169000"/>
    <s v="E-03-02"/>
    <n v="330"/>
    <n v="81"/>
    <n v="392"/>
    <x v="0"/>
    <n v="66248000"/>
    <n v="390"/>
    <n v="-2"/>
  </r>
  <r>
    <s v="SKU0045"/>
    <x v="2"/>
    <s v="Computer Accessories"/>
    <s v="Pcs"/>
    <n v="111"/>
    <n v="13"/>
    <n v="39"/>
    <n v="315000"/>
    <s v="C-10-01"/>
    <n v="135"/>
    <n v="61"/>
    <n v="185"/>
    <x v="0"/>
    <n v="58275000"/>
    <n v="182"/>
    <n v="-3"/>
  </r>
  <r>
    <s v="SKU0046"/>
    <x v="0"/>
    <s v="Computer Accessories"/>
    <s v="Pcs"/>
    <n v="127"/>
    <n v="44"/>
    <n v="67"/>
    <n v="87000"/>
    <s v="A-05-02"/>
    <n v="64"/>
    <n v="78"/>
    <n v="113"/>
    <x v="0"/>
    <n v="9831000"/>
    <n v="115"/>
    <n v="2"/>
  </r>
  <r>
    <s v="SKU0047"/>
    <x v="2"/>
    <s v="Computer Accessories"/>
    <s v="Pcs"/>
    <n v="77"/>
    <n v="13"/>
    <n v="29"/>
    <n v="439000"/>
    <s v="B-06-02"/>
    <n v="224"/>
    <n v="212"/>
    <n v="89"/>
    <x v="0"/>
    <n v="39071000"/>
    <n v="86"/>
    <n v="-3"/>
  </r>
  <r>
    <s v="SKU0048"/>
    <x v="5"/>
    <s v="Computer Accessories"/>
    <s v="Pcs"/>
    <n v="122"/>
    <n v="39"/>
    <n v="66"/>
    <n v="170000"/>
    <s v="D-10-01"/>
    <n v="166"/>
    <n v="137"/>
    <n v="151"/>
    <x v="0"/>
    <n v="25670000"/>
    <n v="151"/>
    <n v="0"/>
  </r>
  <r>
    <s v="SKU0049"/>
    <x v="8"/>
    <s v="Computer Accessories"/>
    <s v="Pcs"/>
    <n v="219"/>
    <n v="40"/>
    <n v="54"/>
    <n v="130000"/>
    <s v="A-09-02"/>
    <n v="67"/>
    <n v="128"/>
    <n v="158"/>
    <x v="0"/>
    <n v="20540000"/>
    <n v="158"/>
    <n v="0"/>
  </r>
  <r>
    <s v="SKU0050"/>
    <x v="0"/>
    <s v="Computer Accessories"/>
    <s v="Pcs"/>
    <n v="200"/>
    <n v="40"/>
    <n v="50"/>
    <n v="112000"/>
    <s v="B-09-01"/>
    <n v="124"/>
    <n v="60"/>
    <n v="264"/>
    <x v="0"/>
    <n v="29568000"/>
    <n v="264"/>
    <n v="0"/>
  </r>
  <r>
    <s v="SKU0051"/>
    <x v="2"/>
    <s v="Computer Accessories"/>
    <s v="Pcs"/>
    <n v="97"/>
    <n v="18"/>
    <n v="44"/>
    <n v="547000"/>
    <s v="D-03-01"/>
    <n v="25"/>
    <n v="42"/>
    <n v="80"/>
    <x v="0"/>
    <n v="43760000"/>
    <n v="77"/>
    <n v="-3"/>
  </r>
  <r>
    <s v="SKU0052"/>
    <x v="5"/>
    <s v="Computer Accessories"/>
    <s v="Pcs"/>
    <n v="33"/>
    <n v="45"/>
    <n v="63"/>
    <n v="116000"/>
    <s v="A-03-02"/>
    <n v="64"/>
    <n v="209"/>
    <n v="-112"/>
    <x v="2"/>
    <n v="-12992000"/>
    <n v="0"/>
    <n v="0"/>
  </r>
  <r>
    <s v="SKU0053"/>
    <x v="4"/>
    <s v="Computer Accessories"/>
    <s v="Pcs"/>
    <n v="173"/>
    <n v="21"/>
    <n v="43"/>
    <n v="31000"/>
    <s v="D-06-01"/>
    <n v="224"/>
    <n v="114"/>
    <n v="283"/>
    <x v="0"/>
    <n v="8773000"/>
    <n v="283"/>
    <n v="0"/>
  </r>
  <r>
    <s v="SKU0054"/>
    <x v="1"/>
    <s v="Computer Accessories"/>
    <s v="Pcs"/>
    <n v="38"/>
    <n v="9"/>
    <n v="36"/>
    <n v="21000"/>
    <s v="D-05-02"/>
    <n v="179"/>
    <n v="183"/>
    <n v="34"/>
    <x v="1"/>
    <n v="714000"/>
    <n v="33"/>
    <n v="-1"/>
  </r>
  <r>
    <s v="SKU0055"/>
    <x v="4"/>
    <s v="Computer Accessories"/>
    <s v="Pcs"/>
    <n v="151"/>
    <n v="14"/>
    <n v="37"/>
    <n v="89000"/>
    <s v="A-03-02"/>
    <n v="51"/>
    <n v="158"/>
    <n v="44"/>
    <x v="0"/>
    <n v="3916000"/>
    <n v="44"/>
    <n v="0"/>
  </r>
  <r>
    <s v="SKU0056"/>
    <x v="4"/>
    <s v="Computer Accessories"/>
    <s v="Pcs"/>
    <n v="240"/>
    <n v="27"/>
    <n v="60"/>
    <n v="20000"/>
    <s v="E-03-02"/>
    <n v="141"/>
    <n v="135"/>
    <n v="246"/>
    <x v="0"/>
    <n v="4920000"/>
    <n v="246"/>
    <n v="0"/>
  </r>
  <r>
    <s v="SKU0057"/>
    <x v="4"/>
    <s v="Computer Accessories"/>
    <s v="Pcs"/>
    <n v="236"/>
    <n v="31"/>
    <n v="59"/>
    <n v="86000"/>
    <s v="B-06-01"/>
    <n v="294"/>
    <n v="45"/>
    <n v="485"/>
    <x v="0"/>
    <n v="41710000"/>
    <n v="483"/>
    <n v="-2"/>
  </r>
  <r>
    <s v="SKU0058"/>
    <x v="7"/>
    <s v="Computer Accessories"/>
    <s v="Pcs"/>
    <n v="16"/>
    <n v="16"/>
    <n v="44"/>
    <n v="175000"/>
    <s v="C-07-01"/>
    <n v="187"/>
    <n v="101"/>
    <n v="102"/>
    <x v="0"/>
    <n v="17850000"/>
    <n v="105"/>
    <n v="3"/>
  </r>
  <r>
    <s v="SKU0059"/>
    <x v="5"/>
    <s v="Computer Accessories"/>
    <s v="Pcs"/>
    <n v="211"/>
    <n v="49"/>
    <n v="57"/>
    <n v="171000"/>
    <s v="A-03-01"/>
    <n v="369"/>
    <n v="60"/>
    <n v="520"/>
    <x v="0"/>
    <n v="88920000"/>
    <n v="520"/>
    <n v="0"/>
  </r>
  <r>
    <s v="SKU0060"/>
    <x v="2"/>
    <s v="Computer Accessories"/>
    <s v="Pcs"/>
    <n v="219"/>
    <n v="34"/>
    <n v="54"/>
    <n v="282000"/>
    <s v="B-05-02"/>
    <n v="47"/>
    <n v="165"/>
    <n v="101"/>
    <x v="0"/>
    <n v="28482000"/>
    <n v="100"/>
    <n v="-1"/>
  </r>
  <r>
    <s v="SKU0061"/>
    <x v="8"/>
    <s v="Computer Accessories"/>
    <s v="Pcs"/>
    <n v="59"/>
    <n v="30"/>
    <n v="45"/>
    <n v="129000"/>
    <s v="A-05-01"/>
    <n v="59"/>
    <n v="191"/>
    <n v="-73"/>
    <x v="2"/>
    <n v="-9417000"/>
    <n v="0"/>
    <n v="0"/>
  </r>
  <r>
    <s v="SKU0062"/>
    <x v="4"/>
    <s v="Computer Accessories"/>
    <s v="Pcs"/>
    <n v="112"/>
    <n v="48"/>
    <n v="70"/>
    <n v="80000"/>
    <s v="A-02-02"/>
    <n v="94"/>
    <n v="44"/>
    <n v="162"/>
    <x v="0"/>
    <n v="12960000"/>
    <n v="165"/>
    <n v="3"/>
  </r>
  <r>
    <s v="SKU0063"/>
    <x v="5"/>
    <s v="Computer Accessories"/>
    <s v="Pcs"/>
    <n v="158"/>
    <n v="21"/>
    <n v="39"/>
    <n v="181000"/>
    <s v="D-09-01"/>
    <n v="205"/>
    <n v="156"/>
    <n v="207"/>
    <x v="0"/>
    <n v="37467000"/>
    <n v="207"/>
    <n v="0"/>
  </r>
  <r>
    <s v="SKU0064"/>
    <x v="4"/>
    <s v="Computer Accessories"/>
    <s v="Pcs"/>
    <n v="121"/>
    <n v="43"/>
    <n v="64"/>
    <n v="55000"/>
    <s v="C-05-02"/>
    <n v="46"/>
    <n v="94"/>
    <n v="73"/>
    <x v="0"/>
    <n v="4015000"/>
    <n v="76"/>
    <n v="3"/>
  </r>
  <r>
    <s v="SKU0065"/>
    <x v="2"/>
    <s v="Computer Accessories"/>
    <s v="Pcs"/>
    <n v="21"/>
    <n v="50"/>
    <n v="68"/>
    <n v="310000"/>
    <s v="D-04-01"/>
    <n v="49"/>
    <n v="230"/>
    <n v="-160"/>
    <x v="2"/>
    <n v="-49600000"/>
    <n v="0"/>
    <n v="0"/>
  </r>
  <r>
    <s v="SKU0066"/>
    <x v="2"/>
    <s v="Computer Accessories"/>
    <s v="Pcs"/>
    <n v="120"/>
    <n v="9"/>
    <n v="35"/>
    <n v="366000"/>
    <s v="D-10-02"/>
    <n v="181"/>
    <n v="152"/>
    <n v="149"/>
    <x v="0"/>
    <n v="54534000"/>
    <n v="149"/>
    <n v="0"/>
  </r>
  <r>
    <s v="SKU0067"/>
    <x v="0"/>
    <s v="Computer Accessories"/>
    <s v="Pcs"/>
    <n v="240"/>
    <n v="24"/>
    <n v="60"/>
    <n v="269000"/>
    <s v="E-03-02"/>
    <n v="98"/>
    <n v="260"/>
    <n v="78"/>
    <x v="0"/>
    <n v="20982000"/>
    <n v="75"/>
    <n v="-3"/>
  </r>
  <r>
    <s v="SKU0068"/>
    <x v="4"/>
    <s v="Computer Accessories"/>
    <s v="Pcs"/>
    <n v="188"/>
    <n v="23"/>
    <n v="47"/>
    <n v="66000"/>
    <s v="B-03-01"/>
    <n v="63"/>
    <n v="174"/>
    <n v="77"/>
    <x v="0"/>
    <n v="5082000"/>
    <n v="74"/>
    <n v="-3"/>
  </r>
  <r>
    <s v="SKU0069"/>
    <x v="3"/>
    <s v="Computer Accessories"/>
    <s v="Pcs"/>
    <n v="167"/>
    <n v="41"/>
    <n v="55"/>
    <n v="169000"/>
    <s v="D-06-01"/>
    <n v="67"/>
    <n v="138"/>
    <n v="96"/>
    <x v="0"/>
    <n v="16224000"/>
    <n v="96"/>
    <n v="0"/>
  </r>
  <r>
    <s v="SKU0070"/>
    <x v="5"/>
    <s v="Computer Accessories"/>
    <s v="Pcs"/>
    <n v="63"/>
    <n v="32"/>
    <n v="62"/>
    <n v="236000"/>
    <s v="D-09-02"/>
    <n v="151"/>
    <n v="109"/>
    <n v="105"/>
    <x v="0"/>
    <n v="24780000"/>
    <n v="103"/>
    <n v="-2"/>
  </r>
  <r>
    <s v="SKU0071"/>
    <x v="9"/>
    <s v="Computer Accessories"/>
    <s v="Pcs"/>
    <n v="123"/>
    <n v="48"/>
    <n v="59"/>
    <n v="66000"/>
    <s v="D-01-01"/>
    <n v="238"/>
    <n v="83"/>
    <n v="278"/>
    <x v="0"/>
    <n v="18348000"/>
    <n v="279"/>
    <n v="1"/>
  </r>
  <r>
    <s v="SKU0072"/>
    <x v="0"/>
    <s v="Computer Accessories"/>
    <s v="Pcs"/>
    <n v="141"/>
    <n v="47"/>
    <n v="72"/>
    <n v="157000"/>
    <s v="C-02-01"/>
    <n v="173"/>
    <n v="209"/>
    <n v="105"/>
    <x v="0"/>
    <n v="16485000"/>
    <n v="103"/>
    <n v="-2"/>
  </r>
  <r>
    <s v="SKU0073"/>
    <x v="2"/>
    <s v="Computer Accessories"/>
    <s v="Pcs"/>
    <n v="89"/>
    <n v="19"/>
    <n v="49"/>
    <n v="524000"/>
    <s v="A-10-01"/>
    <n v="75"/>
    <n v="205"/>
    <n v="-41"/>
    <x v="2"/>
    <n v="-21484000"/>
    <n v="0"/>
    <n v="0"/>
  </r>
  <r>
    <s v="SKU0074"/>
    <x v="8"/>
    <s v="Computer Accessories"/>
    <s v="Pcs"/>
    <n v="131"/>
    <n v="44"/>
    <n v="73"/>
    <n v="76000"/>
    <s v="C-10-01"/>
    <n v="136"/>
    <n v="121"/>
    <n v="146"/>
    <x v="0"/>
    <n v="11096000"/>
    <n v="146"/>
    <n v="0"/>
  </r>
  <r>
    <s v="SKU0075"/>
    <x v="6"/>
    <s v="Computer Accessories"/>
    <s v="Pcs"/>
    <n v="193"/>
    <n v="49"/>
    <n v="66"/>
    <n v="74000"/>
    <s v="C-06-02"/>
    <n v="194"/>
    <n v="30"/>
    <n v="357"/>
    <x v="0"/>
    <n v="26418000"/>
    <n v="357"/>
    <n v="0"/>
  </r>
  <r>
    <s v="SKU0076"/>
    <x v="7"/>
    <s v="Computer Accessories"/>
    <s v="Pcs"/>
    <n v="186"/>
    <n v="5"/>
    <n v="46"/>
    <n v="237000"/>
    <s v="E-10-02"/>
    <n v="147"/>
    <n v="196"/>
    <n v="137"/>
    <x v="0"/>
    <n v="32469000"/>
    <n v="134"/>
    <n v="-3"/>
  </r>
  <r>
    <s v="SKU0077"/>
    <x v="2"/>
    <s v="Computer Accessories"/>
    <s v="Pcs"/>
    <n v="215"/>
    <n v="49"/>
    <n v="70"/>
    <n v="270000"/>
    <s v="A-04-01"/>
    <n v="142"/>
    <n v="78"/>
    <n v="279"/>
    <x v="0"/>
    <n v="75330000"/>
    <n v="278"/>
    <n v="-1"/>
  </r>
  <r>
    <s v="SKU0078"/>
    <x v="2"/>
    <s v="Computer Accessories"/>
    <s v="Pcs"/>
    <n v="227"/>
    <n v="12"/>
    <n v="56"/>
    <n v="649000"/>
    <s v="C-10-02"/>
    <n v="184"/>
    <n v="44"/>
    <n v="367"/>
    <x v="0"/>
    <n v="238183000"/>
    <n v="365"/>
    <n v="-2"/>
  </r>
  <r>
    <s v="SKU0079"/>
    <x v="1"/>
    <s v="Computer Accessories"/>
    <s v="Pcs"/>
    <n v="91"/>
    <n v="33"/>
    <n v="57"/>
    <n v="96000"/>
    <s v="C-08-01"/>
    <n v="168"/>
    <n v="128"/>
    <n v="131"/>
    <x v="0"/>
    <n v="12576000"/>
    <n v="131"/>
    <n v="0"/>
  </r>
  <r>
    <s v="SKU0080"/>
    <x v="9"/>
    <s v="Computer Accessories"/>
    <s v="Pcs"/>
    <n v="200"/>
    <n v="35"/>
    <n v="54"/>
    <n v="30000"/>
    <s v="E-09-01"/>
    <n v="65"/>
    <n v="87"/>
    <n v="178"/>
    <x v="0"/>
    <n v="5340000"/>
    <n v="176"/>
    <n v="-2"/>
  </r>
  <r>
    <s v="SKU0081"/>
    <x v="5"/>
    <s v="Computer Accessories"/>
    <s v="Pcs"/>
    <n v="209"/>
    <n v="38"/>
    <n v="58"/>
    <n v="482000"/>
    <s v="B-08-02"/>
    <n v="53"/>
    <n v="174"/>
    <n v="88"/>
    <x v="0"/>
    <n v="42416000"/>
    <n v="89"/>
    <n v="1"/>
  </r>
  <r>
    <s v="SKU0082"/>
    <x v="0"/>
    <s v="Computer Accessories"/>
    <s v="Pcs"/>
    <n v="83"/>
    <n v="20"/>
    <n v="33"/>
    <n v="267000"/>
    <s v="C-01-01"/>
    <n v="91"/>
    <n v="120"/>
    <n v="54"/>
    <x v="0"/>
    <n v="14418000"/>
    <n v="56"/>
    <n v="2"/>
  </r>
  <r>
    <s v="SKU0083"/>
    <x v="0"/>
    <s v="Computer Accessories"/>
    <s v="Pcs"/>
    <n v="48"/>
    <n v="19"/>
    <n v="36"/>
    <n v="120000"/>
    <s v="E-06-01"/>
    <n v="32"/>
    <n v="113"/>
    <n v="-33"/>
    <x v="2"/>
    <n v="-3960000"/>
    <n v="0"/>
    <n v="0"/>
  </r>
  <r>
    <s v="SKU0084"/>
    <x v="0"/>
    <s v="Computer Accessories"/>
    <s v="Pcs"/>
    <n v="114"/>
    <n v="26"/>
    <n v="48"/>
    <n v="191000"/>
    <s v="C-07-02"/>
    <n v="50"/>
    <n v="154"/>
    <n v="10"/>
    <x v="3"/>
    <n v="1910000"/>
    <n v="13"/>
    <n v="3"/>
  </r>
  <r>
    <s v="SKU0085"/>
    <x v="2"/>
    <s v="Computer Accessories"/>
    <s v="Pcs"/>
    <n v="117"/>
    <n v="29"/>
    <n v="58"/>
    <n v="606000"/>
    <s v="E-05-02"/>
    <n v="66"/>
    <n v="99"/>
    <n v="84"/>
    <x v="0"/>
    <n v="50904000"/>
    <n v="85"/>
    <n v="1"/>
  </r>
  <r>
    <s v="SKU0086"/>
    <x v="6"/>
    <s v="Computer Accessories"/>
    <s v="Pcs"/>
    <n v="132"/>
    <n v="5"/>
    <n v="33"/>
    <n v="122000"/>
    <s v="E-09-01"/>
    <n v="190"/>
    <n v="118"/>
    <n v="204"/>
    <x v="0"/>
    <n v="24888000"/>
    <n v="204"/>
    <n v="0"/>
  </r>
  <r>
    <s v="SKU0087"/>
    <x v="3"/>
    <s v="Computer Accessories"/>
    <s v="Pcs"/>
    <n v="134"/>
    <n v="19"/>
    <n v="33"/>
    <n v="192000"/>
    <s v="D-02-01"/>
    <n v="93"/>
    <n v="187"/>
    <n v="40"/>
    <x v="0"/>
    <n v="7680000"/>
    <n v="41"/>
    <n v="1"/>
  </r>
  <r>
    <s v="SKU0088"/>
    <x v="3"/>
    <s v="Computer Accessories"/>
    <s v="Pcs"/>
    <n v="181"/>
    <n v="48"/>
    <n v="78"/>
    <n v="252000"/>
    <s v="E-07-01"/>
    <n v="226"/>
    <n v="92"/>
    <n v="315"/>
    <x v="0"/>
    <n v="79380000"/>
    <n v="315"/>
    <n v="0"/>
  </r>
  <r>
    <s v="SKU0089"/>
    <x v="9"/>
    <s v="Computer Accessories"/>
    <s v="Pcs"/>
    <n v="169"/>
    <n v="39"/>
    <n v="44"/>
    <n v="26000"/>
    <s v="D-08-02"/>
    <n v="179"/>
    <n v="138"/>
    <n v="210"/>
    <x v="0"/>
    <n v="5460000"/>
    <n v="210"/>
    <n v="0"/>
  </r>
  <r>
    <s v="SKU0090"/>
    <x v="8"/>
    <s v="Computer Accessories"/>
    <s v="Pcs"/>
    <n v="174"/>
    <n v="32"/>
    <n v="43"/>
    <n v="55000"/>
    <s v="B-02-02"/>
    <n v="101"/>
    <n v="55"/>
    <n v="220"/>
    <x v="0"/>
    <n v="12100000"/>
    <n v="220"/>
    <n v="0"/>
  </r>
  <r>
    <s v="SKU0091"/>
    <x v="5"/>
    <s v="Computer Accessories"/>
    <s v="Pcs"/>
    <n v="93"/>
    <n v="18"/>
    <n v="37"/>
    <n v="284000"/>
    <s v="C-02-02"/>
    <n v="81"/>
    <n v="74"/>
    <n v="100"/>
    <x v="0"/>
    <n v="28400000"/>
    <n v="100"/>
    <n v="0"/>
  </r>
  <r>
    <s v="SKU0092"/>
    <x v="5"/>
    <s v="Computer Accessories"/>
    <s v="Pcs"/>
    <n v="222"/>
    <n v="31"/>
    <n v="55"/>
    <n v="475000"/>
    <s v="D-01-01"/>
    <n v="154"/>
    <n v="140"/>
    <n v="236"/>
    <x v="0"/>
    <n v="112100000"/>
    <n v="236"/>
    <n v="0"/>
  </r>
  <r>
    <s v="SKU0093"/>
    <x v="1"/>
    <s v="Computer Accessories"/>
    <s v="Pcs"/>
    <n v="99"/>
    <n v="19"/>
    <n v="44"/>
    <n v="26000"/>
    <s v="E-10-02"/>
    <n v="228"/>
    <n v="90"/>
    <n v="237"/>
    <x v="0"/>
    <n v="6162000"/>
    <n v="240"/>
    <n v="3"/>
  </r>
  <r>
    <s v="SKU0094"/>
    <x v="8"/>
    <s v="Computer Accessories"/>
    <s v="Pcs"/>
    <n v="61"/>
    <n v="6"/>
    <n v="30"/>
    <n v="76000"/>
    <s v="B-06-01"/>
    <n v="60"/>
    <n v="127"/>
    <n v="-6"/>
    <x v="2"/>
    <n v="-456000"/>
    <n v="0"/>
    <n v="0"/>
  </r>
  <r>
    <s v="SKU0095"/>
    <x v="9"/>
    <s v="Computer Accessories"/>
    <s v="Pcs"/>
    <n v="154"/>
    <n v="18"/>
    <n v="38"/>
    <n v="24000"/>
    <s v="E-10-01"/>
    <n v="262"/>
    <n v="156"/>
    <n v="260"/>
    <x v="0"/>
    <n v="6240000"/>
    <n v="258"/>
    <n v="-2"/>
  </r>
  <r>
    <s v="SKU0096"/>
    <x v="7"/>
    <s v="Computer Accessories"/>
    <s v="Pcs"/>
    <n v="165"/>
    <n v="50"/>
    <n v="58"/>
    <n v="225000"/>
    <s v="B-10-02"/>
    <n v="136"/>
    <n v="156"/>
    <n v="145"/>
    <x v="0"/>
    <n v="32625000"/>
    <n v="142"/>
    <n v="-3"/>
  </r>
  <r>
    <s v="SKU0097"/>
    <x v="6"/>
    <s v="Computer Accessories"/>
    <s v="Pcs"/>
    <n v="247"/>
    <n v="24"/>
    <n v="61"/>
    <n v="31000"/>
    <s v="C-06-01"/>
    <n v="158"/>
    <n v="161"/>
    <n v="244"/>
    <x v="0"/>
    <n v="7564000"/>
    <n v="244"/>
    <n v="0"/>
  </r>
  <r>
    <s v="SKU0098"/>
    <x v="0"/>
    <s v="Computer Accessories"/>
    <s v="Pcs"/>
    <n v="186"/>
    <n v="45"/>
    <n v="57"/>
    <n v="236000"/>
    <s v="E-05-02"/>
    <n v="143"/>
    <n v="39"/>
    <n v="290"/>
    <x v="0"/>
    <n v="68440000"/>
    <n v="287"/>
    <n v="-3"/>
  </r>
  <r>
    <s v="SKU0099"/>
    <x v="6"/>
    <s v="Computer Accessories"/>
    <s v="Pcs"/>
    <n v="213"/>
    <n v="41"/>
    <n v="71"/>
    <n v="55000"/>
    <s v="C-03-01"/>
    <n v="56"/>
    <n v="171"/>
    <n v="98"/>
    <x v="0"/>
    <n v="5390000"/>
    <n v="96"/>
    <n v="-2"/>
  </r>
  <r>
    <s v="SKU0100"/>
    <x v="3"/>
    <s v="Computer Accessories"/>
    <s v="Pcs"/>
    <n v="27"/>
    <n v="37"/>
    <n v="62"/>
    <n v="269000"/>
    <s v="A-01-02"/>
    <n v="208"/>
    <n v="164"/>
    <n v="71"/>
    <x v="0"/>
    <n v="19099000"/>
    <n v="71"/>
    <n v="0"/>
  </r>
  <r>
    <s v="SKU0101"/>
    <x v="10"/>
    <s v="Computer Hardware"/>
    <s v="Pcs"/>
    <n v="120"/>
    <n v="28"/>
    <n v="53"/>
    <n v="4229000"/>
    <s v="E-06-01"/>
    <n v="83"/>
    <n v="81"/>
    <n v="122"/>
    <x v="0"/>
    <n v="515938000"/>
    <n v="124"/>
    <n v="2"/>
  </r>
  <r>
    <s v="SKU0102"/>
    <x v="11"/>
    <s v="Computer Hardware"/>
    <s v="Pcs"/>
    <n v="197"/>
    <n v="38"/>
    <n v="63"/>
    <n v="2642000"/>
    <s v="D-10-01"/>
    <n v="144"/>
    <n v="155"/>
    <n v="186"/>
    <x v="0"/>
    <n v="491412000"/>
    <n v="187"/>
    <n v="1"/>
  </r>
  <r>
    <s v="SKU0103"/>
    <x v="10"/>
    <s v="Computer Hardware"/>
    <s v="Pcs"/>
    <n v="121"/>
    <n v="42"/>
    <n v="55"/>
    <n v="10116000"/>
    <s v="B-06-02"/>
    <n v="128"/>
    <n v="106"/>
    <n v="143"/>
    <x v="0"/>
    <n v="1446588000"/>
    <n v="143"/>
    <n v="0"/>
  </r>
  <r>
    <s v="SKU0104"/>
    <x v="12"/>
    <s v="Computer Hardware"/>
    <s v="Pcs"/>
    <n v="72"/>
    <n v="34"/>
    <n v="57"/>
    <n v="761000"/>
    <s v="E-03-02"/>
    <n v="0"/>
    <n v="29"/>
    <n v="43"/>
    <x v="1"/>
    <n v="32723000"/>
    <n v="42"/>
    <n v="-1"/>
  </r>
  <r>
    <s v="SKU0105"/>
    <x v="13"/>
    <s v="Computer Hardware"/>
    <s v="Pcs"/>
    <n v="136"/>
    <n v="25"/>
    <n v="35"/>
    <n v="908000"/>
    <s v="B-04-02"/>
    <n v="98"/>
    <n v="128"/>
    <n v="106"/>
    <x v="0"/>
    <n v="96248000"/>
    <n v="108"/>
    <n v="2"/>
  </r>
  <r>
    <s v="SKU0106"/>
    <x v="12"/>
    <s v="Computer Hardware"/>
    <s v="Pcs"/>
    <n v="81"/>
    <n v="43"/>
    <n v="70"/>
    <n v="648000"/>
    <s v="D-06-02"/>
    <n v="50"/>
    <n v="61"/>
    <n v="70"/>
    <x v="1"/>
    <n v="45360000"/>
    <n v="73"/>
    <n v="3"/>
  </r>
  <r>
    <s v="SKU0107"/>
    <x v="14"/>
    <s v="Computer Hardware"/>
    <s v="Pcs"/>
    <n v="58"/>
    <n v="10"/>
    <n v="22"/>
    <n v="1150000"/>
    <s v="D-02-01"/>
    <n v="109"/>
    <n v="112"/>
    <n v="55"/>
    <x v="0"/>
    <n v="63250000"/>
    <n v="56"/>
    <n v="1"/>
  </r>
  <r>
    <s v="SKU0108"/>
    <x v="15"/>
    <s v="Computer Hardware"/>
    <s v="Pcs"/>
    <n v="131"/>
    <n v="46"/>
    <n v="73"/>
    <n v="803000"/>
    <s v="C-09-02"/>
    <n v="142"/>
    <n v="191"/>
    <n v="82"/>
    <x v="0"/>
    <n v="65846000"/>
    <n v="80"/>
    <n v="-2"/>
  </r>
  <r>
    <s v="SKU0109"/>
    <x v="16"/>
    <s v="Computer Hardware"/>
    <s v="Pcs"/>
    <n v="66"/>
    <n v="30"/>
    <n v="57"/>
    <n v="851000"/>
    <s v="B-10-02"/>
    <n v="362"/>
    <n v="71"/>
    <n v="357"/>
    <x v="0"/>
    <n v="303807000"/>
    <n v="357"/>
    <n v="0"/>
  </r>
  <r>
    <s v="SKU0110"/>
    <x v="13"/>
    <s v="Computer Hardware"/>
    <s v="Pcs"/>
    <n v="151"/>
    <n v="38"/>
    <n v="54"/>
    <n v="1819000"/>
    <s v="E-08-02"/>
    <n v="157"/>
    <n v="161"/>
    <n v="147"/>
    <x v="0"/>
    <n v="267393000"/>
    <n v="149"/>
    <n v="2"/>
  </r>
  <r>
    <s v="SKU0111"/>
    <x v="13"/>
    <s v="Computer Hardware"/>
    <s v="Pcs"/>
    <n v="189"/>
    <n v="34"/>
    <n v="47"/>
    <n v="1570000"/>
    <s v="B-07-01"/>
    <n v="188"/>
    <n v="105"/>
    <n v="272"/>
    <x v="0"/>
    <n v="427040000"/>
    <n v="272"/>
    <n v="0"/>
  </r>
  <r>
    <s v="SKU0112"/>
    <x v="16"/>
    <s v="Computer Hardware"/>
    <s v="Pcs"/>
    <n v="90"/>
    <n v="12"/>
    <n v="40"/>
    <n v="747000"/>
    <s v="E-09-02"/>
    <n v="133"/>
    <n v="83"/>
    <n v="140"/>
    <x v="0"/>
    <n v="104580000"/>
    <n v="143"/>
    <n v="3"/>
  </r>
  <r>
    <s v="SKU0113"/>
    <x v="15"/>
    <s v="Computer Hardware"/>
    <s v="Pcs"/>
    <n v="199"/>
    <n v="35"/>
    <n v="49"/>
    <n v="560000"/>
    <s v="E-09-02"/>
    <n v="145"/>
    <n v="141"/>
    <n v="203"/>
    <x v="0"/>
    <n v="113680000"/>
    <n v="203"/>
    <n v="0"/>
  </r>
  <r>
    <s v="SKU0114"/>
    <x v="17"/>
    <s v="Computer Hardware"/>
    <s v="Pcs"/>
    <n v="35"/>
    <n v="17"/>
    <n v="31"/>
    <n v="929000"/>
    <s v="C-04-01"/>
    <n v="84"/>
    <n v="95"/>
    <n v="24"/>
    <x v="1"/>
    <n v="22296000"/>
    <n v="24"/>
    <n v="0"/>
  </r>
  <r>
    <s v="SKU0115"/>
    <x v="12"/>
    <s v="Computer Hardware"/>
    <s v="Pcs"/>
    <n v="191"/>
    <n v="39"/>
    <n v="48"/>
    <n v="314000"/>
    <s v="A-03-02"/>
    <n v="99"/>
    <n v="205"/>
    <n v="85"/>
    <x v="0"/>
    <n v="26690000"/>
    <n v="83"/>
    <n v="-2"/>
  </r>
  <r>
    <s v="SKU0116"/>
    <x v="14"/>
    <s v="Computer Hardware"/>
    <s v="Pcs"/>
    <n v="188"/>
    <n v="13"/>
    <n v="47"/>
    <n v="479000"/>
    <s v="A-07-02"/>
    <n v="105"/>
    <n v="311"/>
    <n v="-18"/>
    <x v="2"/>
    <n v="-8622000"/>
    <n v="0"/>
    <n v="0"/>
  </r>
  <r>
    <s v="SKU0117"/>
    <x v="17"/>
    <s v="Computer Hardware"/>
    <s v="Pcs"/>
    <n v="130"/>
    <n v="35"/>
    <n v="54"/>
    <n v="932000"/>
    <s v="B-02-02"/>
    <n v="0"/>
    <n v="138"/>
    <n v="-8"/>
    <x v="2"/>
    <n v="-7456000"/>
    <n v="0"/>
    <n v="0"/>
  </r>
  <r>
    <s v="SKU0118"/>
    <x v="12"/>
    <s v="Computer Hardware"/>
    <s v="Pcs"/>
    <n v="39"/>
    <n v="9"/>
    <n v="26"/>
    <n v="789000"/>
    <s v="A-05-02"/>
    <n v="125"/>
    <n v="114"/>
    <n v="50"/>
    <x v="0"/>
    <n v="39450000"/>
    <n v="48"/>
    <n v="-2"/>
  </r>
  <r>
    <s v="SKU0119"/>
    <x v="18"/>
    <s v="Computer Hardware"/>
    <s v="Pcs"/>
    <n v="48"/>
    <n v="41"/>
    <n v="55"/>
    <n v="427000"/>
    <s v="B-06-02"/>
    <n v="111"/>
    <n v="106"/>
    <n v="53"/>
    <x v="1"/>
    <n v="22631000"/>
    <n v="55"/>
    <n v="2"/>
  </r>
  <r>
    <s v="SKU0120"/>
    <x v="14"/>
    <s v="Computer Hardware"/>
    <s v="Pcs"/>
    <n v="116"/>
    <n v="43"/>
    <n v="67"/>
    <n v="962000"/>
    <s v="B-05-01"/>
    <n v="65"/>
    <n v="193"/>
    <n v="-12"/>
    <x v="2"/>
    <n v="-11544000"/>
    <n v="0"/>
    <n v="0"/>
  </r>
  <r>
    <s v="SKU0121"/>
    <x v="11"/>
    <s v="Computer Hardware"/>
    <s v="Pcs"/>
    <n v="242"/>
    <n v="33"/>
    <n v="60"/>
    <n v="4890000"/>
    <s v="C-08-01"/>
    <n v="167"/>
    <n v="286"/>
    <n v="123"/>
    <x v="0"/>
    <n v="601470000"/>
    <n v="123"/>
    <n v="0"/>
  </r>
  <r>
    <s v="SKU0122"/>
    <x v="17"/>
    <s v="Computer Hardware"/>
    <s v="Pcs"/>
    <n v="25"/>
    <n v="44"/>
    <n v="72"/>
    <n v="1621000"/>
    <s v="E-09-02"/>
    <n v="141"/>
    <n v="64"/>
    <n v="102"/>
    <x v="0"/>
    <n v="165342000"/>
    <n v="100"/>
    <n v="-2"/>
  </r>
  <r>
    <s v="SKU0123"/>
    <x v="15"/>
    <s v="Computer Hardware"/>
    <s v="Pcs"/>
    <n v="179"/>
    <n v="10"/>
    <n v="44"/>
    <n v="585000"/>
    <s v="B-02-01"/>
    <n v="69"/>
    <n v="0"/>
    <n v="248"/>
    <x v="0"/>
    <n v="145080000"/>
    <n v="247"/>
    <n v="-1"/>
  </r>
  <r>
    <s v="SKU0124"/>
    <x v="16"/>
    <s v="Computer Hardware"/>
    <s v="Pcs"/>
    <n v="10"/>
    <n v="31"/>
    <n v="50"/>
    <n v="710000"/>
    <s v="D-01-01"/>
    <n v="39"/>
    <n v="25"/>
    <n v="24"/>
    <x v="3"/>
    <n v="17040000"/>
    <n v="24"/>
    <n v="0"/>
  </r>
  <r>
    <s v="SKU0125"/>
    <x v="18"/>
    <s v="Computer Hardware"/>
    <s v="Pcs"/>
    <n v="83"/>
    <n v="50"/>
    <n v="64"/>
    <n v="468000"/>
    <s v="A-05-02"/>
    <n v="45"/>
    <n v="74"/>
    <n v="54"/>
    <x v="1"/>
    <n v="25272000"/>
    <n v="54"/>
    <n v="0"/>
  </r>
  <r>
    <s v="SKU0126"/>
    <x v="12"/>
    <s v="Computer Hardware"/>
    <s v="Pcs"/>
    <n v="118"/>
    <n v="12"/>
    <n v="34"/>
    <n v="502000"/>
    <s v="E-02-01"/>
    <n v="48"/>
    <n v="292"/>
    <n v="-126"/>
    <x v="2"/>
    <n v="-63252000"/>
    <n v="0"/>
    <n v="0"/>
  </r>
  <r>
    <s v="SKU0127"/>
    <x v="12"/>
    <s v="Computer Hardware"/>
    <s v="Pcs"/>
    <n v="28"/>
    <n v="8"/>
    <n v="18"/>
    <n v="445000"/>
    <s v="D-09-01"/>
    <n v="236"/>
    <n v="32"/>
    <n v="232"/>
    <x v="0"/>
    <n v="103240000"/>
    <n v="235"/>
    <n v="3"/>
  </r>
  <r>
    <s v="SKU0128"/>
    <x v="12"/>
    <s v="Computer Hardware"/>
    <s v="Pcs"/>
    <n v="41"/>
    <n v="34"/>
    <n v="61"/>
    <n v="749000"/>
    <s v="E-05-02"/>
    <n v="50"/>
    <n v="239"/>
    <n v="-148"/>
    <x v="2"/>
    <n v="-110852000"/>
    <n v="0"/>
    <n v="0"/>
  </r>
  <r>
    <s v="SKU0129"/>
    <x v="12"/>
    <s v="Computer Hardware"/>
    <s v="Pcs"/>
    <n v="148"/>
    <n v="36"/>
    <n v="55"/>
    <n v="812000"/>
    <s v="D-09-01"/>
    <n v="111"/>
    <n v="59"/>
    <n v="200"/>
    <x v="0"/>
    <n v="162400000"/>
    <n v="200"/>
    <n v="0"/>
  </r>
  <r>
    <s v="SKU0130"/>
    <x v="11"/>
    <s v="Computer Hardware"/>
    <s v="Pcs"/>
    <n v="164"/>
    <n v="21"/>
    <n v="41"/>
    <n v="3840000"/>
    <s v="B-05-02"/>
    <n v="310"/>
    <n v="36"/>
    <n v="438"/>
    <x v="0"/>
    <n v="1681920000"/>
    <n v="438"/>
    <n v="0"/>
  </r>
  <r>
    <s v="SKU0131"/>
    <x v="17"/>
    <s v="Computer Hardware"/>
    <s v="Pcs"/>
    <n v="205"/>
    <n v="48"/>
    <n v="61"/>
    <n v="392000"/>
    <s v="A-03-02"/>
    <n v="42"/>
    <n v="109"/>
    <n v="138"/>
    <x v="0"/>
    <n v="54096000"/>
    <n v="138"/>
    <n v="0"/>
  </r>
  <r>
    <s v="SKU0132"/>
    <x v="10"/>
    <s v="Computer Hardware"/>
    <s v="Pcs"/>
    <n v="176"/>
    <n v="33"/>
    <n v="46"/>
    <n v="11002000"/>
    <s v="D-08-01"/>
    <n v="70"/>
    <n v="96"/>
    <n v="150"/>
    <x v="0"/>
    <n v="1650300000"/>
    <n v="149"/>
    <n v="-1"/>
  </r>
  <r>
    <s v="SKU0133"/>
    <x v="10"/>
    <s v="Computer Hardware"/>
    <s v="Pcs"/>
    <n v="130"/>
    <n v="27"/>
    <n v="45"/>
    <n v="3994000"/>
    <s v="C-01-02"/>
    <n v="103"/>
    <n v="275"/>
    <n v="-42"/>
    <x v="2"/>
    <n v="-167748000"/>
    <n v="0"/>
    <n v="0"/>
  </r>
  <r>
    <s v="SKU0134"/>
    <x v="19"/>
    <s v="Computer Hardware"/>
    <s v="Pcs"/>
    <n v="115"/>
    <n v="49"/>
    <n v="69"/>
    <n v="418000"/>
    <s v="E-03-01"/>
    <n v="172"/>
    <n v="163"/>
    <n v="124"/>
    <x v="0"/>
    <n v="51832000"/>
    <n v="121"/>
    <n v="-3"/>
  </r>
  <r>
    <s v="SKU0135"/>
    <x v="14"/>
    <s v="Computer Hardware"/>
    <s v="Pcs"/>
    <n v="126"/>
    <n v="10"/>
    <n v="31"/>
    <n v="217000"/>
    <s v="C-01-02"/>
    <n v="144"/>
    <n v="112"/>
    <n v="158"/>
    <x v="0"/>
    <n v="34286000"/>
    <n v="160"/>
    <n v="2"/>
  </r>
  <r>
    <s v="SKU0136"/>
    <x v="11"/>
    <s v="Computer Hardware"/>
    <s v="Pcs"/>
    <n v="221"/>
    <n v="5"/>
    <n v="55"/>
    <n v="5415000"/>
    <s v="C-10-02"/>
    <n v="56"/>
    <n v="131"/>
    <n v="146"/>
    <x v="0"/>
    <n v="790590000"/>
    <n v="145"/>
    <n v="-1"/>
  </r>
  <r>
    <s v="SKU0137"/>
    <x v="18"/>
    <s v="Computer Hardware"/>
    <s v="Pcs"/>
    <n v="142"/>
    <n v="28"/>
    <n v="52"/>
    <n v="446000"/>
    <s v="E-01-01"/>
    <n v="137"/>
    <n v="113"/>
    <n v="166"/>
    <x v="0"/>
    <n v="74036000"/>
    <n v="166"/>
    <n v="0"/>
  </r>
  <r>
    <s v="SKU0138"/>
    <x v="18"/>
    <s v="Computer Hardware"/>
    <s v="Pcs"/>
    <n v="78"/>
    <n v="40"/>
    <n v="49"/>
    <n v="454000"/>
    <s v="C-09-01"/>
    <n v="103"/>
    <n v="139"/>
    <n v="42"/>
    <x v="1"/>
    <n v="19068000"/>
    <n v="43"/>
    <n v="1"/>
  </r>
  <r>
    <s v="SKU0139"/>
    <x v="16"/>
    <s v="Computer Hardware"/>
    <s v="Pcs"/>
    <n v="171"/>
    <n v="43"/>
    <n v="73"/>
    <n v="579000"/>
    <s v="E-06-01"/>
    <n v="83"/>
    <n v="115"/>
    <n v="139"/>
    <x v="0"/>
    <n v="80481000"/>
    <n v="136"/>
    <n v="-3"/>
  </r>
  <r>
    <s v="SKU0140"/>
    <x v="12"/>
    <s v="Computer Hardware"/>
    <s v="Pcs"/>
    <n v="13"/>
    <n v="40"/>
    <n v="58"/>
    <n v="864000"/>
    <s v="B-05-01"/>
    <n v="42"/>
    <n v="98"/>
    <n v="-43"/>
    <x v="2"/>
    <n v="-37152000"/>
    <n v="0"/>
    <n v="0"/>
  </r>
  <r>
    <s v="SKU0141"/>
    <x v="10"/>
    <s v="Computer Hardware"/>
    <s v="Pcs"/>
    <n v="175"/>
    <n v="14"/>
    <n v="43"/>
    <n v="4424000"/>
    <s v="D-03-02"/>
    <n v="30"/>
    <n v="191"/>
    <n v="14"/>
    <x v="3"/>
    <n v="61936000"/>
    <n v="14"/>
    <n v="0"/>
  </r>
  <r>
    <s v="SKU0142"/>
    <x v="11"/>
    <s v="Computer Hardware"/>
    <s v="Pcs"/>
    <n v="130"/>
    <n v="20"/>
    <n v="39"/>
    <n v="5152000"/>
    <s v="A-10-01"/>
    <n v="64"/>
    <n v="71"/>
    <n v="123"/>
    <x v="0"/>
    <n v="633696000"/>
    <n v="123"/>
    <n v="0"/>
  </r>
  <r>
    <s v="SKU0143"/>
    <x v="15"/>
    <s v="Computer Hardware"/>
    <s v="Pcs"/>
    <n v="163"/>
    <n v="37"/>
    <n v="65"/>
    <n v="921000"/>
    <s v="A-05-01"/>
    <n v="6"/>
    <n v="311"/>
    <n v="-142"/>
    <x v="2"/>
    <n v="-130782000"/>
    <n v="0"/>
    <n v="0"/>
  </r>
  <r>
    <s v="SKU0144"/>
    <x v="11"/>
    <s v="Computer Hardware"/>
    <s v="Pcs"/>
    <n v="249"/>
    <n v="37"/>
    <n v="62"/>
    <n v="3984000"/>
    <s v="B-09-01"/>
    <n v="42"/>
    <n v="154"/>
    <n v="137"/>
    <x v="0"/>
    <n v="545808000"/>
    <n v="137"/>
    <n v="0"/>
  </r>
  <r>
    <s v="SKU0145"/>
    <x v="17"/>
    <s v="Computer Hardware"/>
    <s v="Pcs"/>
    <n v="178"/>
    <n v="36"/>
    <n v="45"/>
    <n v="1537000"/>
    <s v="D-05-01"/>
    <n v="24"/>
    <n v="91"/>
    <n v="111"/>
    <x v="0"/>
    <n v="170607000"/>
    <n v="111"/>
    <n v="0"/>
  </r>
  <r>
    <s v="SKU0146"/>
    <x v="13"/>
    <s v="Computer Hardware"/>
    <s v="Pcs"/>
    <n v="151"/>
    <n v="39"/>
    <n v="56"/>
    <n v="1530000"/>
    <s v="C-01-02"/>
    <n v="283"/>
    <n v="157"/>
    <n v="277"/>
    <x v="0"/>
    <n v="423810000"/>
    <n v="278"/>
    <n v="1"/>
  </r>
  <r>
    <s v="SKU0147"/>
    <x v="15"/>
    <s v="Computer Hardware"/>
    <s v="Pcs"/>
    <n v="108"/>
    <n v="19"/>
    <n v="48"/>
    <n v="742000"/>
    <s v="A-03-02"/>
    <n v="44"/>
    <n v="69"/>
    <n v="83"/>
    <x v="0"/>
    <n v="61586000"/>
    <n v="85"/>
    <n v="2"/>
  </r>
  <r>
    <s v="SKU0148"/>
    <x v="10"/>
    <s v="Computer Hardware"/>
    <s v="Pcs"/>
    <n v="108"/>
    <n v="47"/>
    <n v="77"/>
    <n v="8746000"/>
    <s v="D-02-02"/>
    <n v="106"/>
    <n v="60"/>
    <n v="154"/>
    <x v="0"/>
    <n v="1346884000"/>
    <n v="156"/>
    <n v="2"/>
  </r>
  <r>
    <s v="SKU0149"/>
    <x v="19"/>
    <s v="Computer Hardware"/>
    <s v="Pcs"/>
    <n v="161"/>
    <n v="26"/>
    <n v="40"/>
    <n v="507000"/>
    <s v="A-07-01"/>
    <n v="173"/>
    <n v="9"/>
    <n v="325"/>
    <x v="0"/>
    <n v="164775000"/>
    <n v="324"/>
    <n v="-1"/>
  </r>
  <r>
    <s v="SKU0150"/>
    <x v="10"/>
    <s v="Computer Hardware"/>
    <s v="Pcs"/>
    <n v="194"/>
    <n v="14"/>
    <n v="48"/>
    <n v="2751000"/>
    <s v="A-05-02"/>
    <n v="114"/>
    <n v="109"/>
    <n v="199"/>
    <x v="0"/>
    <n v="547449000"/>
    <n v="196"/>
    <n v="-3"/>
  </r>
  <r>
    <s v="SKU0151"/>
    <x v="12"/>
    <s v="Computer Hardware"/>
    <s v="Pcs"/>
    <n v="169"/>
    <n v="49"/>
    <n v="66"/>
    <n v="646000"/>
    <s v="C-02-01"/>
    <n v="100"/>
    <n v="95"/>
    <n v="174"/>
    <x v="0"/>
    <n v="112404000"/>
    <n v="174"/>
    <n v="0"/>
  </r>
  <r>
    <s v="SKU0152"/>
    <x v="11"/>
    <s v="Computer Hardware"/>
    <s v="Pcs"/>
    <n v="170"/>
    <n v="50"/>
    <n v="79"/>
    <n v="3794000"/>
    <s v="D-05-02"/>
    <n v="89"/>
    <n v="10"/>
    <n v="249"/>
    <x v="0"/>
    <n v="944706000"/>
    <n v="247"/>
    <n v="-2"/>
  </r>
  <r>
    <s v="SKU0153"/>
    <x v="17"/>
    <s v="Computer Hardware"/>
    <s v="Pcs"/>
    <n v="70"/>
    <n v="45"/>
    <n v="71"/>
    <n v="490000"/>
    <s v="B-05-02"/>
    <n v="70"/>
    <n v="75"/>
    <n v="65"/>
    <x v="1"/>
    <n v="31850000"/>
    <n v="67"/>
    <n v="2"/>
  </r>
  <r>
    <s v="SKU0154"/>
    <x v="11"/>
    <s v="Computer Hardware"/>
    <s v="Pcs"/>
    <n v="204"/>
    <n v="45"/>
    <n v="72"/>
    <n v="2006000"/>
    <s v="C-09-01"/>
    <n v="251"/>
    <n v="91"/>
    <n v="364"/>
    <x v="0"/>
    <n v="730184000"/>
    <n v="362"/>
    <n v="-2"/>
  </r>
  <r>
    <s v="SKU0155"/>
    <x v="12"/>
    <s v="Computer Hardware"/>
    <s v="Pcs"/>
    <n v="21"/>
    <n v="25"/>
    <n v="55"/>
    <n v="329000"/>
    <s v="B-09-02"/>
    <n v="200"/>
    <n v="28"/>
    <n v="193"/>
    <x v="0"/>
    <n v="63497000"/>
    <n v="190"/>
    <n v="-3"/>
  </r>
  <r>
    <s v="SKU0156"/>
    <x v="13"/>
    <s v="Computer Hardware"/>
    <s v="Pcs"/>
    <n v="47"/>
    <n v="20"/>
    <n v="41"/>
    <n v="1732000"/>
    <s v="D-07-01"/>
    <n v="105"/>
    <n v="101"/>
    <n v="51"/>
    <x v="0"/>
    <n v="88332000"/>
    <n v="53"/>
    <n v="2"/>
  </r>
  <r>
    <s v="SKU0157"/>
    <x v="19"/>
    <s v="Computer Hardware"/>
    <s v="Pcs"/>
    <n v="30"/>
    <n v="44"/>
    <n v="61"/>
    <n v="339000"/>
    <s v="E-04-02"/>
    <n v="162"/>
    <n v="250"/>
    <n v="-58"/>
    <x v="2"/>
    <n v="-19662000"/>
    <n v="0"/>
    <n v="0"/>
  </r>
  <r>
    <s v="SKU0158"/>
    <x v="10"/>
    <s v="Computer Hardware"/>
    <s v="Pcs"/>
    <n v="46"/>
    <n v="19"/>
    <n v="38"/>
    <n v="12054000"/>
    <s v="C-10-01"/>
    <n v="9"/>
    <n v="228"/>
    <n v="-173"/>
    <x v="2"/>
    <n v="-2085342000"/>
    <n v="0"/>
    <n v="0"/>
  </r>
  <r>
    <s v="SKU0159"/>
    <x v="18"/>
    <s v="Computer Hardware"/>
    <s v="Pcs"/>
    <n v="240"/>
    <n v="23"/>
    <n v="60"/>
    <n v="588000"/>
    <s v="B-01-01"/>
    <n v="125"/>
    <n v="35"/>
    <n v="330"/>
    <x v="0"/>
    <n v="194040000"/>
    <n v="333"/>
    <n v="3"/>
  </r>
  <r>
    <s v="SKU0160"/>
    <x v="10"/>
    <s v="Computer Hardware"/>
    <s v="Pcs"/>
    <n v="160"/>
    <n v="24"/>
    <n v="49"/>
    <n v="8161000"/>
    <s v="E-05-01"/>
    <n v="79"/>
    <n v="126"/>
    <n v="113"/>
    <x v="0"/>
    <n v="922193000"/>
    <n v="115"/>
    <n v="2"/>
  </r>
  <r>
    <s v="SKU0161"/>
    <x v="10"/>
    <s v="Computer Hardware"/>
    <s v="Pcs"/>
    <n v="60"/>
    <n v="29"/>
    <n v="49"/>
    <n v="7449000"/>
    <s v="B-06-01"/>
    <n v="29"/>
    <n v="48"/>
    <n v="41"/>
    <x v="1"/>
    <n v="305409000"/>
    <n v="39"/>
    <n v="-2"/>
  </r>
  <r>
    <s v="SKU0162"/>
    <x v="17"/>
    <s v="Computer Hardware"/>
    <s v="Pcs"/>
    <n v="157"/>
    <n v="23"/>
    <n v="50"/>
    <n v="1085000"/>
    <s v="A-02-01"/>
    <n v="140"/>
    <n v="191"/>
    <n v="106"/>
    <x v="0"/>
    <n v="115010000"/>
    <n v="106"/>
    <n v="0"/>
  </r>
  <r>
    <s v="SKU0163"/>
    <x v="12"/>
    <s v="Computer Hardware"/>
    <s v="Pcs"/>
    <n v="154"/>
    <n v="48"/>
    <n v="77"/>
    <n v="308000"/>
    <s v="D-09-02"/>
    <n v="110"/>
    <n v="59"/>
    <n v="205"/>
    <x v="0"/>
    <n v="63140000"/>
    <n v="206"/>
    <n v="1"/>
  </r>
  <r>
    <s v="SKU0164"/>
    <x v="12"/>
    <s v="Computer Hardware"/>
    <s v="Pcs"/>
    <n v="165"/>
    <n v="27"/>
    <n v="41"/>
    <n v="535000"/>
    <s v="D-10-02"/>
    <n v="171"/>
    <n v="123"/>
    <n v="213"/>
    <x v="0"/>
    <n v="113955000"/>
    <n v="213"/>
    <n v="0"/>
  </r>
  <r>
    <s v="SKU0165"/>
    <x v="19"/>
    <s v="Computer Hardware"/>
    <s v="Pcs"/>
    <n v="241"/>
    <n v="45"/>
    <n v="70"/>
    <n v="299000"/>
    <s v="B-10-02"/>
    <n v="43"/>
    <n v="95"/>
    <n v="189"/>
    <x v="0"/>
    <n v="56511000"/>
    <n v="191"/>
    <n v="2"/>
  </r>
  <r>
    <s v="SKU0166"/>
    <x v="18"/>
    <s v="Computer Hardware"/>
    <s v="Pcs"/>
    <n v="103"/>
    <n v="13"/>
    <n v="25"/>
    <n v="646000"/>
    <s v="C-01-02"/>
    <n v="204"/>
    <n v="168"/>
    <n v="139"/>
    <x v="0"/>
    <n v="89794000"/>
    <n v="142"/>
    <n v="3"/>
  </r>
  <r>
    <s v="SKU0167"/>
    <x v="19"/>
    <s v="Computer Hardware"/>
    <s v="Pcs"/>
    <n v="43"/>
    <n v="39"/>
    <n v="55"/>
    <n v="352000"/>
    <s v="D-03-01"/>
    <n v="63"/>
    <n v="227"/>
    <n v="-121"/>
    <x v="2"/>
    <n v="-42592000"/>
    <n v="0"/>
    <n v="0"/>
  </r>
  <r>
    <s v="SKU0168"/>
    <x v="19"/>
    <s v="Computer Hardware"/>
    <s v="Pcs"/>
    <n v="243"/>
    <n v="35"/>
    <n v="65"/>
    <n v="381000"/>
    <s v="E-08-02"/>
    <n v="97"/>
    <n v="197"/>
    <n v="143"/>
    <x v="0"/>
    <n v="54483000"/>
    <n v="145"/>
    <n v="2"/>
  </r>
  <r>
    <s v="SKU0169"/>
    <x v="16"/>
    <s v="Computer Hardware"/>
    <s v="Pcs"/>
    <n v="29"/>
    <n v="14"/>
    <n v="43"/>
    <n v="1029000"/>
    <s v="E-04-01"/>
    <n v="175"/>
    <n v="96"/>
    <n v="108"/>
    <x v="0"/>
    <n v="111132000"/>
    <n v="105"/>
    <n v="-3"/>
  </r>
  <r>
    <s v="SKU0170"/>
    <x v="14"/>
    <s v="Computer Hardware"/>
    <s v="Pcs"/>
    <n v="33"/>
    <n v="30"/>
    <n v="35"/>
    <n v="554000"/>
    <s v="D-05-01"/>
    <n v="20"/>
    <n v="181"/>
    <n v="-128"/>
    <x v="2"/>
    <n v="-70912000"/>
    <n v="0"/>
    <n v="0"/>
  </r>
  <r>
    <s v="SKU0171"/>
    <x v="10"/>
    <s v="Computer Hardware"/>
    <s v="Pcs"/>
    <n v="182"/>
    <n v="48"/>
    <n v="61"/>
    <n v="8538000"/>
    <s v="C-05-01"/>
    <n v="243"/>
    <n v="189"/>
    <n v="236"/>
    <x v="0"/>
    <n v="2014968000"/>
    <n v="234"/>
    <n v="-2"/>
  </r>
  <r>
    <s v="SKU0172"/>
    <x v="16"/>
    <s v="Computer Hardware"/>
    <s v="Pcs"/>
    <n v="130"/>
    <n v="6"/>
    <n v="32"/>
    <n v="789000"/>
    <s v="C-01-02"/>
    <n v="219"/>
    <n v="119"/>
    <n v="230"/>
    <x v="0"/>
    <n v="181470000"/>
    <n v="232"/>
    <n v="2"/>
  </r>
  <r>
    <s v="SKU0173"/>
    <x v="15"/>
    <s v="Computer Hardware"/>
    <s v="Pcs"/>
    <n v="26"/>
    <n v="45"/>
    <n v="64"/>
    <n v="781000"/>
    <s v="E-02-02"/>
    <n v="86"/>
    <n v="250"/>
    <n v="-138"/>
    <x v="2"/>
    <n v="-107778000"/>
    <n v="0"/>
    <n v="0"/>
  </r>
  <r>
    <s v="SKU0174"/>
    <x v="16"/>
    <s v="Computer Hardware"/>
    <s v="Pcs"/>
    <n v="21"/>
    <n v="7"/>
    <n v="21"/>
    <n v="693000"/>
    <s v="A-08-01"/>
    <n v="102"/>
    <n v="156"/>
    <n v="-33"/>
    <x v="2"/>
    <n v="-22869000"/>
    <n v="0"/>
    <n v="0"/>
  </r>
  <r>
    <s v="SKU0175"/>
    <x v="15"/>
    <s v="Computer Hardware"/>
    <s v="Pcs"/>
    <n v="147"/>
    <n v="13"/>
    <n v="36"/>
    <n v="904000"/>
    <s v="C-04-02"/>
    <n v="214"/>
    <n v="215"/>
    <n v="146"/>
    <x v="0"/>
    <n v="131984000"/>
    <n v="146"/>
    <n v="0"/>
  </r>
  <r>
    <s v="SKU0176"/>
    <x v="11"/>
    <s v="Computer Hardware"/>
    <s v="Pcs"/>
    <n v="200"/>
    <n v="14"/>
    <n v="50"/>
    <n v="6011000"/>
    <s v="D-02-01"/>
    <n v="201"/>
    <n v="99"/>
    <n v="302"/>
    <x v="0"/>
    <n v="1815322000"/>
    <n v="305"/>
    <n v="3"/>
  </r>
  <r>
    <s v="SKU0177"/>
    <x v="11"/>
    <s v="Computer Hardware"/>
    <s v="Pcs"/>
    <n v="18"/>
    <n v="49"/>
    <n v="65"/>
    <n v="3491000"/>
    <s v="C-09-01"/>
    <n v="99"/>
    <n v="72"/>
    <n v="45"/>
    <x v="3"/>
    <n v="157095000"/>
    <n v="42"/>
    <n v="-3"/>
  </r>
  <r>
    <s v="SKU0178"/>
    <x v="15"/>
    <s v="Computer Hardware"/>
    <s v="Pcs"/>
    <n v="102"/>
    <n v="11"/>
    <n v="37"/>
    <n v="887000"/>
    <s v="D-05-02"/>
    <n v="96"/>
    <n v="112"/>
    <n v="86"/>
    <x v="0"/>
    <n v="76282000"/>
    <n v="85"/>
    <n v="-1"/>
  </r>
  <r>
    <s v="SKU0179"/>
    <x v="18"/>
    <s v="Computer Hardware"/>
    <s v="Pcs"/>
    <n v="80"/>
    <n v="17"/>
    <n v="25"/>
    <n v="553000"/>
    <s v="A-06-02"/>
    <n v="350"/>
    <n v="64"/>
    <n v="366"/>
    <x v="0"/>
    <n v="202398000"/>
    <n v="368"/>
    <n v="2"/>
  </r>
  <r>
    <s v="SKU0180"/>
    <x v="17"/>
    <s v="Computer Hardware"/>
    <s v="Pcs"/>
    <n v="22"/>
    <n v="26"/>
    <n v="38"/>
    <n v="393000"/>
    <s v="D-07-01"/>
    <n v="134"/>
    <n v="115"/>
    <n v="41"/>
    <x v="0"/>
    <n v="16113000"/>
    <n v="41"/>
    <n v="0"/>
  </r>
  <r>
    <s v="SKU0181"/>
    <x v="16"/>
    <s v="Computer Hardware"/>
    <s v="Pcs"/>
    <n v="160"/>
    <n v="18"/>
    <n v="40"/>
    <n v="762000"/>
    <s v="E-10-02"/>
    <n v="198"/>
    <n v="90"/>
    <n v="268"/>
    <x v="0"/>
    <n v="204216000"/>
    <n v="266"/>
    <n v="-2"/>
  </r>
  <r>
    <s v="SKU0182"/>
    <x v="17"/>
    <s v="Computer Hardware"/>
    <s v="Pcs"/>
    <n v="80"/>
    <n v="14"/>
    <n v="23"/>
    <n v="355000"/>
    <s v="B-07-01"/>
    <n v="179"/>
    <n v="29"/>
    <n v="230"/>
    <x v="0"/>
    <n v="81650000"/>
    <n v="230"/>
    <n v="0"/>
  </r>
  <r>
    <s v="SKU0183"/>
    <x v="16"/>
    <s v="Computer Hardware"/>
    <s v="Pcs"/>
    <n v="43"/>
    <n v="5"/>
    <n v="21"/>
    <n v="576000"/>
    <s v="D-08-02"/>
    <n v="131"/>
    <n v="156"/>
    <n v="18"/>
    <x v="1"/>
    <n v="10368000"/>
    <n v="21"/>
    <n v="3"/>
  </r>
  <r>
    <s v="SKU0184"/>
    <x v="18"/>
    <s v="Computer Hardware"/>
    <s v="Pcs"/>
    <n v="77"/>
    <n v="8"/>
    <n v="19"/>
    <n v="439000"/>
    <s v="D-04-02"/>
    <n v="102"/>
    <n v="55"/>
    <n v="124"/>
    <x v="0"/>
    <n v="54436000"/>
    <n v="124"/>
    <n v="0"/>
  </r>
  <r>
    <s v="SKU0185"/>
    <x v="16"/>
    <s v="Computer Hardware"/>
    <s v="Pcs"/>
    <n v="124"/>
    <n v="28"/>
    <n v="49"/>
    <n v="1037000"/>
    <s v="A-07-02"/>
    <n v="242"/>
    <n v="21"/>
    <n v="345"/>
    <x v="0"/>
    <n v="357765000"/>
    <n v="347"/>
    <n v="2"/>
  </r>
  <r>
    <s v="SKU0186"/>
    <x v="14"/>
    <s v="Computer Hardware"/>
    <s v="Pcs"/>
    <n v="167"/>
    <n v="7"/>
    <n v="41"/>
    <n v="406000"/>
    <s v="B-10-01"/>
    <n v="48"/>
    <n v="235"/>
    <n v="-20"/>
    <x v="2"/>
    <n v="-8120000"/>
    <n v="0"/>
    <n v="0"/>
  </r>
  <r>
    <s v="SKU0187"/>
    <x v="18"/>
    <s v="Computer Hardware"/>
    <s v="Pcs"/>
    <n v="132"/>
    <n v="30"/>
    <n v="48"/>
    <n v="381000"/>
    <s v="D-02-01"/>
    <n v="144"/>
    <n v="64"/>
    <n v="212"/>
    <x v="0"/>
    <n v="80772000"/>
    <n v="213"/>
    <n v="1"/>
  </r>
  <r>
    <s v="SKU0188"/>
    <x v="16"/>
    <s v="Computer Hardware"/>
    <s v="Pcs"/>
    <n v="92"/>
    <n v="43"/>
    <n v="52"/>
    <n v="632000"/>
    <s v="A-09-01"/>
    <n v="38"/>
    <n v="220"/>
    <n v="-90"/>
    <x v="2"/>
    <n v="-56880000"/>
    <n v="0"/>
    <n v="0"/>
  </r>
  <r>
    <s v="SKU0189"/>
    <x v="17"/>
    <s v="Computer Hardware"/>
    <s v="Pcs"/>
    <n v="159"/>
    <n v="40"/>
    <n v="67"/>
    <n v="1646000"/>
    <s v="C-05-01"/>
    <n v="228"/>
    <n v="49"/>
    <n v="338"/>
    <x v="0"/>
    <n v="556348000"/>
    <n v="337"/>
    <n v="-1"/>
  </r>
  <r>
    <s v="SKU0190"/>
    <x v="14"/>
    <s v="Computer Hardware"/>
    <s v="Pcs"/>
    <n v="126"/>
    <n v="37"/>
    <n v="61"/>
    <n v="481000"/>
    <s v="A-07-01"/>
    <n v="213"/>
    <n v="40"/>
    <n v="299"/>
    <x v="0"/>
    <n v="143819000"/>
    <n v="298"/>
    <n v="-1"/>
  </r>
  <r>
    <s v="SKU0191"/>
    <x v="14"/>
    <s v="Computer Hardware"/>
    <s v="Pcs"/>
    <n v="231"/>
    <n v="18"/>
    <n v="57"/>
    <n v="918000"/>
    <s v="B-05-02"/>
    <n v="104"/>
    <n v="66"/>
    <n v="269"/>
    <x v="0"/>
    <n v="246942000"/>
    <n v="269"/>
    <n v="0"/>
  </r>
  <r>
    <s v="SKU0192"/>
    <x v="13"/>
    <s v="Computer Hardware"/>
    <s v="Pcs"/>
    <n v="126"/>
    <n v="30"/>
    <n v="48"/>
    <n v="2544000"/>
    <s v="C-01-01"/>
    <n v="198"/>
    <n v="54"/>
    <n v="270"/>
    <x v="0"/>
    <n v="686880000"/>
    <n v="270"/>
    <n v="0"/>
  </r>
  <r>
    <s v="SKU0193"/>
    <x v="13"/>
    <s v="Computer Hardware"/>
    <s v="Pcs"/>
    <n v="75"/>
    <n v="28"/>
    <n v="37"/>
    <n v="2212000"/>
    <s v="A-05-01"/>
    <n v="189"/>
    <n v="2"/>
    <n v="262"/>
    <x v="0"/>
    <n v="579544000"/>
    <n v="263"/>
    <n v="1"/>
  </r>
  <r>
    <s v="SKU0194"/>
    <x v="16"/>
    <s v="Computer Hardware"/>
    <s v="Pcs"/>
    <n v="120"/>
    <n v="11"/>
    <n v="39"/>
    <n v="645000"/>
    <s v="A-09-01"/>
    <n v="146"/>
    <n v="43"/>
    <n v="223"/>
    <x v="0"/>
    <n v="143835000"/>
    <n v="226"/>
    <n v="3"/>
  </r>
  <r>
    <s v="SKU0195"/>
    <x v="18"/>
    <s v="Computer Hardware"/>
    <s v="Pcs"/>
    <n v="153"/>
    <n v="40"/>
    <n v="55"/>
    <n v="650000"/>
    <s v="C-07-01"/>
    <n v="50"/>
    <n v="165"/>
    <n v="38"/>
    <x v="3"/>
    <n v="24700000"/>
    <n v="39"/>
    <n v="1"/>
  </r>
  <r>
    <s v="SKU0196"/>
    <x v="11"/>
    <s v="Computer Hardware"/>
    <s v="Pcs"/>
    <n v="83"/>
    <n v="43"/>
    <n v="57"/>
    <n v="1621000"/>
    <s v="A-07-02"/>
    <n v="159"/>
    <n v="174"/>
    <n v="68"/>
    <x v="0"/>
    <n v="110228000"/>
    <n v="67"/>
    <n v="-1"/>
  </r>
  <r>
    <s v="SKU0197"/>
    <x v="14"/>
    <s v="Computer Hardware"/>
    <s v="Pcs"/>
    <n v="49"/>
    <n v="47"/>
    <n v="67"/>
    <n v="397000"/>
    <s v="A-07-02"/>
    <n v="203"/>
    <n v="49"/>
    <n v="203"/>
    <x v="0"/>
    <n v="80591000"/>
    <n v="205"/>
    <n v="2"/>
  </r>
  <r>
    <s v="SKU0198"/>
    <x v="14"/>
    <s v="Computer Hardware"/>
    <s v="Pcs"/>
    <n v="39"/>
    <n v="22"/>
    <n v="45"/>
    <n v="556000"/>
    <s v="C-08-01"/>
    <n v="100"/>
    <n v="101"/>
    <n v="38"/>
    <x v="1"/>
    <n v="21128000"/>
    <n v="37"/>
    <n v="-1"/>
  </r>
  <r>
    <s v="SKU0199"/>
    <x v="17"/>
    <s v="Computer Hardware"/>
    <s v="Pcs"/>
    <n v="182"/>
    <n v="46"/>
    <n v="68"/>
    <n v="1606000"/>
    <s v="D-09-02"/>
    <n v="159"/>
    <n v="157"/>
    <n v="184"/>
    <x v="0"/>
    <n v="295504000"/>
    <n v="187"/>
    <n v="3"/>
  </r>
  <r>
    <s v="SKU0200"/>
    <x v="18"/>
    <s v="Computer Hardware"/>
    <s v="Pcs"/>
    <n v="79"/>
    <n v="49"/>
    <n v="78"/>
    <n v="442000"/>
    <s v="C-02-02"/>
    <n v="148"/>
    <n v="132"/>
    <n v="95"/>
    <x v="0"/>
    <n v="41990000"/>
    <n v="98"/>
    <n v="3"/>
  </r>
  <r>
    <s v="SKU0201"/>
    <x v="20"/>
    <s v="Office Supplies"/>
    <s v="Ream"/>
    <n v="232"/>
    <n v="14"/>
    <n v="58"/>
    <n v="51000"/>
    <s v="A-05-01"/>
    <n v="165"/>
    <n v="70"/>
    <n v="327"/>
    <x v="0"/>
    <n v="16677000"/>
    <n v="327"/>
    <n v="0"/>
  </r>
  <r>
    <s v="SKU0202"/>
    <x v="20"/>
    <s v="Office Supplies"/>
    <s v="Ream"/>
    <n v="201"/>
    <n v="38"/>
    <n v="50"/>
    <n v="45000"/>
    <s v="C-07-02"/>
    <n v="44"/>
    <n v="138"/>
    <n v="107"/>
    <x v="0"/>
    <n v="4815000"/>
    <n v="104"/>
    <n v="-3"/>
  </r>
  <r>
    <s v="SKU0203"/>
    <x v="21"/>
    <s v="Office Supplies"/>
    <s v="Pcs"/>
    <n v="104"/>
    <n v="24"/>
    <n v="52"/>
    <n v="4000"/>
    <s v="E-10-02"/>
    <n v="141"/>
    <n v="40"/>
    <n v="205"/>
    <x v="0"/>
    <n v="820000"/>
    <n v="207"/>
    <n v="2"/>
  </r>
  <r>
    <s v="SKU0204"/>
    <x v="22"/>
    <s v="Office Supplies"/>
    <s v="Pcs"/>
    <n v="236"/>
    <n v="8"/>
    <n v="59"/>
    <n v="266000"/>
    <s v="E-09-01"/>
    <n v="21"/>
    <n v="155"/>
    <n v="102"/>
    <x v="0"/>
    <n v="27132000"/>
    <n v="103"/>
    <n v="1"/>
  </r>
  <r>
    <s v="SKU0205"/>
    <x v="20"/>
    <s v="Office Supplies"/>
    <s v="Ream"/>
    <n v="79"/>
    <n v="33"/>
    <n v="59"/>
    <n v="45000"/>
    <s v="D-02-01"/>
    <n v="185"/>
    <n v="116"/>
    <n v="148"/>
    <x v="0"/>
    <n v="6660000"/>
    <n v="149"/>
    <n v="1"/>
  </r>
  <r>
    <s v="SKU0206"/>
    <x v="23"/>
    <s v="Office Supplies"/>
    <s v="Pack"/>
    <n v="79"/>
    <n v="18"/>
    <n v="47"/>
    <n v="21000"/>
    <s v="A-08-01"/>
    <n v="113"/>
    <n v="9"/>
    <n v="183"/>
    <x v="0"/>
    <n v="3843000"/>
    <n v="183"/>
    <n v="0"/>
  </r>
  <r>
    <s v="SKU0207"/>
    <x v="24"/>
    <s v="Office Supplies"/>
    <s v="Box"/>
    <n v="82"/>
    <n v="48"/>
    <n v="74"/>
    <n v="27000"/>
    <s v="D-02-01"/>
    <n v="0"/>
    <n v="79"/>
    <n v="3"/>
    <x v="3"/>
    <n v="81000"/>
    <n v="2"/>
    <n v="-1"/>
  </r>
  <r>
    <s v="SKU0208"/>
    <x v="25"/>
    <s v="Office Supplies"/>
    <s v="Box"/>
    <n v="66"/>
    <n v="30"/>
    <n v="54"/>
    <n v="6000"/>
    <s v="A-01-01"/>
    <n v="88"/>
    <n v="163"/>
    <n v="-9"/>
    <x v="2"/>
    <n v="-54000"/>
    <n v="0"/>
    <n v="0"/>
  </r>
  <r>
    <s v="SKU0209"/>
    <x v="25"/>
    <s v="Office Supplies"/>
    <s v="Box"/>
    <n v="206"/>
    <n v="13"/>
    <n v="51"/>
    <n v="11000"/>
    <s v="B-09-02"/>
    <n v="14"/>
    <n v="180"/>
    <n v="40"/>
    <x v="1"/>
    <n v="440000"/>
    <n v="42"/>
    <n v="2"/>
  </r>
  <r>
    <s v="SKU0210"/>
    <x v="26"/>
    <s v="Office Supplies"/>
    <s v="Box"/>
    <n v="137"/>
    <n v="32"/>
    <n v="42"/>
    <n v="18000"/>
    <s v="C-05-01"/>
    <n v="119"/>
    <n v="135"/>
    <n v="121"/>
    <x v="0"/>
    <n v="2178000"/>
    <n v="122"/>
    <n v="1"/>
  </r>
  <r>
    <s v="SKU0211"/>
    <x v="27"/>
    <s v="Office Supplies"/>
    <s v="Pcs"/>
    <n v="153"/>
    <n v="47"/>
    <n v="77"/>
    <n v="79000"/>
    <s v="A-05-02"/>
    <n v="281"/>
    <n v="72"/>
    <n v="362"/>
    <x v="0"/>
    <n v="28598000"/>
    <n v="362"/>
    <n v="0"/>
  </r>
  <r>
    <s v="SKU0212"/>
    <x v="20"/>
    <s v="Office Supplies"/>
    <s v="Ream"/>
    <n v="14"/>
    <n v="34"/>
    <n v="41"/>
    <n v="67000"/>
    <s v="D-07-02"/>
    <n v="386"/>
    <n v="84"/>
    <n v="316"/>
    <x v="0"/>
    <n v="21172000"/>
    <n v="315"/>
    <n v="-1"/>
  </r>
  <r>
    <s v="SKU0213"/>
    <x v="22"/>
    <s v="Office Supplies"/>
    <s v="Pcs"/>
    <n v="191"/>
    <n v="45"/>
    <n v="63"/>
    <n v="594000"/>
    <s v="A-08-01"/>
    <n v="154"/>
    <n v="89"/>
    <n v="256"/>
    <x v="0"/>
    <n v="152064000"/>
    <n v="258"/>
    <n v="2"/>
  </r>
  <r>
    <s v="SKU0214"/>
    <x v="20"/>
    <s v="Office Supplies"/>
    <s v="Ream"/>
    <n v="53"/>
    <n v="44"/>
    <n v="63"/>
    <n v="60000"/>
    <s v="A-06-02"/>
    <n v="261"/>
    <n v="78"/>
    <n v="236"/>
    <x v="0"/>
    <n v="14160000"/>
    <n v="234"/>
    <n v="-2"/>
  </r>
  <r>
    <s v="SKU0215"/>
    <x v="26"/>
    <s v="Office Supplies"/>
    <s v="Box"/>
    <n v="121"/>
    <n v="42"/>
    <n v="59"/>
    <n v="25000"/>
    <s v="A-06-01"/>
    <n v="176"/>
    <n v="209"/>
    <n v="88"/>
    <x v="0"/>
    <n v="2200000"/>
    <n v="88"/>
    <n v="0"/>
  </r>
  <r>
    <s v="SKU0216"/>
    <x v="25"/>
    <s v="Office Supplies"/>
    <s v="Box"/>
    <n v="66"/>
    <n v="26"/>
    <n v="55"/>
    <n v="15000"/>
    <s v="A-05-02"/>
    <n v="146"/>
    <n v="105"/>
    <n v="107"/>
    <x v="0"/>
    <n v="1605000"/>
    <n v="107"/>
    <n v="0"/>
  </r>
  <r>
    <s v="SKU0217"/>
    <x v="26"/>
    <s v="Office Supplies"/>
    <s v="Box"/>
    <n v="140"/>
    <n v="17"/>
    <n v="46"/>
    <n v="34000"/>
    <s v="C-03-01"/>
    <n v="189"/>
    <n v="81"/>
    <n v="248"/>
    <x v="0"/>
    <n v="8432000"/>
    <n v="248"/>
    <n v="0"/>
  </r>
  <r>
    <s v="SKU0218"/>
    <x v="27"/>
    <s v="Office Supplies"/>
    <s v="Pcs"/>
    <n v="47"/>
    <n v="21"/>
    <n v="32"/>
    <n v="28000"/>
    <s v="D-09-02"/>
    <n v="84"/>
    <n v="191"/>
    <n v="-60"/>
    <x v="2"/>
    <n v="-1680000"/>
    <n v="0"/>
    <n v="0"/>
  </r>
  <r>
    <s v="SKU0219"/>
    <x v="26"/>
    <s v="Office Supplies"/>
    <s v="Box"/>
    <n v="207"/>
    <n v="45"/>
    <n v="65"/>
    <n v="23000"/>
    <s v="E-09-01"/>
    <n v="219"/>
    <n v="180"/>
    <n v="246"/>
    <x v="0"/>
    <n v="5658000"/>
    <n v="247"/>
    <n v="1"/>
  </r>
  <r>
    <s v="SKU0220"/>
    <x v="22"/>
    <s v="Office Supplies"/>
    <s v="Pcs"/>
    <n v="184"/>
    <n v="41"/>
    <n v="66"/>
    <n v="639000"/>
    <s v="C-01-02"/>
    <n v="130"/>
    <n v="63"/>
    <n v="251"/>
    <x v="0"/>
    <n v="160389000"/>
    <n v="253"/>
    <n v="2"/>
  </r>
  <r>
    <s v="SKU0221"/>
    <x v="28"/>
    <s v="Office Supplies"/>
    <s v="Pcs"/>
    <n v="27"/>
    <n v="35"/>
    <n v="54"/>
    <n v="22000"/>
    <s v="B-08-02"/>
    <n v="148"/>
    <n v="111"/>
    <n v="64"/>
    <x v="0"/>
    <n v="1408000"/>
    <n v="65"/>
    <n v="1"/>
  </r>
  <r>
    <s v="SKU0222"/>
    <x v="20"/>
    <s v="Office Supplies"/>
    <s v="Ream"/>
    <n v="139"/>
    <n v="9"/>
    <n v="34"/>
    <n v="62000"/>
    <s v="C-09-02"/>
    <n v="115"/>
    <n v="58"/>
    <n v="196"/>
    <x v="0"/>
    <n v="12152000"/>
    <n v="195"/>
    <n v="-1"/>
  </r>
  <r>
    <s v="SKU0223"/>
    <x v="20"/>
    <s v="Office Supplies"/>
    <s v="Ream"/>
    <n v="222"/>
    <n v="23"/>
    <n v="55"/>
    <n v="63000"/>
    <s v="D-10-01"/>
    <n v="111"/>
    <n v="68"/>
    <n v="265"/>
    <x v="0"/>
    <n v="16695000"/>
    <n v="265"/>
    <n v="0"/>
  </r>
  <r>
    <s v="SKU0224"/>
    <x v="29"/>
    <s v="Office Supplies"/>
    <s v="Bottle"/>
    <n v="128"/>
    <n v="42"/>
    <n v="64"/>
    <n v="148000"/>
    <s v="C-09-02"/>
    <n v="93"/>
    <n v="71"/>
    <n v="150"/>
    <x v="0"/>
    <n v="22200000"/>
    <n v="149"/>
    <n v="-1"/>
  </r>
  <r>
    <s v="SKU0225"/>
    <x v="27"/>
    <s v="Office Supplies"/>
    <s v="Pcs"/>
    <n v="164"/>
    <n v="35"/>
    <n v="56"/>
    <n v="56000"/>
    <s v="A-04-02"/>
    <n v="159"/>
    <n v="163"/>
    <n v="160"/>
    <x v="0"/>
    <n v="8960000"/>
    <n v="160"/>
    <n v="0"/>
  </r>
  <r>
    <s v="SKU0226"/>
    <x v="26"/>
    <s v="Office Supplies"/>
    <s v="Box"/>
    <n v="240"/>
    <n v="26"/>
    <n v="60"/>
    <n v="43000"/>
    <s v="D-03-01"/>
    <n v="89"/>
    <n v="56"/>
    <n v="273"/>
    <x v="0"/>
    <n v="11739000"/>
    <n v="276"/>
    <n v="3"/>
  </r>
  <r>
    <s v="SKU0227"/>
    <x v="20"/>
    <s v="Office Supplies"/>
    <s v="Ream"/>
    <n v="191"/>
    <n v="33"/>
    <n v="52"/>
    <n v="55000"/>
    <s v="D-04-01"/>
    <n v="0"/>
    <n v="106"/>
    <n v="85"/>
    <x v="0"/>
    <n v="4675000"/>
    <n v="86"/>
    <n v="1"/>
  </r>
  <r>
    <s v="SKU0228"/>
    <x v="28"/>
    <s v="Office Supplies"/>
    <s v="Pcs"/>
    <n v="105"/>
    <n v="23"/>
    <n v="40"/>
    <n v="19000"/>
    <s v="E-10-02"/>
    <n v="16"/>
    <n v="74"/>
    <n v="47"/>
    <x v="0"/>
    <n v="893000"/>
    <n v="50"/>
    <n v="3"/>
  </r>
  <r>
    <s v="SKU0229"/>
    <x v="22"/>
    <s v="Office Supplies"/>
    <s v="Pcs"/>
    <n v="212"/>
    <n v="45"/>
    <n v="70"/>
    <n v="233000"/>
    <s v="A-05-01"/>
    <n v="193"/>
    <n v="93"/>
    <n v="312"/>
    <x v="0"/>
    <n v="72696000"/>
    <n v="314"/>
    <n v="2"/>
  </r>
  <r>
    <s v="SKU0230"/>
    <x v="26"/>
    <s v="Office Supplies"/>
    <s v="Box"/>
    <n v="183"/>
    <n v="29"/>
    <n v="45"/>
    <n v="35000"/>
    <s v="E-07-01"/>
    <n v="138"/>
    <n v="64"/>
    <n v="257"/>
    <x v="0"/>
    <n v="8995000"/>
    <n v="254"/>
    <n v="-3"/>
  </r>
  <r>
    <s v="SKU0231"/>
    <x v="28"/>
    <s v="Office Supplies"/>
    <s v="Pcs"/>
    <n v="30"/>
    <n v="42"/>
    <n v="68"/>
    <n v="18000"/>
    <s v="C-03-01"/>
    <n v="135"/>
    <n v="122"/>
    <n v="43"/>
    <x v="1"/>
    <n v="774000"/>
    <n v="44"/>
    <n v="1"/>
  </r>
  <r>
    <s v="SKU0232"/>
    <x v="24"/>
    <s v="Office Supplies"/>
    <s v="Box"/>
    <n v="162"/>
    <n v="50"/>
    <n v="57"/>
    <n v="28000"/>
    <s v="D-06-02"/>
    <n v="129"/>
    <n v="203"/>
    <n v="88"/>
    <x v="0"/>
    <n v="2464000"/>
    <n v="85"/>
    <n v="-3"/>
  </r>
  <r>
    <s v="SKU0233"/>
    <x v="21"/>
    <s v="Office Supplies"/>
    <s v="Pcs"/>
    <n v="42"/>
    <n v="47"/>
    <n v="74"/>
    <n v="15000"/>
    <s v="A-06-02"/>
    <n v="300"/>
    <n v="152"/>
    <n v="190"/>
    <x v="0"/>
    <n v="2850000"/>
    <n v="190"/>
    <n v="0"/>
  </r>
  <r>
    <s v="SKU0234"/>
    <x v="29"/>
    <s v="Office Supplies"/>
    <s v="Bottle"/>
    <n v="14"/>
    <n v="28"/>
    <n v="42"/>
    <n v="142000"/>
    <s v="B-04-02"/>
    <n v="248"/>
    <n v="55"/>
    <n v="207"/>
    <x v="0"/>
    <n v="29394000"/>
    <n v="210"/>
    <n v="3"/>
  </r>
  <r>
    <s v="SKU0235"/>
    <x v="23"/>
    <s v="Office Supplies"/>
    <s v="Pack"/>
    <n v="67"/>
    <n v="13"/>
    <n v="22"/>
    <n v="14000"/>
    <s v="B-09-02"/>
    <n v="82"/>
    <n v="88"/>
    <n v="61"/>
    <x v="0"/>
    <n v="854000"/>
    <n v="64"/>
    <n v="3"/>
  </r>
  <r>
    <s v="SKU0236"/>
    <x v="29"/>
    <s v="Office Supplies"/>
    <s v="Bottle"/>
    <n v="179"/>
    <n v="26"/>
    <n v="55"/>
    <n v="59000"/>
    <s v="A-09-01"/>
    <n v="84"/>
    <n v="11"/>
    <n v="252"/>
    <x v="0"/>
    <n v="14868000"/>
    <n v="253"/>
    <n v="1"/>
  </r>
  <r>
    <s v="SKU0237"/>
    <x v="24"/>
    <s v="Office Supplies"/>
    <s v="Box"/>
    <n v="51"/>
    <n v="16"/>
    <n v="43"/>
    <n v="29000"/>
    <s v="B-01-02"/>
    <n v="145"/>
    <n v="189"/>
    <n v="7"/>
    <x v="3"/>
    <n v="203000"/>
    <n v="7"/>
    <n v="0"/>
  </r>
  <r>
    <s v="SKU0238"/>
    <x v="20"/>
    <s v="Office Supplies"/>
    <s v="Ream"/>
    <n v="103"/>
    <n v="48"/>
    <n v="76"/>
    <n v="66000"/>
    <s v="C-09-01"/>
    <n v="170"/>
    <n v="298"/>
    <n v="-25"/>
    <x v="2"/>
    <n v="-1650000"/>
    <n v="0"/>
    <n v="0"/>
  </r>
  <r>
    <s v="SKU0239"/>
    <x v="25"/>
    <s v="Office Supplies"/>
    <s v="Box"/>
    <n v="69"/>
    <n v="39"/>
    <n v="51"/>
    <n v="19000"/>
    <s v="D-01-01"/>
    <n v="108"/>
    <n v="74"/>
    <n v="103"/>
    <x v="0"/>
    <n v="1957000"/>
    <n v="100"/>
    <n v="-3"/>
  </r>
  <r>
    <s v="SKU0240"/>
    <x v="21"/>
    <s v="Office Supplies"/>
    <s v="Pcs"/>
    <n v="156"/>
    <n v="33"/>
    <n v="52"/>
    <n v="12000"/>
    <s v="E-10-02"/>
    <n v="10"/>
    <n v="162"/>
    <n v="4"/>
    <x v="3"/>
    <n v="48000"/>
    <n v="4"/>
    <n v="0"/>
  </r>
  <r>
    <s v="SKU0241"/>
    <x v="29"/>
    <s v="Office Supplies"/>
    <s v="Bottle"/>
    <n v="51"/>
    <n v="17"/>
    <n v="47"/>
    <n v="157000"/>
    <s v="A-09-02"/>
    <n v="185"/>
    <n v="129"/>
    <n v="107"/>
    <x v="0"/>
    <n v="16799000"/>
    <n v="107"/>
    <n v="0"/>
  </r>
  <r>
    <s v="SKU0242"/>
    <x v="20"/>
    <s v="Office Supplies"/>
    <s v="Ream"/>
    <n v="233"/>
    <n v="28"/>
    <n v="58"/>
    <n v="70000"/>
    <s v="E-06-02"/>
    <n v="248"/>
    <n v="101"/>
    <n v="380"/>
    <x v="0"/>
    <n v="26600000"/>
    <n v="380"/>
    <n v="0"/>
  </r>
  <r>
    <s v="SKU0243"/>
    <x v="26"/>
    <s v="Office Supplies"/>
    <s v="Box"/>
    <n v="31"/>
    <n v="15"/>
    <n v="28"/>
    <n v="27000"/>
    <s v="D-03-02"/>
    <n v="265"/>
    <n v="188"/>
    <n v="108"/>
    <x v="0"/>
    <n v="2916000"/>
    <n v="108"/>
    <n v="0"/>
  </r>
  <r>
    <s v="SKU0244"/>
    <x v="24"/>
    <s v="Office Supplies"/>
    <s v="Box"/>
    <n v="243"/>
    <n v="19"/>
    <n v="60"/>
    <n v="25000"/>
    <s v="A-02-02"/>
    <n v="277"/>
    <n v="42"/>
    <n v="478"/>
    <x v="0"/>
    <n v="11950000"/>
    <n v="475"/>
    <n v="-3"/>
  </r>
  <r>
    <s v="SKU0245"/>
    <x v="20"/>
    <s v="Office Supplies"/>
    <s v="Ream"/>
    <n v="138"/>
    <n v="28"/>
    <n v="40"/>
    <n v="65000"/>
    <s v="A-06-01"/>
    <n v="169"/>
    <n v="30"/>
    <n v="277"/>
    <x v="0"/>
    <n v="18005000"/>
    <n v="277"/>
    <n v="0"/>
  </r>
  <r>
    <s v="SKU0246"/>
    <x v="27"/>
    <s v="Office Supplies"/>
    <s v="Pcs"/>
    <n v="91"/>
    <n v="11"/>
    <n v="38"/>
    <n v="18000"/>
    <s v="A-10-01"/>
    <n v="103"/>
    <n v="172"/>
    <n v="22"/>
    <x v="1"/>
    <n v="396000"/>
    <n v="19"/>
    <n v="-3"/>
  </r>
  <r>
    <s v="SKU0247"/>
    <x v="20"/>
    <s v="Office Supplies"/>
    <s v="Ream"/>
    <n v="244"/>
    <n v="35"/>
    <n v="62"/>
    <n v="58000"/>
    <s v="E-09-02"/>
    <n v="244"/>
    <n v="78"/>
    <n v="410"/>
    <x v="0"/>
    <n v="23780000"/>
    <n v="413"/>
    <n v="3"/>
  </r>
  <r>
    <s v="SKU0248"/>
    <x v="23"/>
    <s v="Office Supplies"/>
    <s v="Pack"/>
    <n v="11"/>
    <n v="10"/>
    <n v="15"/>
    <n v="27000"/>
    <s v="B-04-02"/>
    <n v="154"/>
    <n v="98"/>
    <n v="67"/>
    <x v="0"/>
    <n v="1809000"/>
    <n v="66"/>
    <n v="-1"/>
  </r>
  <r>
    <s v="SKU0249"/>
    <x v="29"/>
    <s v="Office Supplies"/>
    <s v="Bottle"/>
    <n v="38"/>
    <n v="23"/>
    <n v="35"/>
    <n v="158000"/>
    <s v="A-08-02"/>
    <n v="125"/>
    <n v="54"/>
    <n v="109"/>
    <x v="0"/>
    <n v="17222000"/>
    <n v="111"/>
    <n v="2"/>
  </r>
  <r>
    <s v="SKU0250"/>
    <x v="27"/>
    <s v="Office Supplies"/>
    <s v="Pcs"/>
    <n v="173"/>
    <n v="44"/>
    <n v="63"/>
    <n v="68000"/>
    <s v="A-08-01"/>
    <n v="148"/>
    <n v="91"/>
    <n v="230"/>
    <x v="0"/>
    <n v="15640000"/>
    <n v="230"/>
    <n v="0"/>
  </r>
  <r>
    <s v="SKU0251"/>
    <x v="22"/>
    <s v="Office Supplies"/>
    <s v="Pcs"/>
    <n v="14"/>
    <n v="45"/>
    <n v="66"/>
    <n v="728000"/>
    <s v="B-06-01"/>
    <n v="148"/>
    <n v="74"/>
    <n v="88"/>
    <x v="0"/>
    <n v="64064000"/>
    <n v="89"/>
    <n v="1"/>
  </r>
  <r>
    <s v="SKU0252"/>
    <x v="25"/>
    <s v="Office Supplies"/>
    <s v="Box"/>
    <n v="10"/>
    <n v="44"/>
    <n v="60"/>
    <n v="18000"/>
    <s v="D-07-02"/>
    <n v="325"/>
    <n v="103"/>
    <n v="232"/>
    <x v="0"/>
    <n v="4176000"/>
    <n v="230"/>
    <n v="-2"/>
  </r>
  <r>
    <s v="SKU0253"/>
    <x v="28"/>
    <s v="Office Supplies"/>
    <s v="Pcs"/>
    <n v="181"/>
    <n v="10"/>
    <n v="45"/>
    <n v="29000"/>
    <s v="A-05-01"/>
    <n v="57"/>
    <n v="186"/>
    <n v="52"/>
    <x v="0"/>
    <n v="1508000"/>
    <n v="52"/>
    <n v="0"/>
  </r>
  <r>
    <s v="SKU0254"/>
    <x v="29"/>
    <s v="Office Supplies"/>
    <s v="Bottle"/>
    <n v="211"/>
    <n v="37"/>
    <n v="59"/>
    <n v="179000"/>
    <s v="C-05-02"/>
    <n v="211"/>
    <n v="188"/>
    <n v="234"/>
    <x v="0"/>
    <n v="41886000"/>
    <n v="236"/>
    <n v="2"/>
  </r>
  <r>
    <s v="SKU0255"/>
    <x v="20"/>
    <s v="Office Supplies"/>
    <s v="Ream"/>
    <n v="105"/>
    <n v="21"/>
    <n v="49"/>
    <n v="64000"/>
    <s v="C-03-02"/>
    <n v="126"/>
    <n v="204"/>
    <n v="27"/>
    <x v="1"/>
    <n v="1728000"/>
    <n v="28"/>
    <n v="1"/>
  </r>
  <r>
    <s v="SKU0256"/>
    <x v="21"/>
    <s v="Office Supplies"/>
    <s v="Pcs"/>
    <n v="197"/>
    <n v="47"/>
    <n v="72"/>
    <n v="5000"/>
    <s v="E-10-01"/>
    <n v="228"/>
    <n v="146"/>
    <n v="279"/>
    <x v="0"/>
    <n v="1395000"/>
    <n v="279"/>
    <n v="0"/>
  </r>
  <r>
    <s v="SKU0257"/>
    <x v="21"/>
    <s v="Office Supplies"/>
    <s v="Pcs"/>
    <n v="21"/>
    <n v="27"/>
    <n v="49"/>
    <n v="4000"/>
    <s v="E-02-01"/>
    <n v="143"/>
    <n v="136"/>
    <n v="28"/>
    <x v="1"/>
    <n v="112000"/>
    <n v="25"/>
    <n v="-3"/>
  </r>
  <r>
    <s v="SKU0258"/>
    <x v="23"/>
    <s v="Office Supplies"/>
    <s v="Pack"/>
    <n v="132"/>
    <n v="45"/>
    <n v="55"/>
    <n v="30000"/>
    <s v="A-05-01"/>
    <n v="163"/>
    <n v="25"/>
    <n v="270"/>
    <x v="0"/>
    <n v="8100000"/>
    <n v="270"/>
    <n v="0"/>
  </r>
  <r>
    <s v="SKU0259"/>
    <x v="20"/>
    <s v="Office Supplies"/>
    <s v="Ream"/>
    <n v="61"/>
    <n v="7"/>
    <n v="37"/>
    <n v="58000"/>
    <s v="A-03-02"/>
    <n v="143"/>
    <n v="46"/>
    <n v="158"/>
    <x v="0"/>
    <n v="9164000"/>
    <n v="158"/>
    <n v="0"/>
  </r>
  <r>
    <s v="SKU0260"/>
    <x v="25"/>
    <s v="Office Supplies"/>
    <s v="Box"/>
    <n v="218"/>
    <n v="39"/>
    <n v="59"/>
    <n v="17000"/>
    <s v="A-03-01"/>
    <n v="158"/>
    <n v="69"/>
    <n v="307"/>
    <x v="0"/>
    <n v="5219000"/>
    <n v="307"/>
    <n v="0"/>
  </r>
  <r>
    <s v="SKU0261"/>
    <x v="25"/>
    <s v="Office Supplies"/>
    <s v="Box"/>
    <n v="230"/>
    <n v="8"/>
    <n v="57"/>
    <n v="16000"/>
    <s v="B-08-01"/>
    <n v="148"/>
    <n v="156"/>
    <n v="222"/>
    <x v="0"/>
    <n v="3552000"/>
    <n v="223"/>
    <n v="1"/>
  </r>
  <r>
    <s v="SKU0262"/>
    <x v="21"/>
    <s v="Office Supplies"/>
    <s v="Pcs"/>
    <n v="237"/>
    <n v="30"/>
    <n v="59"/>
    <n v="8000"/>
    <s v="C-05-02"/>
    <n v="16"/>
    <n v="171"/>
    <n v="82"/>
    <x v="0"/>
    <n v="656000"/>
    <n v="84"/>
    <n v="2"/>
  </r>
  <r>
    <s v="SKU0263"/>
    <x v="28"/>
    <s v="Office Supplies"/>
    <s v="Pcs"/>
    <n v="187"/>
    <n v="36"/>
    <n v="52"/>
    <n v="23000"/>
    <s v="B-08-01"/>
    <n v="42"/>
    <n v="34"/>
    <n v="195"/>
    <x v="0"/>
    <n v="4485000"/>
    <n v="192"/>
    <n v="-3"/>
  </r>
  <r>
    <s v="SKU0264"/>
    <x v="24"/>
    <s v="Office Supplies"/>
    <s v="Box"/>
    <n v="120"/>
    <n v="43"/>
    <n v="53"/>
    <n v="25000"/>
    <s v="B-09-02"/>
    <n v="206"/>
    <n v="126"/>
    <n v="200"/>
    <x v="0"/>
    <n v="5000000"/>
    <n v="202"/>
    <n v="2"/>
  </r>
  <r>
    <s v="SKU0265"/>
    <x v="26"/>
    <s v="Office Supplies"/>
    <s v="Box"/>
    <n v="93"/>
    <n v="47"/>
    <n v="61"/>
    <n v="20000"/>
    <s v="C-09-02"/>
    <n v="66"/>
    <n v="84"/>
    <n v="75"/>
    <x v="0"/>
    <n v="1500000"/>
    <n v="78"/>
    <n v="3"/>
  </r>
  <r>
    <s v="SKU0266"/>
    <x v="24"/>
    <s v="Office Supplies"/>
    <s v="Box"/>
    <n v="186"/>
    <n v="33"/>
    <n v="49"/>
    <n v="30000"/>
    <s v="A-03-02"/>
    <n v="68"/>
    <n v="88"/>
    <n v="166"/>
    <x v="0"/>
    <n v="4980000"/>
    <n v="168"/>
    <n v="2"/>
  </r>
  <r>
    <s v="SKU0267"/>
    <x v="22"/>
    <s v="Office Supplies"/>
    <s v="Pcs"/>
    <n v="80"/>
    <n v="45"/>
    <n v="75"/>
    <n v="625000"/>
    <s v="A-05-02"/>
    <n v="227"/>
    <n v="39"/>
    <n v="268"/>
    <x v="0"/>
    <n v="167500000"/>
    <n v="270"/>
    <n v="2"/>
  </r>
  <r>
    <s v="SKU0268"/>
    <x v="21"/>
    <s v="Office Supplies"/>
    <s v="Pcs"/>
    <n v="215"/>
    <n v="48"/>
    <n v="58"/>
    <n v="10000"/>
    <s v="A-10-01"/>
    <n v="194"/>
    <n v="144"/>
    <n v="265"/>
    <x v="0"/>
    <n v="2650000"/>
    <n v="265"/>
    <n v="0"/>
  </r>
  <r>
    <s v="SKU0269"/>
    <x v="23"/>
    <s v="Office Supplies"/>
    <s v="Pack"/>
    <n v="42"/>
    <n v="9"/>
    <n v="21"/>
    <n v="9000"/>
    <s v="C-04-01"/>
    <n v="125"/>
    <n v="68"/>
    <n v="99"/>
    <x v="0"/>
    <n v="891000"/>
    <n v="99"/>
    <n v="0"/>
  </r>
  <r>
    <s v="SKU0270"/>
    <x v="22"/>
    <s v="Office Supplies"/>
    <s v="Pcs"/>
    <n v="164"/>
    <n v="14"/>
    <n v="41"/>
    <n v="213000"/>
    <s v="C-04-02"/>
    <n v="57"/>
    <n v="71"/>
    <n v="150"/>
    <x v="0"/>
    <n v="31950000"/>
    <n v="150"/>
    <n v="0"/>
  </r>
  <r>
    <s v="SKU0271"/>
    <x v="23"/>
    <s v="Office Supplies"/>
    <s v="Pack"/>
    <n v="156"/>
    <n v="13"/>
    <n v="39"/>
    <n v="10000"/>
    <s v="C-06-01"/>
    <n v="37"/>
    <n v="87"/>
    <n v="106"/>
    <x v="0"/>
    <n v="1060000"/>
    <n v="105"/>
    <n v="-1"/>
  </r>
  <r>
    <s v="SKU0272"/>
    <x v="25"/>
    <s v="Office Supplies"/>
    <s v="Box"/>
    <n v="39"/>
    <n v="6"/>
    <n v="34"/>
    <n v="12000"/>
    <s v="D-02-02"/>
    <n v="77"/>
    <n v="77"/>
    <n v="39"/>
    <x v="0"/>
    <n v="468000"/>
    <n v="40"/>
    <n v="1"/>
  </r>
  <r>
    <s v="SKU0273"/>
    <x v="24"/>
    <s v="Office Supplies"/>
    <s v="Box"/>
    <n v="40"/>
    <n v="21"/>
    <n v="50"/>
    <n v="55000"/>
    <s v="E-06-01"/>
    <n v="55"/>
    <n v="80"/>
    <n v="15"/>
    <x v="3"/>
    <n v="825000"/>
    <n v="13"/>
    <n v="-2"/>
  </r>
  <r>
    <s v="SKU0274"/>
    <x v="27"/>
    <s v="Office Supplies"/>
    <s v="Pcs"/>
    <n v="187"/>
    <n v="36"/>
    <n v="47"/>
    <n v="51000"/>
    <s v="A-09-02"/>
    <n v="121"/>
    <n v="149"/>
    <n v="159"/>
    <x v="0"/>
    <n v="8109000"/>
    <n v="156"/>
    <n v="-3"/>
  </r>
  <r>
    <s v="SKU0275"/>
    <x v="23"/>
    <s v="Office Supplies"/>
    <s v="Pack"/>
    <n v="240"/>
    <n v="50"/>
    <n v="69"/>
    <n v="13000"/>
    <s v="E-04-02"/>
    <n v="49"/>
    <n v="170"/>
    <n v="119"/>
    <x v="0"/>
    <n v="1547000"/>
    <n v="119"/>
    <n v="0"/>
  </r>
  <r>
    <s v="SKU0276"/>
    <x v="21"/>
    <s v="Office Supplies"/>
    <s v="Pcs"/>
    <n v="26"/>
    <n v="40"/>
    <n v="62"/>
    <n v="13000"/>
    <s v="B-10-01"/>
    <n v="10"/>
    <n v="92"/>
    <n v="-56"/>
    <x v="2"/>
    <n v="-728000"/>
    <n v="0"/>
    <n v="0"/>
  </r>
  <r>
    <s v="SKU0277"/>
    <x v="28"/>
    <s v="Office Supplies"/>
    <s v="Pcs"/>
    <n v="102"/>
    <n v="37"/>
    <n v="49"/>
    <n v="33000"/>
    <s v="B-03-02"/>
    <n v="20"/>
    <n v="126"/>
    <n v="-4"/>
    <x v="2"/>
    <n v="-132000"/>
    <n v="0"/>
    <n v="0"/>
  </r>
  <r>
    <s v="SKU0278"/>
    <x v="27"/>
    <s v="Office Supplies"/>
    <s v="Pcs"/>
    <n v="16"/>
    <n v="28"/>
    <n v="50"/>
    <n v="78000"/>
    <s v="C-04-02"/>
    <n v="44"/>
    <n v="157"/>
    <n v="-97"/>
    <x v="2"/>
    <n v="-7566000"/>
    <n v="0"/>
    <n v="0"/>
  </r>
  <r>
    <s v="SKU0279"/>
    <x v="29"/>
    <s v="Office Supplies"/>
    <s v="Bottle"/>
    <n v="166"/>
    <n v="10"/>
    <n v="41"/>
    <n v="83000"/>
    <s v="C-06-01"/>
    <n v="107"/>
    <n v="183"/>
    <n v="90"/>
    <x v="0"/>
    <n v="7470000"/>
    <n v="89"/>
    <n v="-1"/>
  </r>
  <r>
    <s v="SKU0280"/>
    <x v="29"/>
    <s v="Office Supplies"/>
    <s v="Bottle"/>
    <n v="206"/>
    <n v="31"/>
    <n v="54"/>
    <n v="155000"/>
    <s v="A-09-01"/>
    <n v="34"/>
    <n v="159"/>
    <n v="81"/>
    <x v="0"/>
    <n v="12555000"/>
    <n v="83"/>
    <n v="2"/>
  </r>
  <r>
    <s v="SKU0281"/>
    <x v="26"/>
    <s v="Office Supplies"/>
    <s v="Box"/>
    <n v="129"/>
    <n v="48"/>
    <n v="69"/>
    <n v="32000"/>
    <s v="A-09-01"/>
    <n v="114"/>
    <n v="112"/>
    <n v="131"/>
    <x v="0"/>
    <n v="4192000"/>
    <n v="131"/>
    <n v="0"/>
  </r>
  <r>
    <s v="SKU0282"/>
    <x v="22"/>
    <s v="Office Supplies"/>
    <s v="Pcs"/>
    <n v="206"/>
    <n v="13"/>
    <n v="51"/>
    <n v="366000"/>
    <s v="A-04-02"/>
    <n v="0"/>
    <n v="26"/>
    <n v="180"/>
    <x v="0"/>
    <n v="65880000"/>
    <n v="181"/>
    <n v="1"/>
  </r>
  <r>
    <s v="SKU0283"/>
    <x v="29"/>
    <s v="Office Supplies"/>
    <s v="Bottle"/>
    <n v="87"/>
    <n v="15"/>
    <n v="25"/>
    <n v="89000"/>
    <s v="E-06-01"/>
    <n v="28"/>
    <n v="37"/>
    <n v="78"/>
    <x v="0"/>
    <n v="6942000"/>
    <n v="77"/>
    <n v="-1"/>
  </r>
  <r>
    <s v="SKU0284"/>
    <x v="21"/>
    <s v="Office Supplies"/>
    <s v="Pcs"/>
    <n v="239"/>
    <n v="23"/>
    <n v="59"/>
    <n v="10000"/>
    <s v="B-03-02"/>
    <n v="111"/>
    <n v="52"/>
    <n v="298"/>
    <x v="0"/>
    <n v="2980000"/>
    <n v="300"/>
    <n v="2"/>
  </r>
  <r>
    <s v="SKU0285"/>
    <x v="25"/>
    <s v="Office Supplies"/>
    <s v="Box"/>
    <n v="170"/>
    <n v="24"/>
    <n v="48"/>
    <n v="9000"/>
    <s v="A-06-02"/>
    <n v="122"/>
    <n v="127"/>
    <n v="165"/>
    <x v="0"/>
    <n v="1485000"/>
    <n v="165"/>
    <n v="0"/>
  </r>
  <r>
    <s v="SKU0286"/>
    <x v="28"/>
    <s v="Office Supplies"/>
    <s v="Pcs"/>
    <n v="158"/>
    <n v="14"/>
    <n v="39"/>
    <n v="26000"/>
    <s v="E-07-01"/>
    <n v="27"/>
    <n v="139"/>
    <n v="46"/>
    <x v="0"/>
    <n v="1196000"/>
    <n v="45"/>
    <n v="-1"/>
  </r>
  <r>
    <s v="SKU0287"/>
    <x v="21"/>
    <s v="Office Supplies"/>
    <s v="Pcs"/>
    <n v="246"/>
    <n v="41"/>
    <n v="61"/>
    <n v="15000"/>
    <s v="A-06-01"/>
    <n v="274"/>
    <n v="113"/>
    <n v="407"/>
    <x v="0"/>
    <n v="6105000"/>
    <n v="404"/>
    <n v="-3"/>
  </r>
  <r>
    <s v="SKU0288"/>
    <x v="22"/>
    <s v="Office Supplies"/>
    <s v="Pcs"/>
    <n v="176"/>
    <n v="18"/>
    <n v="47"/>
    <n v="451000"/>
    <s v="C-07-02"/>
    <n v="199"/>
    <n v="121"/>
    <n v="254"/>
    <x v="0"/>
    <n v="114554000"/>
    <n v="253"/>
    <n v="-1"/>
  </r>
  <r>
    <s v="SKU0289"/>
    <x v="20"/>
    <s v="Office Supplies"/>
    <s v="Ream"/>
    <n v="237"/>
    <n v="45"/>
    <n v="67"/>
    <n v="71000"/>
    <s v="E-02-01"/>
    <n v="151"/>
    <n v="95"/>
    <n v="293"/>
    <x v="0"/>
    <n v="20803000"/>
    <n v="292"/>
    <n v="-1"/>
  </r>
  <r>
    <s v="SKU0290"/>
    <x v="23"/>
    <s v="Office Supplies"/>
    <s v="Pack"/>
    <n v="216"/>
    <n v="48"/>
    <n v="65"/>
    <n v="15000"/>
    <s v="C-10-01"/>
    <n v="77"/>
    <n v="255"/>
    <n v="38"/>
    <x v="3"/>
    <n v="570000"/>
    <n v="37"/>
    <n v="-1"/>
  </r>
  <r>
    <s v="SKU0291"/>
    <x v="20"/>
    <s v="Office Supplies"/>
    <s v="Ream"/>
    <n v="122"/>
    <n v="31"/>
    <n v="51"/>
    <n v="50000"/>
    <s v="B-04-01"/>
    <n v="149"/>
    <n v="145"/>
    <n v="126"/>
    <x v="0"/>
    <n v="6300000"/>
    <n v="128"/>
    <n v="2"/>
  </r>
  <r>
    <s v="SKU0292"/>
    <x v="22"/>
    <s v="Office Supplies"/>
    <s v="Pcs"/>
    <n v="90"/>
    <n v="50"/>
    <n v="65"/>
    <n v="327000"/>
    <s v="C-06-02"/>
    <n v="94"/>
    <n v="191"/>
    <n v="-7"/>
    <x v="2"/>
    <n v="-2289000"/>
    <n v="0"/>
    <n v="0"/>
  </r>
  <r>
    <s v="SKU0293"/>
    <x v="21"/>
    <s v="Office Supplies"/>
    <s v="Pcs"/>
    <n v="153"/>
    <n v="11"/>
    <n v="38"/>
    <n v="10000"/>
    <s v="C-10-02"/>
    <n v="124"/>
    <n v="191"/>
    <n v="86"/>
    <x v="0"/>
    <n v="860000"/>
    <n v="84"/>
    <n v="-2"/>
  </r>
  <r>
    <s v="SKU0294"/>
    <x v="25"/>
    <s v="Office Supplies"/>
    <s v="Box"/>
    <n v="73"/>
    <n v="14"/>
    <n v="22"/>
    <n v="19000"/>
    <s v="B-09-02"/>
    <n v="117"/>
    <n v="130"/>
    <n v="60"/>
    <x v="0"/>
    <n v="1140000"/>
    <n v="58"/>
    <n v="-2"/>
  </r>
  <r>
    <s v="SKU0295"/>
    <x v="22"/>
    <s v="Office Supplies"/>
    <s v="Pcs"/>
    <n v="73"/>
    <n v="15"/>
    <n v="30"/>
    <n v="608000"/>
    <s v="E-07-01"/>
    <n v="27"/>
    <n v="187"/>
    <n v="-87"/>
    <x v="2"/>
    <n v="-52896000"/>
    <n v="0"/>
    <n v="0"/>
  </r>
  <r>
    <s v="SKU0296"/>
    <x v="27"/>
    <s v="Office Supplies"/>
    <s v="Pcs"/>
    <n v="137"/>
    <n v="37"/>
    <n v="56"/>
    <n v="35000"/>
    <s v="B-10-02"/>
    <n v="299"/>
    <n v="0"/>
    <n v="436"/>
    <x v="0"/>
    <n v="15260000"/>
    <n v="436"/>
    <n v="0"/>
  </r>
  <r>
    <s v="SKU0297"/>
    <x v="20"/>
    <s v="Office Supplies"/>
    <s v="Ream"/>
    <n v="110"/>
    <n v="37"/>
    <n v="56"/>
    <n v="45000"/>
    <s v="B-04-02"/>
    <n v="31"/>
    <n v="147"/>
    <n v="-6"/>
    <x v="2"/>
    <n v="-270000"/>
    <n v="0"/>
    <n v="0"/>
  </r>
  <r>
    <s v="SKU0298"/>
    <x v="21"/>
    <s v="Office Supplies"/>
    <s v="Pcs"/>
    <n v="22"/>
    <n v="23"/>
    <n v="43"/>
    <n v="2000"/>
    <s v="E-02-02"/>
    <n v="133"/>
    <n v="98"/>
    <n v="57"/>
    <x v="0"/>
    <n v="114000"/>
    <n v="58"/>
    <n v="1"/>
  </r>
  <r>
    <s v="SKU0299"/>
    <x v="25"/>
    <s v="Office Supplies"/>
    <s v="Box"/>
    <n v="226"/>
    <n v="11"/>
    <n v="56"/>
    <n v="5000"/>
    <s v="B-07-02"/>
    <n v="127"/>
    <n v="76"/>
    <n v="277"/>
    <x v="0"/>
    <n v="1385000"/>
    <n v="275"/>
    <n v="-2"/>
  </r>
  <r>
    <s v="SKU0300"/>
    <x v="24"/>
    <s v="Office Supplies"/>
    <s v="Box"/>
    <n v="21"/>
    <n v="30"/>
    <n v="36"/>
    <n v="43000"/>
    <s v="D-06-02"/>
    <n v="68"/>
    <n v="59"/>
    <n v="30"/>
    <x v="3"/>
    <n v="1290000"/>
    <n v="32"/>
    <n v="2"/>
  </r>
  <r>
    <s v="SKU0301"/>
    <x v="30"/>
    <s v="Packaging Materials"/>
    <s v="Roll"/>
    <n v="83"/>
    <n v="9"/>
    <n v="26"/>
    <n v="45000"/>
    <s v="C-09-02"/>
    <n v="231"/>
    <n v="89"/>
    <n v="225"/>
    <x v="0"/>
    <n v="10125000"/>
    <n v="223"/>
    <n v="-2"/>
  </r>
  <r>
    <s v="SKU0302"/>
    <x v="31"/>
    <s v="Packaging Materials"/>
    <s v="Pack"/>
    <n v="42"/>
    <n v="11"/>
    <n v="28"/>
    <n v="30000"/>
    <s v="C-02-02"/>
    <n v="49"/>
    <n v="122"/>
    <n v="-31"/>
    <x v="2"/>
    <n v="-930000"/>
    <n v="0"/>
    <n v="0"/>
  </r>
  <r>
    <s v="SKU0303"/>
    <x v="30"/>
    <s v="Packaging Materials"/>
    <s v="Roll"/>
    <n v="46"/>
    <n v="17"/>
    <n v="41"/>
    <n v="58000"/>
    <s v="C-06-02"/>
    <n v="126"/>
    <n v="179"/>
    <n v="-7"/>
    <x v="2"/>
    <n v="-406000"/>
    <n v="0"/>
    <n v="0"/>
  </r>
  <r>
    <s v="SKU0304"/>
    <x v="32"/>
    <s v="Packaging Materials"/>
    <s v="Pcs"/>
    <n v="19"/>
    <n v="13"/>
    <n v="40"/>
    <n v="2000"/>
    <s v="D-01-01"/>
    <n v="122"/>
    <n v="131"/>
    <n v="10"/>
    <x v="3"/>
    <n v="20000"/>
    <n v="7"/>
    <n v="-3"/>
  </r>
  <r>
    <s v="SKU0305"/>
    <x v="33"/>
    <s v="Packaging Materials"/>
    <s v="Sheet"/>
    <n v="165"/>
    <n v="37"/>
    <n v="46"/>
    <n v="7000"/>
    <s v="D-10-01"/>
    <n v="130"/>
    <n v="72"/>
    <n v="223"/>
    <x v="0"/>
    <n v="1561000"/>
    <n v="223"/>
    <n v="0"/>
  </r>
  <r>
    <s v="SKU0306"/>
    <x v="34"/>
    <s v="Packaging Materials"/>
    <s v="Roll"/>
    <n v="167"/>
    <n v="24"/>
    <n v="47"/>
    <n v="20000"/>
    <s v="D-03-01"/>
    <n v="39"/>
    <n v="67"/>
    <n v="139"/>
    <x v="0"/>
    <n v="2780000"/>
    <n v="138"/>
    <n v="-1"/>
  </r>
  <r>
    <s v="SKU0307"/>
    <x v="35"/>
    <s v="Packaging Materials"/>
    <s v="Pcs"/>
    <n v="191"/>
    <n v="41"/>
    <n v="55"/>
    <n v="330000"/>
    <s v="A-02-01"/>
    <n v="50"/>
    <n v="124"/>
    <n v="117"/>
    <x v="0"/>
    <n v="38610000"/>
    <n v="120"/>
    <n v="3"/>
  </r>
  <r>
    <s v="SKU0308"/>
    <x v="30"/>
    <s v="Packaging Materials"/>
    <s v="Roll"/>
    <n v="38"/>
    <n v="31"/>
    <n v="54"/>
    <n v="53000"/>
    <s v="E-07-01"/>
    <n v="28"/>
    <n v="119"/>
    <n v="-53"/>
    <x v="2"/>
    <n v="-2809000"/>
    <n v="0"/>
    <n v="0"/>
  </r>
  <r>
    <s v="SKU0309"/>
    <x v="36"/>
    <s v="Packaging Materials"/>
    <s v="Roll"/>
    <n v="77"/>
    <n v="46"/>
    <n v="76"/>
    <n v="80000"/>
    <s v="D-07-02"/>
    <n v="152"/>
    <n v="93"/>
    <n v="136"/>
    <x v="0"/>
    <n v="10880000"/>
    <n v="134"/>
    <n v="-2"/>
  </r>
  <r>
    <s v="SKU0310"/>
    <x v="32"/>
    <s v="Packaging Materials"/>
    <s v="Pcs"/>
    <n v="132"/>
    <n v="15"/>
    <n v="36"/>
    <n v="11000"/>
    <s v="E-10-02"/>
    <n v="23"/>
    <n v="99"/>
    <n v="56"/>
    <x v="0"/>
    <n v="616000"/>
    <n v="56"/>
    <n v="0"/>
  </r>
  <r>
    <s v="SKU0311"/>
    <x v="34"/>
    <s v="Packaging Materials"/>
    <s v="Roll"/>
    <n v="184"/>
    <n v="20"/>
    <n v="46"/>
    <n v="34000"/>
    <s v="E-05-02"/>
    <n v="315"/>
    <n v="136"/>
    <n v="363"/>
    <x v="0"/>
    <n v="12342000"/>
    <n v="363"/>
    <n v="0"/>
  </r>
  <r>
    <s v="SKU0312"/>
    <x v="37"/>
    <s v="Packaging Materials"/>
    <s v="Roll"/>
    <n v="122"/>
    <n v="25"/>
    <n v="43"/>
    <n v="34000"/>
    <s v="C-07-01"/>
    <n v="31"/>
    <n v="98"/>
    <n v="55"/>
    <x v="0"/>
    <n v="1870000"/>
    <n v="58"/>
    <n v="3"/>
  </r>
  <r>
    <s v="SKU0313"/>
    <x v="38"/>
    <s v="Packaging Materials"/>
    <s v="Pack"/>
    <n v="208"/>
    <n v="44"/>
    <n v="64"/>
    <n v="40000"/>
    <s v="E-06-01"/>
    <n v="99"/>
    <n v="282"/>
    <n v="25"/>
    <x v="3"/>
    <n v="1000000"/>
    <n v="26"/>
    <n v="1"/>
  </r>
  <r>
    <s v="SKU0314"/>
    <x v="35"/>
    <s v="Packaging Materials"/>
    <s v="Pcs"/>
    <n v="153"/>
    <n v="25"/>
    <n v="51"/>
    <n v="186000"/>
    <s v="D-04-02"/>
    <n v="204"/>
    <n v="157"/>
    <n v="200"/>
    <x v="0"/>
    <n v="37200000"/>
    <n v="203"/>
    <n v="3"/>
  </r>
  <r>
    <s v="SKU0315"/>
    <x v="30"/>
    <s v="Packaging Materials"/>
    <s v="Roll"/>
    <n v="127"/>
    <n v="39"/>
    <n v="54"/>
    <n v="21000"/>
    <s v="C-03-02"/>
    <n v="159"/>
    <n v="139"/>
    <n v="147"/>
    <x v="0"/>
    <n v="3087000"/>
    <n v="147"/>
    <n v="0"/>
  </r>
  <r>
    <s v="SKU0316"/>
    <x v="36"/>
    <s v="Packaging Materials"/>
    <s v="Roll"/>
    <n v="59"/>
    <n v="20"/>
    <n v="33"/>
    <n v="81000"/>
    <s v="B-10-01"/>
    <n v="75"/>
    <n v="70"/>
    <n v="64"/>
    <x v="0"/>
    <n v="5184000"/>
    <n v="61"/>
    <n v="-3"/>
  </r>
  <r>
    <s v="SKU0317"/>
    <x v="31"/>
    <s v="Packaging Materials"/>
    <s v="Pack"/>
    <n v="190"/>
    <n v="18"/>
    <n v="47"/>
    <n v="51000"/>
    <s v="C-01-01"/>
    <n v="115"/>
    <n v="46"/>
    <n v="259"/>
    <x v="0"/>
    <n v="13209000"/>
    <n v="259"/>
    <n v="0"/>
  </r>
  <r>
    <s v="SKU0318"/>
    <x v="30"/>
    <s v="Packaging Materials"/>
    <s v="Roll"/>
    <n v="249"/>
    <n v="22"/>
    <n v="62"/>
    <n v="45000"/>
    <s v="D-07-02"/>
    <n v="34"/>
    <n v="100"/>
    <n v="183"/>
    <x v="0"/>
    <n v="8235000"/>
    <n v="182"/>
    <n v="-1"/>
  </r>
  <r>
    <s v="SKU0319"/>
    <x v="38"/>
    <s v="Packaging Materials"/>
    <s v="Pack"/>
    <n v="219"/>
    <n v="27"/>
    <n v="56"/>
    <n v="33000"/>
    <s v="B-09-02"/>
    <n v="37"/>
    <n v="115"/>
    <n v="141"/>
    <x v="0"/>
    <n v="4653000"/>
    <n v="139"/>
    <n v="-2"/>
  </r>
  <r>
    <s v="SKU0320"/>
    <x v="31"/>
    <s v="Packaging Materials"/>
    <s v="Pack"/>
    <n v="98"/>
    <n v="33"/>
    <n v="58"/>
    <n v="25000"/>
    <s v="E-08-02"/>
    <n v="101"/>
    <n v="29"/>
    <n v="170"/>
    <x v="0"/>
    <n v="4250000"/>
    <n v="171"/>
    <n v="1"/>
  </r>
  <r>
    <s v="SKU0321"/>
    <x v="37"/>
    <s v="Packaging Materials"/>
    <s v="Roll"/>
    <n v="221"/>
    <n v="39"/>
    <n v="55"/>
    <n v="81000"/>
    <s v="E-05-02"/>
    <n v="106"/>
    <n v="190"/>
    <n v="137"/>
    <x v="0"/>
    <n v="11097000"/>
    <n v="134"/>
    <n v="-3"/>
  </r>
  <r>
    <s v="SKU0322"/>
    <x v="34"/>
    <s v="Packaging Materials"/>
    <s v="Roll"/>
    <n v="167"/>
    <n v="42"/>
    <n v="54"/>
    <n v="11000"/>
    <s v="A-04-01"/>
    <n v="0"/>
    <n v="134"/>
    <n v="33"/>
    <x v="3"/>
    <n v="363000"/>
    <n v="33"/>
    <n v="0"/>
  </r>
  <r>
    <s v="SKU0323"/>
    <x v="37"/>
    <s v="Packaging Materials"/>
    <s v="Roll"/>
    <n v="23"/>
    <n v="11"/>
    <n v="29"/>
    <n v="89000"/>
    <s v="E-06-02"/>
    <n v="123"/>
    <n v="132"/>
    <n v="14"/>
    <x v="1"/>
    <n v="1246000"/>
    <n v="13"/>
    <n v="-1"/>
  </r>
  <r>
    <s v="SKU0324"/>
    <x v="39"/>
    <s v="Packaging Materials"/>
    <s v="Roll"/>
    <n v="207"/>
    <n v="13"/>
    <n v="51"/>
    <n v="112000"/>
    <s v="B-01-01"/>
    <n v="183"/>
    <n v="160"/>
    <n v="230"/>
    <x v="0"/>
    <n v="25760000"/>
    <n v="229"/>
    <n v="-1"/>
  </r>
  <r>
    <s v="SKU0325"/>
    <x v="33"/>
    <s v="Packaging Materials"/>
    <s v="Sheet"/>
    <n v="176"/>
    <n v="17"/>
    <n v="46"/>
    <n v="18000"/>
    <s v="C-01-02"/>
    <n v="105"/>
    <n v="193"/>
    <n v="88"/>
    <x v="0"/>
    <n v="1584000"/>
    <n v="85"/>
    <n v="-3"/>
  </r>
  <r>
    <s v="SKU0326"/>
    <x v="32"/>
    <s v="Packaging Materials"/>
    <s v="Pcs"/>
    <n v="32"/>
    <n v="46"/>
    <n v="69"/>
    <n v="14000"/>
    <s v="D-05-01"/>
    <n v="120"/>
    <n v="166"/>
    <n v="-14"/>
    <x v="2"/>
    <n v="-196000"/>
    <n v="0"/>
    <n v="0"/>
  </r>
  <r>
    <s v="SKU0327"/>
    <x v="34"/>
    <s v="Packaging Materials"/>
    <s v="Roll"/>
    <n v="235"/>
    <n v="16"/>
    <n v="58"/>
    <n v="21000"/>
    <s v="D-02-02"/>
    <n v="59"/>
    <n v="260"/>
    <n v="34"/>
    <x v="1"/>
    <n v="714000"/>
    <n v="35"/>
    <n v="1"/>
  </r>
  <r>
    <s v="SKU0328"/>
    <x v="31"/>
    <s v="Packaging Materials"/>
    <s v="Pack"/>
    <n v="12"/>
    <n v="24"/>
    <n v="47"/>
    <n v="19000"/>
    <s v="A-07-02"/>
    <n v="66"/>
    <n v="67"/>
    <n v="11"/>
    <x v="3"/>
    <n v="209000"/>
    <n v="14"/>
    <n v="3"/>
  </r>
  <r>
    <s v="SKU0329"/>
    <x v="31"/>
    <s v="Packaging Materials"/>
    <s v="Pack"/>
    <n v="174"/>
    <n v="39"/>
    <n v="60"/>
    <n v="73000"/>
    <s v="A-09-02"/>
    <n v="68"/>
    <n v="129"/>
    <n v="113"/>
    <x v="0"/>
    <n v="8249000"/>
    <n v="110"/>
    <n v="-3"/>
  </r>
  <r>
    <s v="SKU0330"/>
    <x v="33"/>
    <s v="Packaging Materials"/>
    <s v="Sheet"/>
    <n v="59"/>
    <n v="12"/>
    <n v="27"/>
    <n v="11000"/>
    <s v="E-07-02"/>
    <n v="190"/>
    <n v="70"/>
    <n v="179"/>
    <x v="0"/>
    <n v="1969000"/>
    <n v="177"/>
    <n v="-2"/>
  </r>
  <r>
    <s v="SKU0331"/>
    <x v="31"/>
    <s v="Packaging Materials"/>
    <s v="Pack"/>
    <n v="13"/>
    <n v="26"/>
    <n v="56"/>
    <n v="38000"/>
    <s v="D-07-01"/>
    <n v="306"/>
    <n v="130"/>
    <n v="189"/>
    <x v="0"/>
    <n v="7182000"/>
    <n v="189"/>
    <n v="0"/>
  </r>
  <r>
    <s v="SKU0332"/>
    <x v="34"/>
    <s v="Packaging Materials"/>
    <s v="Roll"/>
    <n v="229"/>
    <n v="45"/>
    <n v="62"/>
    <n v="27000"/>
    <s v="D-03-02"/>
    <n v="73"/>
    <n v="94"/>
    <n v="208"/>
    <x v="0"/>
    <n v="5616000"/>
    <n v="207"/>
    <n v="-1"/>
  </r>
  <r>
    <s v="SKU0333"/>
    <x v="39"/>
    <s v="Packaging Materials"/>
    <s v="Roll"/>
    <n v="181"/>
    <n v="11"/>
    <n v="45"/>
    <n v="76000"/>
    <s v="D-01-02"/>
    <n v="114"/>
    <n v="142"/>
    <n v="153"/>
    <x v="0"/>
    <n v="11628000"/>
    <n v="154"/>
    <n v="1"/>
  </r>
  <r>
    <s v="SKU0334"/>
    <x v="37"/>
    <s v="Packaging Materials"/>
    <s v="Roll"/>
    <n v="76"/>
    <n v="29"/>
    <n v="41"/>
    <n v="31000"/>
    <s v="E-09-01"/>
    <n v="154"/>
    <n v="115"/>
    <n v="115"/>
    <x v="0"/>
    <n v="3565000"/>
    <n v="115"/>
    <n v="0"/>
  </r>
  <r>
    <s v="SKU0335"/>
    <x v="30"/>
    <s v="Packaging Materials"/>
    <s v="Roll"/>
    <n v="159"/>
    <n v="41"/>
    <n v="46"/>
    <n v="29000"/>
    <s v="E-02-02"/>
    <n v="27"/>
    <n v="135"/>
    <n v="51"/>
    <x v="0"/>
    <n v="1479000"/>
    <n v="53"/>
    <n v="2"/>
  </r>
  <r>
    <s v="SKU0336"/>
    <x v="37"/>
    <s v="Packaging Materials"/>
    <s v="Roll"/>
    <n v="180"/>
    <n v="12"/>
    <n v="45"/>
    <n v="45000"/>
    <s v="B-01-01"/>
    <n v="244"/>
    <n v="49"/>
    <n v="375"/>
    <x v="0"/>
    <n v="16875000"/>
    <n v="373"/>
    <n v="-2"/>
  </r>
  <r>
    <s v="SKU0337"/>
    <x v="35"/>
    <s v="Packaging Materials"/>
    <s v="Pcs"/>
    <n v="186"/>
    <n v="12"/>
    <n v="46"/>
    <n v="239000"/>
    <s v="C-04-02"/>
    <n v="37"/>
    <n v="126"/>
    <n v="97"/>
    <x v="0"/>
    <n v="23183000"/>
    <n v="94"/>
    <n v="-3"/>
  </r>
  <r>
    <s v="SKU0338"/>
    <x v="37"/>
    <s v="Packaging Materials"/>
    <s v="Roll"/>
    <n v="44"/>
    <n v="35"/>
    <n v="44"/>
    <n v="86000"/>
    <s v="E-08-02"/>
    <n v="71"/>
    <n v="69"/>
    <n v="46"/>
    <x v="0"/>
    <n v="3956000"/>
    <n v="47"/>
    <n v="1"/>
  </r>
  <r>
    <s v="SKU0339"/>
    <x v="30"/>
    <s v="Packaging Materials"/>
    <s v="Roll"/>
    <n v="189"/>
    <n v="40"/>
    <n v="60"/>
    <n v="36000"/>
    <s v="E-03-02"/>
    <n v="66"/>
    <n v="93"/>
    <n v="162"/>
    <x v="0"/>
    <n v="5832000"/>
    <n v="165"/>
    <n v="3"/>
  </r>
  <r>
    <s v="SKU0340"/>
    <x v="37"/>
    <s v="Packaging Materials"/>
    <s v="Roll"/>
    <n v="144"/>
    <n v="33"/>
    <n v="54"/>
    <n v="50000"/>
    <s v="A-05-02"/>
    <n v="144"/>
    <n v="203"/>
    <n v="85"/>
    <x v="0"/>
    <n v="4250000"/>
    <n v="82"/>
    <n v="-3"/>
  </r>
  <r>
    <s v="SKU0341"/>
    <x v="39"/>
    <s v="Packaging Materials"/>
    <s v="Roll"/>
    <n v="222"/>
    <n v="40"/>
    <n v="61"/>
    <n v="32000"/>
    <s v="D-07-02"/>
    <n v="144"/>
    <n v="99"/>
    <n v="267"/>
    <x v="0"/>
    <n v="8544000"/>
    <n v="265"/>
    <n v="-2"/>
  </r>
  <r>
    <s v="SKU0342"/>
    <x v="34"/>
    <s v="Packaging Materials"/>
    <s v="Roll"/>
    <n v="93"/>
    <n v="38"/>
    <n v="57"/>
    <n v="13000"/>
    <s v="E-04-02"/>
    <n v="13"/>
    <n v="168"/>
    <n v="-62"/>
    <x v="2"/>
    <n v="-806000"/>
    <n v="0"/>
    <n v="0"/>
  </r>
  <r>
    <s v="SKU0343"/>
    <x v="36"/>
    <s v="Packaging Materials"/>
    <s v="Roll"/>
    <n v="33"/>
    <n v="37"/>
    <n v="56"/>
    <n v="82000"/>
    <s v="C-10-01"/>
    <n v="0"/>
    <n v="91"/>
    <n v="-58"/>
    <x v="2"/>
    <n v="-4756000"/>
    <n v="0"/>
    <n v="0"/>
  </r>
  <r>
    <s v="SKU0344"/>
    <x v="35"/>
    <s v="Packaging Materials"/>
    <s v="Pcs"/>
    <n v="126"/>
    <n v="41"/>
    <n v="47"/>
    <n v="292000"/>
    <s v="C-10-02"/>
    <n v="98"/>
    <n v="124"/>
    <n v="100"/>
    <x v="0"/>
    <n v="29200000"/>
    <n v="97"/>
    <n v="-3"/>
  </r>
  <r>
    <s v="SKU0345"/>
    <x v="32"/>
    <s v="Packaging Materials"/>
    <s v="Pcs"/>
    <n v="75"/>
    <n v="5"/>
    <n v="33"/>
    <n v="8000"/>
    <s v="D-08-01"/>
    <n v="86"/>
    <n v="66"/>
    <n v="95"/>
    <x v="0"/>
    <n v="760000"/>
    <n v="95"/>
    <n v="0"/>
  </r>
  <r>
    <s v="SKU0346"/>
    <x v="32"/>
    <s v="Packaging Materials"/>
    <s v="Pcs"/>
    <n v="98"/>
    <n v="49"/>
    <n v="56"/>
    <n v="8000"/>
    <s v="A-04-02"/>
    <n v="92"/>
    <n v="45"/>
    <n v="145"/>
    <x v="0"/>
    <n v="1160000"/>
    <n v="143"/>
    <n v="-2"/>
  </r>
  <r>
    <s v="SKU0347"/>
    <x v="33"/>
    <s v="Packaging Materials"/>
    <s v="Sheet"/>
    <n v="83"/>
    <n v="31"/>
    <n v="41"/>
    <n v="4000"/>
    <s v="E-10-01"/>
    <n v="114"/>
    <n v="144"/>
    <n v="53"/>
    <x v="0"/>
    <n v="212000"/>
    <n v="54"/>
    <n v="1"/>
  </r>
  <r>
    <s v="SKU0348"/>
    <x v="30"/>
    <s v="Packaging Materials"/>
    <s v="Roll"/>
    <n v="124"/>
    <n v="29"/>
    <n v="46"/>
    <n v="34000"/>
    <s v="E-04-02"/>
    <n v="87"/>
    <n v="147"/>
    <n v="64"/>
    <x v="0"/>
    <n v="2176000"/>
    <n v="64"/>
    <n v="0"/>
  </r>
  <r>
    <s v="SKU0349"/>
    <x v="34"/>
    <s v="Packaging Materials"/>
    <s v="Roll"/>
    <n v="230"/>
    <n v="27"/>
    <n v="57"/>
    <n v="28000"/>
    <s v="D-05-01"/>
    <n v="148"/>
    <n v="106"/>
    <n v="272"/>
    <x v="0"/>
    <n v="7616000"/>
    <n v="274"/>
    <n v="2"/>
  </r>
  <r>
    <s v="SKU0350"/>
    <x v="35"/>
    <s v="Packaging Materials"/>
    <s v="Pcs"/>
    <n v="196"/>
    <n v="19"/>
    <n v="49"/>
    <n v="145000"/>
    <s v="B-10-01"/>
    <n v="150"/>
    <n v="54"/>
    <n v="292"/>
    <x v="0"/>
    <n v="42340000"/>
    <n v="289"/>
    <n v="-3"/>
  </r>
  <r>
    <s v="SKU0351"/>
    <x v="35"/>
    <s v="Packaging Materials"/>
    <s v="Pcs"/>
    <n v="146"/>
    <n v="29"/>
    <n v="41"/>
    <n v="297000"/>
    <s v="C-10-01"/>
    <n v="93"/>
    <n v="251"/>
    <n v="-12"/>
    <x v="2"/>
    <n v="-3564000"/>
    <n v="0"/>
    <n v="0"/>
  </r>
  <r>
    <s v="SKU0352"/>
    <x v="34"/>
    <s v="Packaging Materials"/>
    <s v="Roll"/>
    <n v="58"/>
    <n v="12"/>
    <n v="18"/>
    <n v="16000"/>
    <s v="D-10-01"/>
    <n v="161"/>
    <n v="77"/>
    <n v="142"/>
    <x v="0"/>
    <n v="2272000"/>
    <n v="139"/>
    <n v="-3"/>
  </r>
  <r>
    <s v="SKU0353"/>
    <x v="37"/>
    <s v="Packaging Materials"/>
    <s v="Roll"/>
    <n v="27"/>
    <n v="11"/>
    <n v="35"/>
    <n v="82000"/>
    <s v="C-09-02"/>
    <n v="289"/>
    <n v="295"/>
    <n v="21"/>
    <x v="1"/>
    <n v="1722000"/>
    <n v="18"/>
    <n v="-3"/>
  </r>
  <r>
    <s v="SKU0354"/>
    <x v="32"/>
    <s v="Packaging Materials"/>
    <s v="Pcs"/>
    <n v="199"/>
    <n v="7"/>
    <n v="49"/>
    <n v="5000"/>
    <s v="B-05-02"/>
    <n v="186"/>
    <n v="150"/>
    <n v="235"/>
    <x v="0"/>
    <n v="1175000"/>
    <n v="235"/>
    <n v="0"/>
  </r>
  <r>
    <s v="SKU0355"/>
    <x v="37"/>
    <s v="Packaging Materials"/>
    <s v="Roll"/>
    <n v="45"/>
    <n v="37"/>
    <n v="51"/>
    <n v="44000"/>
    <s v="E-07-02"/>
    <n v="80"/>
    <n v="53"/>
    <n v="72"/>
    <x v="0"/>
    <n v="3168000"/>
    <n v="72"/>
    <n v="0"/>
  </r>
  <r>
    <s v="SKU0356"/>
    <x v="30"/>
    <s v="Packaging Materials"/>
    <s v="Roll"/>
    <n v="163"/>
    <n v="48"/>
    <n v="63"/>
    <n v="46000"/>
    <s v="B-10-01"/>
    <n v="214"/>
    <n v="45"/>
    <n v="332"/>
    <x v="0"/>
    <n v="15272000"/>
    <n v="332"/>
    <n v="0"/>
  </r>
  <r>
    <s v="SKU0357"/>
    <x v="35"/>
    <s v="Packaging Materials"/>
    <s v="Pcs"/>
    <n v="115"/>
    <n v="24"/>
    <n v="37"/>
    <n v="193000"/>
    <s v="D-06-02"/>
    <n v="252"/>
    <n v="107"/>
    <n v="260"/>
    <x v="0"/>
    <n v="50180000"/>
    <n v="259"/>
    <n v="-1"/>
  </r>
  <r>
    <s v="SKU0358"/>
    <x v="34"/>
    <s v="Packaging Materials"/>
    <s v="Roll"/>
    <n v="183"/>
    <n v="32"/>
    <n v="54"/>
    <n v="28000"/>
    <s v="A-04-01"/>
    <n v="295"/>
    <n v="99"/>
    <n v="379"/>
    <x v="0"/>
    <n v="10612000"/>
    <n v="380"/>
    <n v="1"/>
  </r>
  <r>
    <s v="SKU0359"/>
    <x v="38"/>
    <s v="Packaging Materials"/>
    <s v="Pack"/>
    <n v="188"/>
    <n v="31"/>
    <n v="49"/>
    <n v="28000"/>
    <s v="B-10-01"/>
    <n v="370"/>
    <n v="190"/>
    <n v="368"/>
    <x v="0"/>
    <n v="10304000"/>
    <n v="370"/>
    <n v="2"/>
  </r>
  <r>
    <s v="SKU0360"/>
    <x v="34"/>
    <s v="Packaging Materials"/>
    <s v="Roll"/>
    <n v="147"/>
    <n v="35"/>
    <n v="47"/>
    <n v="32000"/>
    <s v="B-10-01"/>
    <n v="213"/>
    <n v="48"/>
    <n v="312"/>
    <x v="0"/>
    <n v="9984000"/>
    <n v="311"/>
    <n v="-1"/>
  </r>
  <r>
    <s v="SKU0361"/>
    <x v="33"/>
    <s v="Packaging Materials"/>
    <s v="Sheet"/>
    <n v="153"/>
    <n v="31"/>
    <n v="49"/>
    <n v="4000"/>
    <s v="D-04-02"/>
    <n v="152"/>
    <n v="98"/>
    <n v="207"/>
    <x v="0"/>
    <n v="828000"/>
    <n v="207"/>
    <n v="0"/>
  </r>
  <r>
    <s v="SKU0362"/>
    <x v="38"/>
    <s v="Packaging Materials"/>
    <s v="Pack"/>
    <n v="75"/>
    <n v="18"/>
    <n v="33"/>
    <n v="23000"/>
    <s v="C-09-02"/>
    <n v="81"/>
    <n v="75"/>
    <n v="81"/>
    <x v="0"/>
    <n v="1863000"/>
    <n v="81"/>
    <n v="0"/>
  </r>
  <r>
    <s v="SKU0363"/>
    <x v="39"/>
    <s v="Packaging Materials"/>
    <s v="Roll"/>
    <n v="195"/>
    <n v="17"/>
    <n v="48"/>
    <n v="93000"/>
    <s v="C-05-01"/>
    <n v="46"/>
    <n v="52"/>
    <n v="189"/>
    <x v="0"/>
    <n v="17577000"/>
    <n v="190"/>
    <n v="1"/>
  </r>
  <r>
    <s v="SKU0364"/>
    <x v="36"/>
    <s v="Packaging Materials"/>
    <s v="Roll"/>
    <n v="233"/>
    <n v="9"/>
    <n v="58"/>
    <n v="25000"/>
    <s v="E-07-01"/>
    <n v="242"/>
    <n v="68"/>
    <n v="407"/>
    <x v="0"/>
    <n v="10175000"/>
    <n v="407"/>
    <n v="0"/>
  </r>
  <r>
    <s v="SKU0365"/>
    <x v="37"/>
    <s v="Packaging Materials"/>
    <s v="Roll"/>
    <n v="63"/>
    <n v="26"/>
    <n v="40"/>
    <n v="152000"/>
    <s v="B-04-02"/>
    <n v="152"/>
    <n v="167"/>
    <n v="48"/>
    <x v="0"/>
    <n v="7296000"/>
    <n v="46"/>
    <n v="-2"/>
  </r>
  <r>
    <s v="SKU0366"/>
    <x v="39"/>
    <s v="Packaging Materials"/>
    <s v="Roll"/>
    <n v="203"/>
    <n v="35"/>
    <n v="50"/>
    <n v="120000"/>
    <s v="E-06-01"/>
    <n v="138"/>
    <n v="203"/>
    <n v="138"/>
    <x v="0"/>
    <n v="16560000"/>
    <n v="140"/>
    <n v="2"/>
  </r>
  <r>
    <s v="SKU0367"/>
    <x v="38"/>
    <s v="Packaging Materials"/>
    <s v="Pack"/>
    <n v="151"/>
    <n v="25"/>
    <n v="54"/>
    <n v="23000"/>
    <s v="C-05-01"/>
    <n v="87"/>
    <n v="70"/>
    <n v="168"/>
    <x v="0"/>
    <n v="3864000"/>
    <n v="167"/>
    <n v="-1"/>
  </r>
  <r>
    <s v="SKU0368"/>
    <x v="35"/>
    <s v="Packaging Materials"/>
    <s v="Pcs"/>
    <n v="88"/>
    <n v="21"/>
    <n v="37"/>
    <n v="263000"/>
    <s v="D-02-02"/>
    <n v="116"/>
    <n v="156"/>
    <n v="48"/>
    <x v="0"/>
    <n v="12624000"/>
    <n v="48"/>
    <n v="0"/>
  </r>
  <r>
    <s v="SKU0369"/>
    <x v="39"/>
    <s v="Packaging Materials"/>
    <s v="Roll"/>
    <n v="130"/>
    <n v="25"/>
    <n v="36"/>
    <n v="117000"/>
    <s v="C-01-01"/>
    <n v="63"/>
    <n v="114"/>
    <n v="79"/>
    <x v="0"/>
    <n v="9243000"/>
    <n v="81"/>
    <n v="2"/>
  </r>
  <r>
    <s v="SKU0370"/>
    <x v="32"/>
    <s v="Packaging Materials"/>
    <s v="Pcs"/>
    <n v="231"/>
    <n v="19"/>
    <n v="57"/>
    <n v="11000"/>
    <s v="A-02-01"/>
    <n v="150"/>
    <n v="28"/>
    <n v="353"/>
    <x v="0"/>
    <n v="3883000"/>
    <n v="354"/>
    <n v="1"/>
  </r>
  <r>
    <s v="SKU0371"/>
    <x v="35"/>
    <s v="Packaging Materials"/>
    <s v="Pcs"/>
    <n v="85"/>
    <n v="14"/>
    <n v="25"/>
    <n v="293000"/>
    <s v="B-05-02"/>
    <n v="102"/>
    <n v="303"/>
    <n v="-116"/>
    <x v="2"/>
    <n v="-33988000"/>
    <n v="0"/>
    <n v="0"/>
  </r>
  <r>
    <s v="SKU0372"/>
    <x v="36"/>
    <s v="Packaging Materials"/>
    <s v="Roll"/>
    <n v="137"/>
    <n v="40"/>
    <n v="65"/>
    <n v="51000"/>
    <s v="B-07-01"/>
    <n v="119"/>
    <n v="54"/>
    <n v="202"/>
    <x v="0"/>
    <n v="10302000"/>
    <n v="205"/>
    <n v="3"/>
  </r>
  <r>
    <s v="SKU0373"/>
    <x v="33"/>
    <s v="Packaging Materials"/>
    <s v="Sheet"/>
    <n v="53"/>
    <n v="27"/>
    <n v="37"/>
    <n v="17000"/>
    <s v="E-07-01"/>
    <n v="74"/>
    <n v="51"/>
    <n v="76"/>
    <x v="0"/>
    <n v="1292000"/>
    <n v="73"/>
    <n v="-3"/>
  </r>
  <r>
    <s v="SKU0374"/>
    <x v="33"/>
    <s v="Packaging Materials"/>
    <s v="Sheet"/>
    <n v="244"/>
    <n v="39"/>
    <n v="64"/>
    <n v="8000"/>
    <s v="D-04-02"/>
    <n v="87"/>
    <n v="116"/>
    <n v="215"/>
    <x v="0"/>
    <n v="1720000"/>
    <n v="218"/>
    <n v="3"/>
  </r>
  <r>
    <s v="SKU0375"/>
    <x v="39"/>
    <s v="Packaging Materials"/>
    <s v="Roll"/>
    <n v="22"/>
    <n v="5"/>
    <n v="23"/>
    <n v="110000"/>
    <s v="E-01-01"/>
    <n v="112"/>
    <n v="206"/>
    <n v="-72"/>
    <x v="2"/>
    <n v="-7920000"/>
    <n v="0"/>
    <n v="0"/>
  </r>
  <r>
    <s v="SKU0376"/>
    <x v="39"/>
    <s v="Packaging Materials"/>
    <s v="Roll"/>
    <n v="48"/>
    <n v="5"/>
    <n v="16"/>
    <n v="115000"/>
    <s v="C-10-01"/>
    <n v="214"/>
    <n v="103"/>
    <n v="159"/>
    <x v="0"/>
    <n v="18285000"/>
    <n v="156"/>
    <n v="-3"/>
  </r>
  <r>
    <s v="SKU0377"/>
    <x v="32"/>
    <s v="Packaging Materials"/>
    <s v="Pcs"/>
    <n v="173"/>
    <n v="47"/>
    <n v="71"/>
    <n v="11000"/>
    <s v="E-03-01"/>
    <n v="289"/>
    <n v="37"/>
    <n v="425"/>
    <x v="0"/>
    <n v="4675000"/>
    <n v="426"/>
    <n v="1"/>
  </r>
  <r>
    <s v="SKU0378"/>
    <x v="32"/>
    <s v="Packaging Materials"/>
    <s v="Pcs"/>
    <n v="146"/>
    <n v="40"/>
    <n v="58"/>
    <n v="2000"/>
    <s v="A-02-01"/>
    <n v="227"/>
    <n v="104"/>
    <n v="269"/>
    <x v="0"/>
    <n v="538000"/>
    <n v="269"/>
    <n v="0"/>
  </r>
  <r>
    <s v="SKU0379"/>
    <x v="31"/>
    <s v="Packaging Materials"/>
    <s v="Pack"/>
    <n v="14"/>
    <n v="37"/>
    <n v="64"/>
    <n v="51000"/>
    <s v="B-02-01"/>
    <n v="164"/>
    <n v="87"/>
    <n v="91"/>
    <x v="0"/>
    <n v="4641000"/>
    <n v="91"/>
    <n v="0"/>
  </r>
  <r>
    <s v="SKU0380"/>
    <x v="39"/>
    <s v="Packaging Materials"/>
    <s v="Roll"/>
    <n v="48"/>
    <n v="20"/>
    <n v="31"/>
    <n v="92000"/>
    <s v="D-04-02"/>
    <n v="237"/>
    <n v="167"/>
    <n v="118"/>
    <x v="0"/>
    <n v="10856000"/>
    <n v="115"/>
    <n v="-3"/>
  </r>
  <r>
    <s v="SKU0381"/>
    <x v="30"/>
    <s v="Packaging Materials"/>
    <s v="Roll"/>
    <n v="213"/>
    <n v="30"/>
    <n v="53"/>
    <n v="27000"/>
    <s v="C-06-02"/>
    <n v="230"/>
    <n v="63"/>
    <n v="380"/>
    <x v="0"/>
    <n v="10260000"/>
    <n v="379"/>
    <n v="-1"/>
  </r>
  <r>
    <s v="SKU0382"/>
    <x v="36"/>
    <s v="Packaging Materials"/>
    <s v="Roll"/>
    <n v="188"/>
    <n v="19"/>
    <n v="47"/>
    <n v="51000"/>
    <s v="E-02-02"/>
    <n v="166"/>
    <n v="47"/>
    <n v="307"/>
    <x v="0"/>
    <n v="15657000"/>
    <n v="307"/>
    <n v="0"/>
  </r>
  <r>
    <s v="SKU0383"/>
    <x v="39"/>
    <s v="Packaging Materials"/>
    <s v="Roll"/>
    <n v="107"/>
    <n v="29"/>
    <n v="51"/>
    <n v="76000"/>
    <s v="A-04-02"/>
    <n v="145"/>
    <n v="52"/>
    <n v="200"/>
    <x v="0"/>
    <n v="15200000"/>
    <n v="203"/>
    <n v="3"/>
  </r>
  <r>
    <s v="SKU0384"/>
    <x v="34"/>
    <s v="Packaging Materials"/>
    <s v="Roll"/>
    <n v="137"/>
    <n v="32"/>
    <n v="57"/>
    <n v="10000"/>
    <s v="D-07-01"/>
    <n v="86"/>
    <n v="128"/>
    <n v="95"/>
    <x v="0"/>
    <n v="950000"/>
    <n v="95"/>
    <n v="0"/>
  </r>
  <r>
    <s v="SKU0385"/>
    <x v="35"/>
    <s v="Packaging Materials"/>
    <s v="Pcs"/>
    <n v="68"/>
    <n v="18"/>
    <n v="45"/>
    <n v="101000"/>
    <s v="D-01-01"/>
    <n v="90"/>
    <n v="228"/>
    <n v="-70"/>
    <x v="2"/>
    <n v="-7070000"/>
    <n v="0"/>
    <n v="0"/>
  </r>
  <r>
    <s v="SKU0386"/>
    <x v="32"/>
    <s v="Packaging Materials"/>
    <s v="Pcs"/>
    <n v="185"/>
    <n v="22"/>
    <n v="46"/>
    <n v="3000"/>
    <s v="E-03-01"/>
    <n v="65"/>
    <n v="138"/>
    <n v="112"/>
    <x v="0"/>
    <n v="336000"/>
    <n v="112"/>
    <n v="0"/>
  </r>
  <r>
    <s v="SKU0387"/>
    <x v="34"/>
    <s v="Packaging Materials"/>
    <s v="Roll"/>
    <n v="90"/>
    <n v="6"/>
    <n v="22"/>
    <n v="35000"/>
    <s v="A-10-01"/>
    <n v="141"/>
    <n v="70"/>
    <n v="161"/>
    <x v="0"/>
    <n v="5635000"/>
    <n v="161"/>
    <n v="0"/>
  </r>
  <r>
    <s v="SKU0388"/>
    <x v="39"/>
    <s v="Packaging Materials"/>
    <s v="Roll"/>
    <n v="51"/>
    <n v="41"/>
    <n v="53"/>
    <n v="63000"/>
    <s v="C-05-02"/>
    <n v="169"/>
    <n v="154"/>
    <n v="66"/>
    <x v="0"/>
    <n v="4158000"/>
    <n v="65"/>
    <n v="-1"/>
  </r>
  <r>
    <s v="SKU0389"/>
    <x v="30"/>
    <s v="Packaging Materials"/>
    <s v="Roll"/>
    <n v="203"/>
    <n v="13"/>
    <n v="50"/>
    <n v="34000"/>
    <s v="D-03-01"/>
    <n v="0"/>
    <n v="25"/>
    <n v="178"/>
    <x v="0"/>
    <n v="6052000"/>
    <n v="180"/>
    <n v="2"/>
  </r>
  <r>
    <s v="SKU0390"/>
    <x v="32"/>
    <s v="Packaging Materials"/>
    <s v="Pcs"/>
    <n v="121"/>
    <n v="19"/>
    <n v="30"/>
    <n v="3000"/>
    <s v="D-09-02"/>
    <n v="150"/>
    <n v="85"/>
    <n v="186"/>
    <x v="0"/>
    <n v="558000"/>
    <n v="185"/>
    <n v="-1"/>
  </r>
  <r>
    <s v="SKU0391"/>
    <x v="36"/>
    <s v="Packaging Materials"/>
    <s v="Roll"/>
    <n v="208"/>
    <n v="25"/>
    <n v="52"/>
    <n v="70000"/>
    <s v="C-09-02"/>
    <n v="57"/>
    <n v="174"/>
    <n v="91"/>
    <x v="0"/>
    <n v="6370000"/>
    <n v="93"/>
    <n v="2"/>
  </r>
  <r>
    <s v="SKU0392"/>
    <x v="37"/>
    <s v="Packaging Materials"/>
    <s v="Roll"/>
    <n v="151"/>
    <n v="29"/>
    <n v="47"/>
    <n v="121000"/>
    <s v="E-04-02"/>
    <n v="209"/>
    <n v="166"/>
    <n v="194"/>
    <x v="0"/>
    <n v="23474000"/>
    <n v="193"/>
    <n v="-1"/>
  </r>
  <r>
    <s v="SKU0393"/>
    <x v="38"/>
    <s v="Packaging Materials"/>
    <s v="Pack"/>
    <n v="207"/>
    <n v="44"/>
    <n v="58"/>
    <n v="13000"/>
    <s v="E-06-02"/>
    <n v="122"/>
    <n v="109"/>
    <n v="220"/>
    <x v="0"/>
    <n v="2860000"/>
    <n v="223"/>
    <n v="3"/>
  </r>
  <r>
    <s v="SKU0394"/>
    <x v="39"/>
    <s v="Packaging Materials"/>
    <s v="Roll"/>
    <n v="49"/>
    <n v="29"/>
    <n v="56"/>
    <n v="59000"/>
    <s v="E-08-01"/>
    <n v="92"/>
    <n v="49"/>
    <n v="92"/>
    <x v="0"/>
    <n v="5428000"/>
    <n v="90"/>
    <n v="-2"/>
  </r>
  <r>
    <s v="SKU0395"/>
    <x v="30"/>
    <s v="Packaging Materials"/>
    <s v="Roll"/>
    <n v="37"/>
    <n v="10"/>
    <n v="15"/>
    <n v="33000"/>
    <s v="C-09-01"/>
    <n v="268"/>
    <n v="176"/>
    <n v="129"/>
    <x v="0"/>
    <n v="4257000"/>
    <n v="128"/>
    <n v="-1"/>
  </r>
  <r>
    <s v="SKU0396"/>
    <x v="31"/>
    <s v="Packaging Materials"/>
    <s v="Pack"/>
    <n v="43"/>
    <n v="10"/>
    <n v="20"/>
    <n v="28000"/>
    <s v="C-09-02"/>
    <n v="68"/>
    <n v="121"/>
    <n v="-10"/>
    <x v="2"/>
    <n v="-280000"/>
    <n v="0"/>
    <n v="0"/>
  </r>
  <r>
    <s v="SKU0397"/>
    <x v="35"/>
    <s v="Packaging Materials"/>
    <s v="Pcs"/>
    <n v="114"/>
    <n v="11"/>
    <n v="28"/>
    <n v="342000"/>
    <s v="C-03-02"/>
    <n v="228"/>
    <n v="173"/>
    <n v="169"/>
    <x v="0"/>
    <n v="57798000"/>
    <n v="170"/>
    <n v="1"/>
  </r>
  <r>
    <s v="SKU0398"/>
    <x v="39"/>
    <s v="Packaging Materials"/>
    <s v="Roll"/>
    <n v="163"/>
    <n v="25"/>
    <n v="42"/>
    <n v="101000"/>
    <s v="B-09-02"/>
    <n v="93"/>
    <n v="170"/>
    <n v="86"/>
    <x v="0"/>
    <n v="8686000"/>
    <n v="86"/>
    <n v="0"/>
  </r>
  <r>
    <s v="SKU0399"/>
    <x v="38"/>
    <s v="Packaging Materials"/>
    <s v="Pack"/>
    <n v="195"/>
    <n v="40"/>
    <n v="52"/>
    <n v="13000"/>
    <s v="D-04-01"/>
    <n v="170"/>
    <n v="252"/>
    <n v="113"/>
    <x v="0"/>
    <n v="1469000"/>
    <n v="113"/>
    <n v="0"/>
  </r>
  <r>
    <s v="SKU0400"/>
    <x v="38"/>
    <s v="Packaging Materials"/>
    <s v="Pack"/>
    <n v="45"/>
    <n v="22"/>
    <n v="36"/>
    <n v="18000"/>
    <s v="D-02-02"/>
    <n v="158"/>
    <n v="89"/>
    <n v="114"/>
    <x v="0"/>
    <n v="2052000"/>
    <n v="111"/>
    <n v="-3"/>
  </r>
  <r>
    <s v="SKU0401"/>
    <x v="40"/>
    <s v="Electrical Supplies"/>
    <s v="Pcs"/>
    <n v="121"/>
    <n v="22"/>
    <n v="40"/>
    <n v="87000"/>
    <s v="D-01-02"/>
    <n v="201"/>
    <n v="122"/>
    <n v="200"/>
    <x v="0"/>
    <n v="17400000"/>
    <n v="200"/>
    <n v="0"/>
  </r>
  <r>
    <s v="SKU0402"/>
    <x v="41"/>
    <s v="Electrical Supplies"/>
    <s v="Pack"/>
    <n v="73"/>
    <n v="45"/>
    <n v="65"/>
    <n v="16000"/>
    <s v="D-10-01"/>
    <n v="64"/>
    <n v="161"/>
    <n v="-24"/>
    <x v="2"/>
    <n v="-384000"/>
    <n v="0"/>
    <n v="0"/>
  </r>
  <r>
    <s v="SKU0403"/>
    <x v="42"/>
    <s v="Electrical Supplies"/>
    <s v="Pcs"/>
    <n v="44"/>
    <n v="24"/>
    <n v="29"/>
    <n v="16000"/>
    <s v="C-02-01"/>
    <n v="152"/>
    <n v="177"/>
    <n v="19"/>
    <x v="3"/>
    <n v="304000"/>
    <n v="16"/>
    <n v="-3"/>
  </r>
  <r>
    <s v="SKU0404"/>
    <x v="43"/>
    <s v="Electrical Supplies"/>
    <s v="Roll"/>
    <n v="122"/>
    <n v="26"/>
    <n v="44"/>
    <n v="15000"/>
    <s v="A-09-02"/>
    <n v="11"/>
    <n v="112"/>
    <n v="21"/>
    <x v="3"/>
    <n v="315000"/>
    <n v="20"/>
    <n v="-1"/>
  </r>
  <r>
    <s v="SKU0405"/>
    <x v="41"/>
    <s v="Electrical Supplies"/>
    <s v="Pack"/>
    <n v="187"/>
    <n v="17"/>
    <n v="46"/>
    <n v="27000"/>
    <s v="B-02-01"/>
    <n v="224"/>
    <n v="106"/>
    <n v="305"/>
    <x v="0"/>
    <n v="8235000"/>
    <n v="306"/>
    <n v="1"/>
  </r>
  <r>
    <s v="SKU0406"/>
    <x v="41"/>
    <s v="Electrical Supplies"/>
    <s v="Pack"/>
    <n v="198"/>
    <n v="49"/>
    <n v="74"/>
    <n v="17000"/>
    <s v="D-07-02"/>
    <n v="163"/>
    <n v="75"/>
    <n v="286"/>
    <x v="0"/>
    <n v="4862000"/>
    <n v="287"/>
    <n v="1"/>
  </r>
  <r>
    <s v="SKU0407"/>
    <x v="41"/>
    <s v="Electrical Supplies"/>
    <s v="Pack"/>
    <n v="81"/>
    <n v="30"/>
    <n v="46"/>
    <n v="20000"/>
    <s v="D-07-01"/>
    <n v="104"/>
    <n v="21"/>
    <n v="164"/>
    <x v="0"/>
    <n v="3280000"/>
    <n v="166"/>
    <n v="2"/>
  </r>
  <r>
    <s v="SKU0408"/>
    <x v="44"/>
    <s v="Electrical Supplies"/>
    <s v="Meter"/>
    <n v="56"/>
    <n v="48"/>
    <n v="77"/>
    <n v="12000"/>
    <s v="A-02-02"/>
    <n v="69"/>
    <n v="129"/>
    <n v="-4"/>
    <x v="2"/>
    <n v="-48000"/>
    <n v="0"/>
    <n v="0"/>
  </r>
  <r>
    <s v="SKU0409"/>
    <x v="45"/>
    <s v="Electrical Supplies"/>
    <s v="Pack"/>
    <n v="214"/>
    <n v="23"/>
    <n v="53"/>
    <n v="43000"/>
    <s v="C-07-01"/>
    <n v="87"/>
    <n v="251"/>
    <n v="50"/>
    <x v="1"/>
    <n v="2150000"/>
    <n v="50"/>
    <n v="0"/>
  </r>
  <r>
    <s v="SKU0410"/>
    <x v="46"/>
    <s v="Electrical Supplies"/>
    <s v="Pcs"/>
    <n v="87"/>
    <n v="20"/>
    <n v="33"/>
    <n v="116000"/>
    <s v="E-06-02"/>
    <n v="27"/>
    <n v="100"/>
    <n v="14"/>
    <x v="3"/>
    <n v="1624000"/>
    <n v="13"/>
    <n v="-1"/>
  </r>
  <r>
    <s v="SKU0411"/>
    <x v="43"/>
    <s v="Electrical Supplies"/>
    <s v="Roll"/>
    <n v="124"/>
    <n v="43"/>
    <n v="63"/>
    <n v="7000"/>
    <s v="C-06-02"/>
    <n v="0"/>
    <n v="56"/>
    <n v="68"/>
    <x v="0"/>
    <n v="476000"/>
    <n v="70"/>
    <n v="2"/>
  </r>
  <r>
    <s v="SKU0412"/>
    <x v="47"/>
    <s v="Electrical Supplies"/>
    <s v="Pcs"/>
    <n v="117"/>
    <n v="39"/>
    <n v="45"/>
    <n v="222000"/>
    <s v="E-05-02"/>
    <n v="43"/>
    <n v="83"/>
    <n v="77"/>
    <x v="0"/>
    <n v="17094000"/>
    <n v="76"/>
    <n v="-1"/>
  </r>
  <r>
    <s v="SKU0413"/>
    <x v="44"/>
    <s v="Electrical Supplies"/>
    <s v="Meter"/>
    <n v="244"/>
    <n v="10"/>
    <n v="61"/>
    <n v="14000"/>
    <s v="E-03-01"/>
    <n v="137"/>
    <n v="111"/>
    <n v="270"/>
    <x v="0"/>
    <n v="3780000"/>
    <n v="273"/>
    <n v="3"/>
  </r>
  <r>
    <s v="SKU0414"/>
    <x v="46"/>
    <s v="Electrical Supplies"/>
    <s v="Pcs"/>
    <n v="166"/>
    <n v="7"/>
    <n v="41"/>
    <n v="117000"/>
    <s v="E-09-01"/>
    <n v="236"/>
    <n v="180"/>
    <n v="222"/>
    <x v="0"/>
    <n v="25974000"/>
    <n v="222"/>
    <n v="0"/>
  </r>
  <r>
    <s v="SKU0415"/>
    <x v="43"/>
    <s v="Electrical Supplies"/>
    <s v="Roll"/>
    <n v="12"/>
    <n v="11"/>
    <n v="24"/>
    <n v="8000"/>
    <s v="D-03-02"/>
    <n v="124"/>
    <n v="56"/>
    <n v="80"/>
    <x v="0"/>
    <n v="640000"/>
    <n v="80"/>
    <n v="0"/>
  </r>
  <r>
    <s v="SKU0416"/>
    <x v="47"/>
    <s v="Electrical Supplies"/>
    <s v="Pcs"/>
    <n v="186"/>
    <n v="41"/>
    <n v="53"/>
    <n v="193000"/>
    <s v="C-04-02"/>
    <n v="24"/>
    <n v="179"/>
    <n v="31"/>
    <x v="3"/>
    <n v="5983000"/>
    <n v="31"/>
    <n v="0"/>
  </r>
  <r>
    <s v="SKU0417"/>
    <x v="42"/>
    <s v="Electrical Supplies"/>
    <s v="Pcs"/>
    <n v="186"/>
    <n v="37"/>
    <n v="46"/>
    <n v="47000"/>
    <s v="A-02-02"/>
    <n v="134"/>
    <n v="72"/>
    <n v="248"/>
    <x v="0"/>
    <n v="11656000"/>
    <n v="250"/>
    <n v="2"/>
  </r>
  <r>
    <s v="SKU0418"/>
    <x v="40"/>
    <s v="Electrical Supplies"/>
    <s v="Pcs"/>
    <n v="116"/>
    <n v="10"/>
    <n v="29"/>
    <n v="120000"/>
    <s v="C-03-01"/>
    <n v="49"/>
    <n v="148"/>
    <n v="17"/>
    <x v="1"/>
    <n v="2040000"/>
    <n v="17"/>
    <n v="0"/>
  </r>
  <r>
    <s v="SKU0419"/>
    <x v="41"/>
    <s v="Electrical Supplies"/>
    <s v="Pack"/>
    <n v="210"/>
    <n v="18"/>
    <n v="52"/>
    <n v="22000"/>
    <s v="C-03-01"/>
    <n v="70"/>
    <n v="53"/>
    <n v="227"/>
    <x v="0"/>
    <n v="4994000"/>
    <n v="227"/>
    <n v="0"/>
  </r>
  <r>
    <s v="SKU0420"/>
    <x v="40"/>
    <s v="Electrical Supplies"/>
    <s v="Pcs"/>
    <n v="194"/>
    <n v="49"/>
    <n v="68"/>
    <n v="157000"/>
    <s v="A-05-01"/>
    <n v="149"/>
    <n v="20"/>
    <n v="323"/>
    <x v="0"/>
    <n v="50711000"/>
    <n v="320"/>
    <n v="-3"/>
  </r>
  <r>
    <s v="SKU0421"/>
    <x v="48"/>
    <s v="Electrical Supplies"/>
    <s v="Pcs"/>
    <n v="39"/>
    <n v="6"/>
    <n v="21"/>
    <n v="57000"/>
    <s v="E-04-01"/>
    <n v="158"/>
    <n v="36"/>
    <n v="161"/>
    <x v="0"/>
    <n v="9177000"/>
    <n v="163"/>
    <n v="2"/>
  </r>
  <r>
    <s v="SKU0422"/>
    <x v="45"/>
    <s v="Electrical Supplies"/>
    <s v="Pack"/>
    <n v="54"/>
    <n v="40"/>
    <n v="50"/>
    <n v="48000"/>
    <s v="D-06-02"/>
    <n v="233"/>
    <n v="167"/>
    <n v="120"/>
    <x v="0"/>
    <n v="5760000"/>
    <n v="117"/>
    <n v="-3"/>
  </r>
  <r>
    <s v="SKU0423"/>
    <x v="42"/>
    <s v="Electrical Supplies"/>
    <s v="Pcs"/>
    <n v="214"/>
    <n v="30"/>
    <n v="55"/>
    <n v="24000"/>
    <s v="B-02-02"/>
    <n v="16"/>
    <n v="56"/>
    <n v="174"/>
    <x v="0"/>
    <n v="4176000"/>
    <n v="177"/>
    <n v="3"/>
  </r>
  <r>
    <s v="SKU0424"/>
    <x v="43"/>
    <s v="Electrical Supplies"/>
    <s v="Roll"/>
    <n v="198"/>
    <n v="44"/>
    <n v="55"/>
    <n v="5000"/>
    <s v="D-08-02"/>
    <n v="32"/>
    <n v="235"/>
    <n v="-5"/>
    <x v="2"/>
    <n v="-25000"/>
    <n v="0"/>
    <n v="0"/>
  </r>
  <r>
    <s v="SKU0425"/>
    <x v="43"/>
    <s v="Electrical Supplies"/>
    <s v="Roll"/>
    <n v="190"/>
    <n v="18"/>
    <n v="47"/>
    <n v="5000"/>
    <s v="E-09-01"/>
    <n v="96"/>
    <n v="94"/>
    <n v="192"/>
    <x v="0"/>
    <n v="960000"/>
    <n v="193"/>
    <n v="1"/>
  </r>
  <r>
    <s v="SKU0426"/>
    <x v="44"/>
    <s v="Electrical Supplies"/>
    <s v="Meter"/>
    <n v="214"/>
    <n v="39"/>
    <n v="53"/>
    <n v="5000"/>
    <s v="C-01-02"/>
    <n v="34"/>
    <n v="234"/>
    <n v="14"/>
    <x v="3"/>
    <n v="70000"/>
    <n v="14"/>
    <n v="0"/>
  </r>
  <r>
    <s v="SKU0427"/>
    <x v="42"/>
    <s v="Electrical Supplies"/>
    <s v="Pcs"/>
    <n v="77"/>
    <n v="47"/>
    <n v="67"/>
    <n v="17000"/>
    <s v="E-01-02"/>
    <n v="224"/>
    <n v="233"/>
    <n v="68"/>
    <x v="0"/>
    <n v="1156000"/>
    <n v="65"/>
    <n v="-3"/>
  </r>
  <r>
    <s v="SKU0428"/>
    <x v="44"/>
    <s v="Electrical Supplies"/>
    <s v="Meter"/>
    <n v="166"/>
    <n v="30"/>
    <n v="53"/>
    <n v="10000"/>
    <s v="C-03-01"/>
    <n v="239"/>
    <n v="117"/>
    <n v="288"/>
    <x v="0"/>
    <n v="2880000"/>
    <n v="289"/>
    <n v="1"/>
  </r>
  <r>
    <s v="SKU0429"/>
    <x v="42"/>
    <s v="Electrical Supplies"/>
    <s v="Pcs"/>
    <n v="54"/>
    <n v="48"/>
    <n v="75"/>
    <n v="49000"/>
    <s v="D-10-01"/>
    <n v="112"/>
    <n v="145"/>
    <n v="21"/>
    <x v="3"/>
    <n v="1029000"/>
    <n v="23"/>
    <n v="2"/>
  </r>
  <r>
    <s v="SKU0430"/>
    <x v="40"/>
    <s v="Electrical Supplies"/>
    <s v="Pcs"/>
    <n v="90"/>
    <n v="12"/>
    <n v="24"/>
    <n v="79000"/>
    <s v="A-08-01"/>
    <n v="2"/>
    <n v="183"/>
    <n v="-91"/>
    <x v="2"/>
    <n v="-7189000"/>
    <n v="0"/>
    <n v="0"/>
  </r>
  <r>
    <s v="SKU0431"/>
    <x v="41"/>
    <s v="Electrical Supplies"/>
    <s v="Pack"/>
    <n v="46"/>
    <n v="37"/>
    <n v="54"/>
    <n v="30000"/>
    <s v="D-09-01"/>
    <n v="147"/>
    <n v="164"/>
    <n v="29"/>
    <x v="3"/>
    <n v="870000"/>
    <n v="30"/>
    <n v="1"/>
  </r>
  <r>
    <s v="SKU0432"/>
    <x v="44"/>
    <s v="Electrical Supplies"/>
    <s v="Meter"/>
    <n v="118"/>
    <n v="16"/>
    <n v="36"/>
    <n v="10000"/>
    <s v="E-05-01"/>
    <n v="141"/>
    <n v="39"/>
    <n v="220"/>
    <x v="0"/>
    <n v="2200000"/>
    <n v="217"/>
    <n v="-3"/>
  </r>
  <r>
    <s v="SKU0433"/>
    <x v="47"/>
    <s v="Electrical Supplies"/>
    <s v="Pcs"/>
    <n v="135"/>
    <n v="23"/>
    <n v="33"/>
    <n v="87000"/>
    <s v="C-01-01"/>
    <n v="71"/>
    <n v="155"/>
    <n v="51"/>
    <x v="0"/>
    <n v="4437000"/>
    <n v="50"/>
    <n v="-1"/>
  </r>
  <r>
    <s v="SKU0434"/>
    <x v="44"/>
    <s v="Electrical Supplies"/>
    <s v="Meter"/>
    <n v="231"/>
    <n v="27"/>
    <n v="57"/>
    <n v="4000"/>
    <s v="A-09-02"/>
    <n v="42"/>
    <n v="133"/>
    <n v="140"/>
    <x v="0"/>
    <n v="560000"/>
    <n v="137"/>
    <n v="-3"/>
  </r>
  <r>
    <s v="SKU0435"/>
    <x v="43"/>
    <s v="Electrical Supplies"/>
    <s v="Roll"/>
    <n v="139"/>
    <n v="46"/>
    <n v="66"/>
    <n v="22000"/>
    <s v="E-04-02"/>
    <n v="22"/>
    <n v="83"/>
    <n v="78"/>
    <x v="0"/>
    <n v="1716000"/>
    <n v="81"/>
    <n v="3"/>
  </r>
  <r>
    <s v="SKU0436"/>
    <x v="43"/>
    <s v="Electrical Supplies"/>
    <s v="Roll"/>
    <n v="135"/>
    <n v="15"/>
    <n v="33"/>
    <n v="19000"/>
    <s v="A-02-02"/>
    <n v="52"/>
    <n v="157"/>
    <n v="30"/>
    <x v="1"/>
    <n v="570000"/>
    <n v="27"/>
    <n v="-3"/>
  </r>
  <r>
    <s v="SKU0437"/>
    <x v="49"/>
    <s v="Electrical Supplies"/>
    <s v="Pack"/>
    <n v="80"/>
    <n v="19"/>
    <n v="41"/>
    <n v="17000"/>
    <s v="B-01-02"/>
    <n v="241"/>
    <n v="185"/>
    <n v="136"/>
    <x v="0"/>
    <n v="2312000"/>
    <n v="134"/>
    <n v="-2"/>
  </r>
  <r>
    <s v="SKU0438"/>
    <x v="44"/>
    <s v="Electrical Supplies"/>
    <s v="Meter"/>
    <n v="207"/>
    <n v="36"/>
    <n v="58"/>
    <n v="15000"/>
    <s v="A-08-01"/>
    <n v="70"/>
    <n v="159"/>
    <n v="118"/>
    <x v="0"/>
    <n v="1770000"/>
    <n v="117"/>
    <n v="-1"/>
  </r>
  <r>
    <s v="SKU0439"/>
    <x v="40"/>
    <s v="Electrical Supplies"/>
    <s v="Pcs"/>
    <n v="208"/>
    <n v="39"/>
    <n v="55"/>
    <n v="113000"/>
    <s v="E-09-01"/>
    <n v="191"/>
    <n v="114"/>
    <n v="285"/>
    <x v="0"/>
    <n v="32205000"/>
    <n v="282"/>
    <n v="-3"/>
  </r>
  <r>
    <s v="SKU0440"/>
    <x v="42"/>
    <s v="Electrical Supplies"/>
    <s v="Pcs"/>
    <n v="65"/>
    <n v="32"/>
    <n v="40"/>
    <n v="44000"/>
    <s v="B-10-01"/>
    <n v="204"/>
    <n v="21"/>
    <n v="248"/>
    <x v="0"/>
    <n v="10912000"/>
    <n v="247"/>
    <n v="-1"/>
  </r>
  <r>
    <s v="SKU0441"/>
    <x v="42"/>
    <s v="Electrical Supplies"/>
    <s v="Pcs"/>
    <n v="99"/>
    <n v="10"/>
    <n v="29"/>
    <n v="26000"/>
    <s v="E-10-02"/>
    <n v="41"/>
    <n v="54"/>
    <n v="86"/>
    <x v="0"/>
    <n v="2236000"/>
    <n v="85"/>
    <n v="-1"/>
  </r>
  <r>
    <s v="SKU0442"/>
    <x v="45"/>
    <s v="Electrical Supplies"/>
    <s v="Pack"/>
    <n v="186"/>
    <n v="27"/>
    <n v="54"/>
    <n v="52000"/>
    <s v="E-01-01"/>
    <n v="122"/>
    <n v="82"/>
    <n v="226"/>
    <x v="0"/>
    <n v="11752000"/>
    <n v="224"/>
    <n v="-2"/>
  </r>
  <r>
    <s v="SKU0443"/>
    <x v="46"/>
    <s v="Electrical Supplies"/>
    <s v="Pcs"/>
    <n v="45"/>
    <n v="18"/>
    <n v="29"/>
    <n v="113000"/>
    <s v="D-07-01"/>
    <n v="16"/>
    <n v="66"/>
    <n v="-5"/>
    <x v="2"/>
    <n v="-565000"/>
    <n v="0"/>
    <n v="0"/>
  </r>
  <r>
    <s v="SKU0444"/>
    <x v="47"/>
    <s v="Electrical Supplies"/>
    <s v="Pcs"/>
    <n v="162"/>
    <n v="39"/>
    <n v="49"/>
    <n v="116000"/>
    <s v="E-06-01"/>
    <n v="198"/>
    <n v="63"/>
    <n v="297"/>
    <x v="0"/>
    <n v="34452000"/>
    <n v="297"/>
    <n v="0"/>
  </r>
  <r>
    <s v="SKU0445"/>
    <x v="49"/>
    <s v="Electrical Supplies"/>
    <s v="Pack"/>
    <n v="78"/>
    <n v="37"/>
    <n v="63"/>
    <n v="51000"/>
    <s v="A-09-02"/>
    <n v="126"/>
    <n v="142"/>
    <n v="62"/>
    <x v="1"/>
    <n v="3162000"/>
    <n v="62"/>
    <n v="0"/>
  </r>
  <r>
    <s v="SKU0446"/>
    <x v="48"/>
    <s v="Electrical Supplies"/>
    <s v="Pcs"/>
    <n v="231"/>
    <n v="46"/>
    <n v="57"/>
    <n v="29000"/>
    <s v="B-06-02"/>
    <n v="89"/>
    <n v="113"/>
    <n v="207"/>
    <x v="0"/>
    <n v="6003000"/>
    <n v="204"/>
    <n v="-3"/>
  </r>
  <r>
    <s v="SKU0447"/>
    <x v="41"/>
    <s v="Electrical Supplies"/>
    <s v="Pack"/>
    <n v="73"/>
    <n v="48"/>
    <n v="65"/>
    <n v="34000"/>
    <s v="A-10-01"/>
    <n v="132"/>
    <n v="38"/>
    <n v="167"/>
    <x v="0"/>
    <n v="5678000"/>
    <n v="167"/>
    <n v="0"/>
  </r>
  <r>
    <s v="SKU0448"/>
    <x v="49"/>
    <s v="Electrical Supplies"/>
    <s v="Pack"/>
    <n v="116"/>
    <n v="29"/>
    <n v="48"/>
    <n v="55000"/>
    <s v="E-01-02"/>
    <n v="67"/>
    <n v="303"/>
    <n v="-120"/>
    <x v="2"/>
    <n v="-6600000"/>
    <n v="0"/>
    <n v="0"/>
  </r>
  <r>
    <s v="SKU0449"/>
    <x v="43"/>
    <s v="Electrical Supplies"/>
    <s v="Roll"/>
    <n v="201"/>
    <n v="22"/>
    <n v="50"/>
    <n v="21000"/>
    <s v="C-10-01"/>
    <n v="126"/>
    <n v="184"/>
    <n v="143"/>
    <x v="0"/>
    <n v="3003000"/>
    <n v="146"/>
    <n v="3"/>
  </r>
  <r>
    <s v="SKU0450"/>
    <x v="41"/>
    <s v="Electrical Supplies"/>
    <s v="Pack"/>
    <n v="10"/>
    <n v="10"/>
    <n v="38"/>
    <n v="26000"/>
    <s v="E-01-02"/>
    <n v="155"/>
    <n v="105"/>
    <n v="60"/>
    <x v="0"/>
    <n v="1560000"/>
    <n v="57"/>
    <n v="-3"/>
  </r>
  <r>
    <s v="SKU0451"/>
    <x v="40"/>
    <s v="Electrical Supplies"/>
    <s v="Pcs"/>
    <n v="65"/>
    <n v="32"/>
    <n v="43"/>
    <n v="146000"/>
    <s v="B-08-01"/>
    <n v="98"/>
    <n v="0"/>
    <n v="163"/>
    <x v="0"/>
    <n v="23798000"/>
    <n v="163"/>
    <n v="0"/>
  </r>
  <r>
    <s v="SKU0452"/>
    <x v="49"/>
    <s v="Electrical Supplies"/>
    <s v="Pack"/>
    <n v="150"/>
    <n v="41"/>
    <n v="50"/>
    <n v="36000"/>
    <s v="D-02-01"/>
    <n v="254"/>
    <n v="11"/>
    <n v="393"/>
    <x v="0"/>
    <n v="14148000"/>
    <n v="392"/>
    <n v="-1"/>
  </r>
  <r>
    <s v="SKU0453"/>
    <x v="48"/>
    <s v="Electrical Supplies"/>
    <s v="Pcs"/>
    <n v="35"/>
    <n v="45"/>
    <n v="75"/>
    <n v="14000"/>
    <s v="A-02-01"/>
    <n v="174"/>
    <n v="134"/>
    <n v="75"/>
    <x v="1"/>
    <n v="1050000"/>
    <n v="74"/>
    <n v="-1"/>
  </r>
  <r>
    <s v="SKU0454"/>
    <x v="46"/>
    <s v="Electrical Supplies"/>
    <s v="Pcs"/>
    <n v="126"/>
    <n v="5"/>
    <n v="31"/>
    <n v="91000"/>
    <s v="E-05-01"/>
    <n v="81"/>
    <n v="206"/>
    <n v="1"/>
    <x v="3"/>
    <n v="91000"/>
    <n v="1"/>
    <n v="0"/>
  </r>
  <r>
    <s v="SKU0455"/>
    <x v="49"/>
    <s v="Electrical Supplies"/>
    <s v="Pack"/>
    <n v="233"/>
    <n v="22"/>
    <n v="58"/>
    <n v="25000"/>
    <s v="B-07-01"/>
    <n v="49"/>
    <n v="167"/>
    <n v="115"/>
    <x v="0"/>
    <n v="2875000"/>
    <n v="115"/>
    <n v="0"/>
  </r>
  <r>
    <s v="SKU0456"/>
    <x v="41"/>
    <s v="Electrical Supplies"/>
    <s v="Pack"/>
    <n v="241"/>
    <n v="46"/>
    <n v="60"/>
    <n v="29000"/>
    <s v="C-06-01"/>
    <n v="193"/>
    <n v="214"/>
    <n v="220"/>
    <x v="0"/>
    <n v="6380000"/>
    <n v="220"/>
    <n v="0"/>
  </r>
  <r>
    <s v="SKU0457"/>
    <x v="45"/>
    <s v="Electrical Supplies"/>
    <s v="Pack"/>
    <n v="177"/>
    <n v="10"/>
    <n v="44"/>
    <n v="42000"/>
    <s v="A-01-01"/>
    <n v="277"/>
    <n v="144"/>
    <n v="310"/>
    <x v="0"/>
    <n v="13020000"/>
    <n v="310"/>
    <n v="0"/>
  </r>
  <r>
    <s v="SKU0458"/>
    <x v="42"/>
    <s v="Electrical Supplies"/>
    <s v="Pcs"/>
    <n v="43"/>
    <n v="42"/>
    <n v="54"/>
    <n v="14000"/>
    <s v="E-04-02"/>
    <n v="171"/>
    <n v="146"/>
    <n v="68"/>
    <x v="0"/>
    <n v="952000"/>
    <n v="67"/>
    <n v="-1"/>
  </r>
  <r>
    <s v="SKU0459"/>
    <x v="48"/>
    <s v="Electrical Supplies"/>
    <s v="Pcs"/>
    <n v="188"/>
    <n v="26"/>
    <n v="47"/>
    <n v="12000"/>
    <s v="E-05-01"/>
    <n v="69"/>
    <n v="152"/>
    <n v="105"/>
    <x v="0"/>
    <n v="1260000"/>
    <n v="102"/>
    <n v="-3"/>
  </r>
  <r>
    <s v="SKU0460"/>
    <x v="42"/>
    <s v="Electrical Supplies"/>
    <s v="Pcs"/>
    <n v="68"/>
    <n v="29"/>
    <n v="36"/>
    <n v="14000"/>
    <s v="A-07-02"/>
    <n v="220"/>
    <n v="45"/>
    <n v="243"/>
    <x v="0"/>
    <n v="3402000"/>
    <n v="242"/>
    <n v="-1"/>
  </r>
  <r>
    <s v="SKU0461"/>
    <x v="41"/>
    <s v="Electrical Supplies"/>
    <s v="Pack"/>
    <n v="45"/>
    <n v="29"/>
    <n v="58"/>
    <n v="17000"/>
    <s v="E-02-01"/>
    <n v="69"/>
    <n v="163"/>
    <n v="-49"/>
    <x v="2"/>
    <n v="-833000"/>
    <n v="0"/>
    <n v="0"/>
  </r>
  <r>
    <s v="SKU0462"/>
    <x v="40"/>
    <s v="Electrical Supplies"/>
    <s v="Pcs"/>
    <n v="154"/>
    <n v="5"/>
    <n v="38"/>
    <n v="180000"/>
    <s v="C-09-01"/>
    <n v="17"/>
    <n v="114"/>
    <n v="57"/>
    <x v="0"/>
    <n v="10260000"/>
    <n v="57"/>
    <n v="0"/>
  </r>
  <r>
    <s v="SKU0463"/>
    <x v="45"/>
    <s v="Electrical Supplies"/>
    <s v="Pack"/>
    <n v="201"/>
    <n v="14"/>
    <n v="50"/>
    <n v="55000"/>
    <s v="E-04-02"/>
    <n v="218"/>
    <n v="7"/>
    <n v="412"/>
    <x v="0"/>
    <n v="22660000"/>
    <n v="410"/>
    <n v="-2"/>
  </r>
  <r>
    <s v="SKU0464"/>
    <x v="45"/>
    <s v="Electrical Supplies"/>
    <s v="Pack"/>
    <n v="239"/>
    <n v="11"/>
    <n v="59"/>
    <n v="20000"/>
    <s v="D-08-02"/>
    <n v="110"/>
    <n v="117"/>
    <n v="232"/>
    <x v="0"/>
    <n v="4640000"/>
    <n v="229"/>
    <n v="-3"/>
  </r>
  <r>
    <s v="SKU0465"/>
    <x v="41"/>
    <s v="Electrical Supplies"/>
    <s v="Pack"/>
    <n v="90"/>
    <n v="13"/>
    <n v="25"/>
    <n v="21000"/>
    <s v="E-02-01"/>
    <n v="72"/>
    <n v="183"/>
    <n v="-21"/>
    <x v="2"/>
    <n v="-441000"/>
    <n v="0"/>
    <n v="0"/>
  </r>
  <r>
    <s v="SKU0466"/>
    <x v="45"/>
    <s v="Electrical Supplies"/>
    <s v="Pack"/>
    <n v="163"/>
    <n v="43"/>
    <n v="71"/>
    <n v="50000"/>
    <s v="B-09-01"/>
    <n v="165"/>
    <n v="115"/>
    <n v="213"/>
    <x v="0"/>
    <n v="10650000"/>
    <n v="213"/>
    <n v="0"/>
  </r>
  <r>
    <s v="SKU0467"/>
    <x v="49"/>
    <s v="Electrical Supplies"/>
    <s v="Pack"/>
    <n v="142"/>
    <n v="43"/>
    <n v="64"/>
    <n v="28000"/>
    <s v="E-08-02"/>
    <n v="201"/>
    <n v="61"/>
    <n v="282"/>
    <x v="0"/>
    <n v="7896000"/>
    <n v="282"/>
    <n v="0"/>
  </r>
  <r>
    <s v="SKU0468"/>
    <x v="49"/>
    <s v="Electrical Supplies"/>
    <s v="Pack"/>
    <n v="210"/>
    <n v="20"/>
    <n v="52"/>
    <n v="18000"/>
    <s v="A-08-01"/>
    <n v="93"/>
    <n v="93"/>
    <n v="210"/>
    <x v="0"/>
    <n v="3780000"/>
    <n v="210"/>
    <n v="0"/>
  </r>
  <r>
    <s v="SKU0469"/>
    <x v="42"/>
    <s v="Electrical Supplies"/>
    <s v="Pcs"/>
    <n v="162"/>
    <n v="9"/>
    <n v="40"/>
    <n v="50000"/>
    <s v="C-04-01"/>
    <n v="29"/>
    <n v="135"/>
    <n v="56"/>
    <x v="0"/>
    <n v="2800000"/>
    <n v="53"/>
    <n v="-3"/>
  </r>
  <r>
    <s v="SKU0470"/>
    <x v="46"/>
    <s v="Electrical Supplies"/>
    <s v="Pcs"/>
    <n v="230"/>
    <n v="41"/>
    <n v="59"/>
    <n v="84000"/>
    <s v="D-05-02"/>
    <n v="70"/>
    <n v="87"/>
    <n v="213"/>
    <x v="0"/>
    <n v="17892000"/>
    <n v="211"/>
    <n v="-2"/>
  </r>
  <r>
    <s v="SKU0471"/>
    <x v="42"/>
    <s v="Electrical Supplies"/>
    <s v="Pcs"/>
    <n v="14"/>
    <n v="42"/>
    <n v="49"/>
    <n v="14000"/>
    <s v="B-07-02"/>
    <n v="155"/>
    <n v="102"/>
    <n v="67"/>
    <x v="0"/>
    <n v="938000"/>
    <n v="67"/>
    <n v="0"/>
  </r>
  <r>
    <s v="SKU0472"/>
    <x v="48"/>
    <s v="Electrical Supplies"/>
    <s v="Pcs"/>
    <n v="212"/>
    <n v="30"/>
    <n v="53"/>
    <n v="15000"/>
    <s v="E-01-01"/>
    <n v="248"/>
    <n v="54"/>
    <n v="406"/>
    <x v="0"/>
    <n v="6090000"/>
    <n v="406"/>
    <n v="0"/>
  </r>
  <r>
    <s v="SKU0473"/>
    <x v="43"/>
    <s v="Electrical Supplies"/>
    <s v="Roll"/>
    <n v="189"/>
    <n v="30"/>
    <n v="47"/>
    <n v="18000"/>
    <s v="D-05-01"/>
    <n v="226"/>
    <n v="165"/>
    <n v="250"/>
    <x v="0"/>
    <n v="4500000"/>
    <n v="250"/>
    <n v="0"/>
  </r>
  <r>
    <s v="SKU0474"/>
    <x v="46"/>
    <s v="Electrical Supplies"/>
    <s v="Pcs"/>
    <n v="31"/>
    <n v="24"/>
    <n v="31"/>
    <n v="70000"/>
    <s v="B-04-01"/>
    <n v="105"/>
    <n v="46"/>
    <n v="90"/>
    <x v="0"/>
    <n v="6300000"/>
    <n v="90"/>
    <n v="0"/>
  </r>
  <r>
    <s v="SKU0475"/>
    <x v="47"/>
    <s v="Electrical Supplies"/>
    <s v="Pcs"/>
    <n v="110"/>
    <n v="42"/>
    <n v="67"/>
    <n v="128000"/>
    <s v="B-10-02"/>
    <n v="195"/>
    <n v="126"/>
    <n v="179"/>
    <x v="0"/>
    <n v="22912000"/>
    <n v="176"/>
    <n v="-3"/>
  </r>
  <r>
    <s v="SKU0476"/>
    <x v="45"/>
    <s v="Electrical Supplies"/>
    <s v="Pack"/>
    <n v="72"/>
    <n v="10"/>
    <n v="28"/>
    <n v="18000"/>
    <s v="C-10-01"/>
    <n v="129"/>
    <n v="49"/>
    <n v="152"/>
    <x v="0"/>
    <n v="2736000"/>
    <n v="152"/>
    <n v="0"/>
  </r>
  <r>
    <s v="SKU0477"/>
    <x v="44"/>
    <s v="Electrical Supplies"/>
    <s v="Meter"/>
    <n v="89"/>
    <n v="47"/>
    <n v="75"/>
    <n v="4000"/>
    <s v="A-08-02"/>
    <n v="134"/>
    <n v="202"/>
    <n v="21"/>
    <x v="3"/>
    <n v="84000"/>
    <n v="22"/>
    <n v="1"/>
  </r>
  <r>
    <s v="SKU0478"/>
    <x v="46"/>
    <s v="Electrical Supplies"/>
    <s v="Pcs"/>
    <n v="12"/>
    <n v="15"/>
    <n v="35"/>
    <n v="124000"/>
    <s v="D-04-01"/>
    <n v="173"/>
    <n v="162"/>
    <n v="23"/>
    <x v="1"/>
    <n v="2852000"/>
    <n v="26"/>
    <n v="3"/>
  </r>
  <r>
    <s v="SKU0479"/>
    <x v="49"/>
    <s v="Electrical Supplies"/>
    <s v="Pack"/>
    <n v="105"/>
    <n v="13"/>
    <n v="41"/>
    <n v="25000"/>
    <s v="E-07-02"/>
    <n v="61"/>
    <n v="230"/>
    <n v="-64"/>
    <x v="2"/>
    <n v="-1600000"/>
    <n v="0"/>
    <n v="0"/>
  </r>
  <r>
    <s v="SKU0480"/>
    <x v="48"/>
    <s v="Electrical Supplies"/>
    <s v="Pcs"/>
    <n v="216"/>
    <n v="32"/>
    <n v="54"/>
    <n v="33000"/>
    <s v="A-05-01"/>
    <n v="113"/>
    <n v="145"/>
    <n v="184"/>
    <x v="0"/>
    <n v="6072000"/>
    <n v="187"/>
    <n v="3"/>
  </r>
  <r>
    <s v="SKU0481"/>
    <x v="44"/>
    <s v="Electrical Supplies"/>
    <s v="Meter"/>
    <n v="29"/>
    <n v="36"/>
    <n v="55"/>
    <n v="14000"/>
    <s v="C-04-01"/>
    <n v="87"/>
    <n v="0"/>
    <n v="116"/>
    <x v="0"/>
    <n v="1624000"/>
    <n v="116"/>
    <n v="0"/>
  </r>
  <r>
    <s v="SKU0482"/>
    <x v="42"/>
    <s v="Electrical Supplies"/>
    <s v="Pcs"/>
    <n v="52"/>
    <n v="28"/>
    <n v="38"/>
    <n v="46000"/>
    <s v="E-10-01"/>
    <n v="52"/>
    <n v="174"/>
    <n v="-70"/>
    <x v="2"/>
    <n v="-3220000"/>
    <n v="0"/>
    <n v="0"/>
  </r>
  <r>
    <s v="SKU0483"/>
    <x v="44"/>
    <s v="Electrical Supplies"/>
    <s v="Meter"/>
    <n v="195"/>
    <n v="12"/>
    <n v="48"/>
    <n v="14000"/>
    <s v="A-01-01"/>
    <n v="46"/>
    <n v="86"/>
    <n v="155"/>
    <x v="0"/>
    <n v="2170000"/>
    <n v="155"/>
    <n v="0"/>
  </r>
  <r>
    <s v="SKU0484"/>
    <x v="48"/>
    <s v="Electrical Supplies"/>
    <s v="Pcs"/>
    <n v="21"/>
    <n v="35"/>
    <n v="51"/>
    <n v="27000"/>
    <s v="A-10-02"/>
    <n v="134"/>
    <n v="24"/>
    <n v="131"/>
    <x v="0"/>
    <n v="3537000"/>
    <n v="131"/>
    <n v="0"/>
  </r>
  <r>
    <s v="SKU0485"/>
    <x v="48"/>
    <s v="Electrical Supplies"/>
    <s v="Pcs"/>
    <n v="215"/>
    <n v="50"/>
    <n v="78"/>
    <n v="47000"/>
    <s v="B-05-01"/>
    <n v="2"/>
    <n v="204"/>
    <n v="13"/>
    <x v="3"/>
    <n v="611000"/>
    <n v="13"/>
    <n v="0"/>
  </r>
  <r>
    <s v="SKU0486"/>
    <x v="45"/>
    <s v="Electrical Supplies"/>
    <s v="Pack"/>
    <n v="244"/>
    <n v="25"/>
    <n v="61"/>
    <n v="41000"/>
    <s v="D-07-02"/>
    <n v="150"/>
    <n v="83"/>
    <n v="311"/>
    <x v="0"/>
    <n v="12751000"/>
    <n v="310"/>
    <n v="-1"/>
  </r>
  <r>
    <s v="SKU0487"/>
    <x v="40"/>
    <s v="Electrical Supplies"/>
    <s v="Pcs"/>
    <n v="182"/>
    <n v="8"/>
    <n v="45"/>
    <n v="173000"/>
    <s v="D-04-01"/>
    <n v="73"/>
    <n v="166"/>
    <n v="89"/>
    <x v="0"/>
    <n v="15397000"/>
    <n v="89"/>
    <n v="0"/>
  </r>
  <r>
    <s v="SKU0488"/>
    <x v="43"/>
    <s v="Electrical Supplies"/>
    <s v="Roll"/>
    <n v="234"/>
    <n v="34"/>
    <n v="58"/>
    <n v="7000"/>
    <s v="C-01-02"/>
    <n v="187"/>
    <n v="258"/>
    <n v="163"/>
    <x v="0"/>
    <n v="1141000"/>
    <n v="163"/>
    <n v="0"/>
  </r>
  <r>
    <s v="SKU0489"/>
    <x v="47"/>
    <s v="Electrical Supplies"/>
    <s v="Pcs"/>
    <n v="12"/>
    <n v="28"/>
    <n v="39"/>
    <n v="161000"/>
    <s v="D-07-01"/>
    <n v="63"/>
    <n v="62"/>
    <n v="13"/>
    <x v="3"/>
    <n v="2093000"/>
    <n v="14"/>
    <n v="1"/>
  </r>
  <r>
    <s v="SKU0490"/>
    <x v="44"/>
    <s v="Electrical Supplies"/>
    <s v="Meter"/>
    <n v="128"/>
    <n v="28"/>
    <n v="51"/>
    <n v="7000"/>
    <s v="E-10-01"/>
    <n v="134"/>
    <n v="182"/>
    <n v="80"/>
    <x v="0"/>
    <n v="560000"/>
    <n v="79"/>
    <n v="-1"/>
  </r>
  <r>
    <s v="SKU0491"/>
    <x v="47"/>
    <s v="Electrical Supplies"/>
    <s v="Pcs"/>
    <n v="213"/>
    <n v="20"/>
    <n v="53"/>
    <n v="239000"/>
    <s v="C-07-01"/>
    <n v="211"/>
    <n v="52"/>
    <n v="372"/>
    <x v="0"/>
    <n v="88908000"/>
    <n v="373"/>
    <n v="1"/>
  </r>
  <r>
    <s v="SKU0492"/>
    <x v="45"/>
    <s v="Electrical Supplies"/>
    <s v="Pack"/>
    <n v="98"/>
    <n v="45"/>
    <n v="72"/>
    <n v="49000"/>
    <s v="C-02-01"/>
    <n v="132"/>
    <n v="115"/>
    <n v="115"/>
    <x v="0"/>
    <n v="5635000"/>
    <n v="114"/>
    <n v="-1"/>
  </r>
  <r>
    <s v="SKU0493"/>
    <x v="43"/>
    <s v="Electrical Supplies"/>
    <s v="Roll"/>
    <n v="36"/>
    <n v="18"/>
    <n v="39"/>
    <n v="14000"/>
    <s v="C-07-02"/>
    <n v="247"/>
    <n v="9"/>
    <n v="274"/>
    <x v="0"/>
    <n v="3836000"/>
    <n v="271"/>
    <n v="-3"/>
  </r>
  <r>
    <s v="SKU0494"/>
    <x v="48"/>
    <s v="Electrical Supplies"/>
    <s v="Pcs"/>
    <n v="192"/>
    <n v="22"/>
    <n v="48"/>
    <n v="21000"/>
    <s v="B-05-02"/>
    <n v="106"/>
    <n v="123"/>
    <n v="175"/>
    <x v="0"/>
    <n v="3675000"/>
    <n v="178"/>
    <n v="3"/>
  </r>
  <r>
    <s v="SKU0495"/>
    <x v="43"/>
    <s v="Electrical Supplies"/>
    <s v="Roll"/>
    <n v="127"/>
    <n v="10"/>
    <n v="33"/>
    <n v="16000"/>
    <s v="D-03-01"/>
    <n v="170"/>
    <n v="70"/>
    <n v="227"/>
    <x v="0"/>
    <n v="3632000"/>
    <n v="224"/>
    <n v="-3"/>
  </r>
  <r>
    <s v="SKU0496"/>
    <x v="43"/>
    <s v="Electrical Supplies"/>
    <s v="Roll"/>
    <n v="161"/>
    <n v="41"/>
    <n v="47"/>
    <n v="7000"/>
    <s v="E-03-01"/>
    <n v="146"/>
    <n v="91"/>
    <n v="216"/>
    <x v="0"/>
    <n v="1512000"/>
    <n v="216"/>
    <n v="0"/>
  </r>
  <r>
    <s v="SKU0497"/>
    <x v="45"/>
    <s v="Electrical Supplies"/>
    <s v="Pack"/>
    <n v="76"/>
    <n v="25"/>
    <n v="55"/>
    <n v="33000"/>
    <s v="E-05-02"/>
    <n v="384"/>
    <n v="103"/>
    <n v="357"/>
    <x v="0"/>
    <n v="11781000"/>
    <n v="360"/>
    <n v="3"/>
  </r>
  <r>
    <s v="SKU0498"/>
    <x v="41"/>
    <s v="Electrical Supplies"/>
    <s v="Pack"/>
    <n v="79"/>
    <n v="19"/>
    <n v="26"/>
    <n v="22000"/>
    <s v="A-09-02"/>
    <n v="149"/>
    <n v="152"/>
    <n v="76"/>
    <x v="0"/>
    <n v="1672000"/>
    <n v="76"/>
    <n v="0"/>
  </r>
  <r>
    <s v="SKU0499"/>
    <x v="40"/>
    <s v="Electrical Supplies"/>
    <s v="Pcs"/>
    <n v="37"/>
    <n v="15"/>
    <n v="34"/>
    <n v="84000"/>
    <s v="C-01-01"/>
    <n v="63"/>
    <n v="91"/>
    <n v="9"/>
    <x v="3"/>
    <n v="756000"/>
    <n v="7"/>
    <n v="-2"/>
  </r>
  <r>
    <s v="SKU0500"/>
    <x v="40"/>
    <s v="Electrical Supplies"/>
    <s v="Pcs"/>
    <n v="207"/>
    <n v="18"/>
    <n v="51"/>
    <n v="136000"/>
    <s v="C-10-02"/>
    <n v="367"/>
    <n v="146"/>
    <n v="428"/>
    <x v="0"/>
    <n v="58208000"/>
    <n v="427"/>
    <n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SKU0001"/>
    <x v="0"/>
    <x v="0"/>
    <s v="Pcs"/>
    <n v="199"/>
    <n v="22"/>
    <n v="49"/>
    <n v="91000"/>
    <x v="0"/>
    <n v="158"/>
    <n v="120"/>
    <n v="237"/>
    <x v="0"/>
    <n v="21567000"/>
    <n v="237"/>
    <n v="0"/>
    <x v="0"/>
    <x v="0"/>
  </r>
  <r>
    <s v="SKU0002"/>
    <x v="1"/>
    <x v="0"/>
    <s v="Pcs"/>
    <n v="161"/>
    <n v="32"/>
    <n v="40"/>
    <n v="31000"/>
    <x v="1"/>
    <n v="123"/>
    <n v="69"/>
    <n v="215"/>
    <x v="0"/>
    <n v="6665000"/>
    <n v="217"/>
    <n v="2"/>
    <x v="1"/>
    <x v="1"/>
  </r>
  <r>
    <s v="SKU0003"/>
    <x v="2"/>
    <x v="0"/>
    <s v="Pcs"/>
    <n v="164"/>
    <n v="6"/>
    <n v="41"/>
    <n v="438000"/>
    <x v="2"/>
    <n v="248"/>
    <n v="13"/>
    <n v="399"/>
    <x v="0"/>
    <n v="174762000"/>
    <n v="402"/>
    <n v="3"/>
    <x v="0"/>
    <x v="1"/>
  </r>
  <r>
    <s v="SKU0004"/>
    <x v="3"/>
    <x v="0"/>
    <s v="Pcs"/>
    <n v="124"/>
    <n v="42"/>
    <n v="55"/>
    <n v="192000"/>
    <x v="3"/>
    <n v="59"/>
    <n v="121"/>
    <n v="62"/>
    <x v="0"/>
    <n v="11904000"/>
    <n v="59"/>
    <n v="-3"/>
    <x v="1"/>
    <x v="2"/>
  </r>
  <r>
    <s v="SKU0005"/>
    <x v="3"/>
    <x v="0"/>
    <s v="Pcs"/>
    <n v="81"/>
    <n v="14"/>
    <n v="25"/>
    <n v="254000"/>
    <x v="4"/>
    <n v="175"/>
    <n v="22"/>
    <n v="234"/>
    <x v="0"/>
    <n v="59436000"/>
    <n v="231"/>
    <n v="-3"/>
    <x v="2"/>
    <x v="2"/>
  </r>
  <r>
    <s v="SKU0006"/>
    <x v="3"/>
    <x v="0"/>
    <s v="Pcs"/>
    <n v="101"/>
    <n v="27"/>
    <n v="51"/>
    <n v="129000"/>
    <x v="5"/>
    <n v="152"/>
    <n v="144"/>
    <n v="109"/>
    <x v="0"/>
    <n v="14061000"/>
    <n v="108"/>
    <n v="-1"/>
    <x v="3"/>
    <x v="2"/>
  </r>
  <r>
    <s v="SKU0007"/>
    <x v="1"/>
    <x v="0"/>
    <s v="Pcs"/>
    <n v="246"/>
    <n v="29"/>
    <n v="61"/>
    <n v="35000"/>
    <x v="6"/>
    <n v="261"/>
    <n v="46"/>
    <n v="461"/>
    <x v="0"/>
    <n v="16135000"/>
    <n v="461"/>
    <n v="0"/>
    <x v="4"/>
    <x v="0"/>
  </r>
  <r>
    <s v="SKU0008"/>
    <x v="4"/>
    <x v="0"/>
    <s v="Pcs"/>
    <n v="59"/>
    <n v="50"/>
    <n v="57"/>
    <n v="88000"/>
    <x v="7"/>
    <n v="73"/>
    <n v="63"/>
    <n v="69"/>
    <x v="0"/>
    <n v="6072000"/>
    <n v="69"/>
    <n v="0"/>
    <x v="1"/>
    <x v="0"/>
  </r>
  <r>
    <s v="SKU0009"/>
    <x v="5"/>
    <x v="0"/>
    <s v="Pcs"/>
    <n v="228"/>
    <n v="19"/>
    <n v="57"/>
    <n v="130000"/>
    <x v="8"/>
    <n v="107"/>
    <n v="194"/>
    <n v="141"/>
    <x v="0"/>
    <n v="18330000"/>
    <n v="141"/>
    <n v="0"/>
    <x v="5"/>
    <x v="0"/>
  </r>
  <r>
    <s v="SKU0010"/>
    <x v="4"/>
    <x v="0"/>
    <s v="Pcs"/>
    <n v="104"/>
    <n v="27"/>
    <n v="38"/>
    <n v="35000"/>
    <x v="9"/>
    <n v="36"/>
    <n v="92"/>
    <n v="48"/>
    <x v="0"/>
    <n v="1680000"/>
    <n v="47"/>
    <n v="-1"/>
    <x v="3"/>
    <x v="2"/>
  </r>
  <r>
    <s v="SKU0011"/>
    <x v="6"/>
    <x v="0"/>
    <s v="Pcs"/>
    <n v="146"/>
    <n v="20"/>
    <n v="36"/>
    <n v="68000"/>
    <x v="10"/>
    <n v="67"/>
    <n v="190"/>
    <n v="23"/>
    <x v="1"/>
    <n v="1564000"/>
    <n v="23"/>
    <n v="0"/>
    <x v="6"/>
    <x v="0"/>
  </r>
  <r>
    <s v="SKU0012"/>
    <x v="1"/>
    <x v="0"/>
    <s v="Pcs"/>
    <n v="185"/>
    <n v="25"/>
    <n v="54"/>
    <n v="48000"/>
    <x v="11"/>
    <n v="74"/>
    <n v="187"/>
    <n v="72"/>
    <x v="0"/>
    <n v="3456000"/>
    <n v="73"/>
    <n v="1"/>
    <x v="1"/>
    <x v="1"/>
  </r>
  <r>
    <s v="SKU0013"/>
    <x v="4"/>
    <x v="0"/>
    <s v="Pcs"/>
    <n v="78"/>
    <n v="9"/>
    <n v="20"/>
    <n v="66000"/>
    <x v="2"/>
    <n v="171"/>
    <n v="179"/>
    <n v="70"/>
    <x v="0"/>
    <n v="4620000"/>
    <n v="69"/>
    <n v="-1"/>
    <x v="7"/>
    <x v="2"/>
  </r>
  <r>
    <s v="SKU0014"/>
    <x v="2"/>
    <x v="0"/>
    <s v="Pcs"/>
    <n v="137"/>
    <n v="30"/>
    <n v="55"/>
    <n v="515000"/>
    <x v="12"/>
    <n v="98"/>
    <n v="63"/>
    <n v="172"/>
    <x v="0"/>
    <n v="88580000"/>
    <n v="171"/>
    <n v="-1"/>
    <x v="6"/>
    <x v="2"/>
  </r>
  <r>
    <s v="SKU0015"/>
    <x v="7"/>
    <x v="0"/>
    <s v="Pcs"/>
    <n v="200"/>
    <n v="40"/>
    <n v="62"/>
    <n v="133000"/>
    <x v="13"/>
    <n v="84"/>
    <n v="123"/>
    <n v="161"/>
    <x v="0"/>
    <n v="21413000"/>
    <n v="159"/>
    <n v="-2"/>
    <x v="3"/>
    <x v="2"/>
  </r>
  <r>
    <s v="SKU0016"/>
    <x v="3"/>
    <x v="0"/>
    <s v="Pcs"/>
    <n v="102"/>
    <n v="19"/>
    <n v="28"/>
    <n v="284000"/>
    <x v="14"/>
    <n v="283"/>
    <n v="257"/>
    <n v="128"/>
    <x v="0"/>
    <n v="36352000"/>
    <n v="129"/>
    <n v="1"/>
    <x v="4"/>
    <x v="1"/>
  </r>
  <r>
    <s v="SKU0017"/>
    <x v="8"/>
    <x v="0"/>
    <s v="Pcs"/>
    <n v="49"/>
    <n v="45"/>
    <n v="55"/>
    <n v="59000"/>
    <x v="15"/>
    <n v="47"/>
    <n v="155"/>
    <n v="-59"/>
    <x v="2"/>
    <n v="-3481000"/>
    <n v="0"/>
    <n v="0"/>
    <x v="5"/>
    <x v="0"/>
  </r>
  <r>
    <s v="SKU0018"/>
    <x v="3"/>
    <x v="0"/>
    <s v="Pcs"/>
    <n v="162"/>
    <n v="34"/>
    <n v="55"/>
    <n v="275000"/>
    <x v="16"/>
    <n v="44"/>
    <n v="105"/>
    <n v="101"/>
    <x v="0"/>
    <n v="27775000"/>
    <n v="102"/>
    <n v="1"/>
    <x v="3"/>
    <x v="1"/>
  </r>
  <r>
    <s v="SKU0019"/>
    <x v="0"/>
    <x v="0"/>
    <s v="Pcs"/>
    <n v="236"/>
    <n v="39"/>
    <n v="68"/>
    <n v="259000"/>
    <x v="17"/>
    <n v="111"/>
    <n v="171"/>
    <n v="176"/>
    <x v="0"/>
    <n v="45584000"/>
    <n v="177"/>
    <n v="1"/>
    <x v="3"/>
    <x v="1"/>
  </r>
  <r>
    <s v="SKU0020"/>
    <x v="0"/>
    <x v="0"/>
    <s v="Pcs"/>
    <n v="121"/>
    <n v="15"/>
    <n v="34"/>
    <n v="160000"/>
    <x v="18"/>
    <n v="88"/>
    <n v="105"/>
    <n v="104"/>
    <x v="0"/>
    <n v="16640000"/>
    <n v="107"/>
    <n v="3"/>
    <x v="1"/>
    <x v="1"/>
  </r>
  <r>
    <s v="SKU0021"/>
    <x v="1"/>
    <x v="0"/>
    <s v="Pcs"/>
    <n v="55"/>
    <n v="37"/>
    <n v="45"/>
    <n v="117000"/>
    <x v="19"/>
    <n v="27"/>
    <n v="22"/>
    <n v="60"/>
    <x v="0"/>
    <n v="7020000"/>
    <n v="60"/>
    <n v="0"/>
    <x v="3"/>
    <x v="0"/>
  </r>
  <r>
    <s v="SKU0022"/>
    <x v="6"/>
    <x v="0"/>
    <s v="Pcs"/>
    <n v="49"/>
    <n v="28"/>
    <n v="57"/>
    <n v="75000"/>
    <x v="20"/>
    <n v="94"/>
    <n v="150"/>
    <n v="-7"/>
    <x v="2"/>
    <n v="-525000"/>
    <n v="0"/>
    <n v="0"/>
    <x v="8"/>
    <x v="0"/>
  </r>
  <r>
    <s v="SKU0023"/>
    <x v="8"/>
    <x v="0"/>
    <s v="Pcs"/>
    <n v="92"/>
    <n v="36"/>
    <n v="41"/>
    <n v="121000"/>
    <x v="21"/>
    <n v="86"/>
    <n v="195"/>
    <n v="-17"/>
    <x v="2"/>
    <n v="-2057000"/>
    <n v="0"/>
    <n v="0"/>
    <x v="9"/>
    <x v="0"/>
  </r>
  <r>
    <s v="SKU0024"/>
    <x v="2"/>
    <x v="0"/>
    <s v="Pcs"/>
    <n v="71"/>
    <n v="41"/>
    <n v="48"/>
    <n v="209000"/>
    <x v="22"/>
    <n v="203"/>
    <n v="182"/>
    <n v="92"/>
    <x v="0"/>
    <n v="19228000"/>
    <n v="93"/>
    <n v="1"/>
    <x v="9"/>
    <x v="1"/>
  </r>
  <r>
    <s v="SKU0025"/>
    <x v="0"/>
    <x v="0"/>
    <s v="Pcs"/>
    <n v="146"/>
    <n v="13"/>
    <n v="36"/>
    <n v="279000"/>
    <x v="16"/>
    <n v="223"/>
    <n v="190"/>
    <n v="179"/>
    <x v="0"/>
    <n v="49941000"/>
    <n v="181"/>
    <n v="2"/>
    <x v="6"/>
    <x v="1"/>
  </r>
  <r>
    <s v="SKU0026"/>
    <x v="5"/>
    <x v="0"/>
    <s v="Pcs"/>
    <n v="233"/>
    <n v="43"/>
    <n v="61"/>
    <n v="360000"/>
    <x v="20"/>
    <n v="132"/>
    <n v="68"/>
    <n v="297"/>
    <x v="0"/>
    <n v="106920000"/>
    <n v="294"/>
    <n v="-3"/>
    <x v="0"/>
    <x v="2"/>
  </r>
  <r>
    <s v="SKU0027"/>
    <x v="5"/>
    <x v="0"/>
    <s v="Pcs"/>
    <n v="181"/>
    <n v="46"/>
    <n v="62"/>
    <n v="294000"/>
    <x v="23"/>
    <n v="117"/>
    <n v="38"/>
    <n v="260"/>
    <x v="0"/>
    <n v="76440000"/>
    <n v="261"/>
    <n v="1"/>
    <x v="6"/>
    <x v="1"/>
  </r>
  <r>
    <s v="SKU0028"/>
    <x v="0"/>
    <x v="0"/>
    <s v="Pcs"/>
    <n v="67"/>
    <n v="9"/>
    <n v="24"/>
    <n v="148000"/>
    <x v="24"/>
    <n v="344"/>
    <n v="258"/>
    <n v="153"/>
    <x v="0"/>
    <n v="22644000"/>
    <n v="155"/>
    <n v="2"/>
    <x v="1"/>
    <x v="1"/>
  </r>
  <r>
    <s v="SKU0029"/>
    <x v="2"/>
    <x v="0"/>
    <s v="Pcs"/>
    <n v="66"/>
    <n v="5"/>
    <n v="16"/>
    <n v="481000"/>
    <x v="11"/>
    <n v="57"/>
    <n v="114"/>
    <n v="9"/>
    <x v="1"/>
    <n v="4329000"/>
    <n v="9"/>
    <n v="0"/>
    <x v="1"/>
    <x v="0"/>
  </r>
  <r>
    <s v="SKU0030"/>
    <x v="8"/>
    <x v="0"/>
    <s v="Pcs"/>
    <n v="28"/>
    <n v="37"/>
    <n v="49"/>
    <n v="87000"/>
    <x v="25"/>
    <n v="0"/>
    <n v="251"/>
    <n v="-223"/>
    <x v="2"/>
    <n v="-19401000"/>
    <n v="0"/>
    <n v="0"/>
    <x v="3"/>
    <x v="0"/>
  </r>
  <r>
    <s v="SKU0031"/>
    <x v="2"/>
    <x v="0"/>
    <s v="Pcs"/>
    <n v="43"/>
    <n v="41"/>
    <n v="64"/>
    <n v="456000"/>
    <x v="26"/>
    <n v="55"/>
    <n v="234"/>
    <n v="-136"/>
    <x v="2"/>
    <n v="-62016000"/>
    <n v="0"/>
    <n v="0"/>
    <x v="6"/>
    <x v="0"/>
  </r>
  <r>
    <s v="SKU0032"/>
    <x v="3"/>
    <x v="0"/>
    <s v="Pcs"/>
    <n v="34"/>
    <n v="11"/>
    <n v="37"/>
    <n v="177000"/>
    <x v="27"/>
    <n v="138"/>
    <n v="73"/>
    <n v="99"/>
    <x v="0"/>
    <n v="17523000"/>
    <n v="97"/>
    <n v="-2"/>
    <x v="5"/>
    <x v="2"/>
  </r>
  <r>
    <s v="SKU0033"/>
    <x v="3"/>
    <x v="0"/>
    <s v="Pcs"/>
    <n v="231"/>
    <n v="8"/>
    <n v="57"/>
    <n v="319000"/>
    <x v="28"/>
    <n v="137"/>
    <n v="143"/>
    <n v="225"/>
    <x v="0"/>
    <n v="71775000"/>
    <n v="225"/>
    <n v="0"/>
    <x v="9"/>
    <x v="0"/>
  </r>
  <r>
    <s v="SKU0034"/>
    <x v="4"/>
    <x v="0"/>
    <s v="Pcs"/>
    <n v="73"/>
    <n v="17"/>
    <n v="28"/>
    <n v="28000"/>
    <x v="29"/>
    <n v="92"/>
    <n v="101"/>
    <n v="64"/>
    <x v="0"/>
    <n v="1792000"/>
    <n v="64"/>
    <n v="0"/>
    <x v="4"/>
    <x v="0"/>
  </r>
  <r>
    <s v="SKU0035"/>
    <x v="3"/>
    <x v="0"/>
    <s v="Pcs"/>
    <n v="81"/>
    <n v="34"/>
    <n v="46"/>
    <n v="173000"/>
    <x v="30"/>
    <n v="193"/>
    <n v="303"/>
    <n v="-29"/>
    <x v="2"/>
    <n v="-5017000"/>
    <n v="0"/>
    <n v="0"/>
    <x v="9"/>
    <x v="0"/>
  </r>
  <r>
    <s v="SKU0036"/>
    <x v="0"/>
    <x v="0"/>
    <s v="Pcs"/>
    <n v="176"/>
    <n v="39"/>
    <n v="44"/>
    <n v="97000"/>
    <x v="31"/>
    <n v="30"/>
    <n v="1"/>
    <n v="205"/>
    <x v="0"/>
    <n v="19885000"/>
    <n v="203"/>
    <n v="-2"/>
    <x v="9"/>
    <x v="2"/>
  </r>
  <r>
    <s v="SKU0037"/>
    <x v="7"/>
    <x v="0"/>
    <s v="Pcs"/>
    <n v="134"/>
    <n v="35"/>
    <n v="46"/>
    <n v="174000"/>
    <x v="28"/>
    <n v="200"/>
    <n v="140"/>
    <n v="194"/>
    <x v="0"/>
    <n v="33756000"/>
    <n v="194"/>
    <n v="0"/>
    <x v="5"/>
    <x v="0"/>
  </r>
  <r>
    <s v="SKU0038"/>
    <x v="3"/>
    <x v="0"/>
    <s v="Pcs"/>
    <n v="109"/>
    <n v="21"/>
    <n v="51"/>
    <n v="81000"/>
    <x v="32"/>
    <n v="116"/>
    <n v="221"/>
    <n v="4"/>
    <x v="3"/>
    <n v="324000"/>
    <n v="1"/>
    <n v="-3"/>
    <x v="6"/>
    <x v="2"/>
  </r>
  <r>
    <s v="SKU0039"/>
    <x v="1"/>
    <x v="0"/>
    <s v="Pcs"/>
    <n v="193"/>
    <n v="36"/>
    <n v="48"/>
    <n v="104000"/>
    <x v="6"/>
    <n v="33"/>
    <n v="79"/>
    <n v="147"/>
    <x v="0"/>
    <n v="15288000"/>
    <n v="145"/>
    <n v="-2"/>
    <x v="0"/>
    <x v="2"/>
  </r>
  <r>
    <s v="SKU0040"/>
    <x v="8"/>
    <x v="0"/>
    <s v="Pcs"/>
    <n v="198"/>
    <n v="39"/>
    <n v="49"/>
    <n v="119000"/>
    <x v="28"/>
    <n v="36"/>
    <n v="46"/>
    <n v="188"/>
    <x v="0"/>
    <n v="22372000"/>
    <n v="189"/>
    <n v="1"/>
    <x v="2"/>
    <x v="1"/>
  </r>
  <r>
    <s v="SKU0041"/>
    <x v="6"/>
    <x v="0"/>
    <s v="Pcs"/>
    <n v="138"/>
    <n v="38"/>
    <n v="48"/>
    <n v="147000"/>
    <x v="33"/>
    <n v="163"/>
    <n v="195"/>
    <n v="106"/>
    <x v="0"/>
    <n v="15582000"/>
    <n v="106"/>
    <n v="0"/>
    <x v="1"/>
    <x v="0"/>
  </r>
  <r>
    <s v="SKU0042"/>
    <x v="7"/>
    <x v="0"/>
    <s v="Pcs"/>
    <n v="162"/>
    <n v="9"/>
    <n v="40"/>
    <n v="87000"/>
    <x v="34"/>
    <n v="112"/>
    <n v="43"/>
    <n v="231"/>
    <x v="0"/>
    <n v="20097000"/>
    <n v="230"/>
    <n v="-1"/>
    <x v="0"/>
    <x v="2"/>
  </r>
  <r>
    <s v="SKU0043"/>
    <x v="6"/>
    <x v="0"/>
    <s v="Pcs"/>
    <n v="158"/>
    <n v="43"/>
    <n v="49"/>
    <n v="88000"/>
    <x v="35"/>
    <n v="329"/>
    <n v="213"/>
    <n v="274"/>
    <x v="0"/>
    <n v="24112000"/>
    <n v="275"/>
    <n v="1"/>
    <x v="7"/>
    <x v="1"/>
  </r>
  <r>
    <s v="SKU0044"/>
    <x v="6"/>
    <x v="0"/>
    <s v="Pcs"/>
    <n v="143"/>
    <n v="25"/>
    <n v="38"/>
    <n v="169000"/>
    <x v="25"/>
    <n v="330"/>
    <n v="81"/>
    <n v="392"/>
    <x v="0"/>
    <n v="66248000"/>
    <n v="390"/>
    <n v="-2"/>
    <x v="0"/>
    <x v="2"/>
  </r>
  <r>
    <s v="SKU0045"/>
    <x v="2"/>
    <x v="0"/>
    <s v="Pcs"/>
    <n v="111"/>
    <n v="13"/>
    <n v="39"/>
    <n v="315000"/>
    <x v="36"/>
    <n v="135"/>
    <n v="61"/>
    <n v="185"/>
    <x v="0"/>
    <n v="58275000"/>
    <n v="182"/>
    <n v="-3"/>
    <x v="3"/>
    <x v="2"/>
  </r>
  <r>
    <s v="SKU0046"/>
    <x v="0"/>
    <x v="0"/>
    <s v="Pcs"/>
    <n v="127"/>
    <n v="44"/>
    <n v="67"/>
    <n v="87000"/>
    <x v="37"/>
    <n v="64"/>
    <n v="78"/>
    <n v="113"/>
    <x v="0"/>
    <n v="9831000"/>
    <n v="115"/>
    <n v="2"/>
    <x v="9"/>
    <x v="1"/>
  </r>
  <r>
    <s v="SKU0047"/>
    <x v="2"/>
    <x v="0"/>
    <s v="Pcs"/>
    <n v="77"/>
    <n v="13"/>
    <n v="29"/>
    <n v="439000"/>
    <x v="26"/>
    <n v="224"/>
    <n v="212"/>
    <n v="89"/>
    <x v="0"/>
    <n v="39071000"/>
    <n v="86"/>
    <n v="-3"/>
    <x v="9"/>
    <x v="2"/>
  </r>
  <r>
    <s v="SKU0048"/>
    <x v="5"/>
    <x v="0"/>
    <s v="Pcs"/>
    <n v="122"/>
    <n v="39"/>
    <n v="66"/>
    <n v="170000"/>
    <x v="38"/>
    <n v="166"/>
    <n v="137"/>
    <n v="151"/>
    <x v="0"/>
    <n v="25670000"/>
    <n v="151"/>
    <n v="0"/>
    <x v="3"/>
    <x v="0"/>
  </r>
  <r>
    <s v="SKU0049"/>
    <x v="8"/>
    <x v="0"/>
    <s v="Pcs"/>
    <n v="219"/>
    <n v="40"/>
    <n v="54"/>
    <n v="130000"/>
    <x v="0"/>
    <n v="67"/>
    <n v="128"/>
    <n v="158"/>
    <x v="0"/>
    <n v="20540000"/>
    <n v="158"/>
    <n v="0"/>
    <x v="9"/>
    <x v="0"/>
  </r>
  <r>
    <s v="SKU0050"/>
    <x v="0"/>
    <x v="0"/>
    <s v="Pcs"/>
    <n v="200"/>
    <n v="40"/>
    <n v="50"/>
    <n v="112000"/>
    <x v="32"/>
    <n v="124"/>
    <n v="60"/>
    <n v="264"/>
    <x v="0"/>
    <n v="29568000"/>
    <n v="264"/>
    <n v="0"/>
    <x v="3"/>
    <x v="0"/>
  </r>
  <r>
    <s v="SKU0051"/>
    <x v="2"/>
    <x v="0"/>
    <s v="Pcs"/>
    <n v="97"/>
    <n v="18"/>
    <n v="44"/>
    <n v="547000"/>
    <x v="39"/>
    <n v="25"/>
    <n v="42"/>
    <n v="80"/>
    <x v="0"/>
    <n v="43760000"/>
    <n v="77"/>
    <n v="-3"/>
    <x v="3"/>
    <x v="2"/>
  </r>
  <r>
    <s v="SKU0052"/>
    <x v="5"/>
    <x v="0"/>
    <s v="Pcs"/>
    <n v="33"/>
    <n v="45"/>
    <n v="63"/>
    <n v="116000"/>
    <x v="5"/>
    <n v="64"/>
    <n v="209"/>
    <n v="-112"/>
    <x v="2"/>
    <n v="-12992000"/>
    <n v="0"/>
    <n v="0"/>
    <x v="3"/>
    <x v="0"/>
  </r>
  <r>
    <s v="SKU0053"/>
    <x v="4"/>
    <x v="0"/>
    <s v="Pcs"/>
    <n v="173"/>
    <n v="21"/>
    <n v="43"/>
    <n v="31000"/>
    <x v="16"/>
    <n v="224"/>
    <n v="114"/>
    <n v="283"/>
    <x v="0"/>
    <n v="8773000"/>
    <n v="283"/>
    <n v="0"/>
    <x v="6"/>
    <x v="0"/>
  </r>
  <r>
    <s v="SKU0054"/>
    <x v="1"/>
    <x v="0"/>
    <s v="Pcs"/>
    <n v="38"/>
    <n v="9"/>
    <n v="36"/>
    <n v="21000"/>
    <x v="20"/>
    <n v="179"/>
    <n v="183"/>
    <n v="34"/>
    <x v="1"/>
    <n v="714000"/>
    <n v="33"/>
    <n v="-1"/>
    <x v="8"/>
    <x v="2"/>
  </r>
  <r>
    <s v="SKU0055"/>
    <x v="4"/>
    <x v="0"/>
    <s v="Pcs"/>
    <n v="151"/>
    <n v="14"/>
    <n v="37"/>
    <n v="89000"/>
    <x v="5"/>
    <n v="51"/>
    <n v="158"/>
    <n v="44"/>
    <x v="0"/>
    <n v="3916000"/>
    <n v="44"/>
    <n v="0"/>
    <x v="8"/>
    <x v="0"/>
  </r>
  <r>
    <s v="SKU0056"/>
    <x v="4"/>
    <x v="0"/>
    <s v="Pcs"/>
    <n v="240"/>
    <n v="27"/>
    <n v="60"/>
    <n v="20000"/>
    <x v="25"/>
    <n v="141"/>
    <n v="135"/>
    <n v="246"/>
    <x v="0"/>
    <n v="4920000"/>
    <n v="246"/>
    <n v="0"/>
    <x v="0"/>
    <x v="0"/>
  </r>
  <r>
    <s v="SKU0057"/>
    <x v="4"/>
    <x v="0"/>
    <s v="Pcs"/>
    <n v="236"/>
    <n v="31"/>
    <n v="59"/>
    <n v="86000"/>
    <x v="40"/>
    <n v="294"/>
    <n v="45"/>
    <n v="485"/>
    <x v="0"/>
    <n v="41710000"/>
    <n v="483"/>
    <n v="-2"/>
    <x v="8"/>
    <x v="2"/>
  </r>
  <r>
    <s v="SKU0058"/>
    <x v="7"/>
    <x v="0"/>
    <s v="Pcs"/>
    <n v="16"/>
    <n v="16"/>
    <n v="44"/>
    <n v="175000"/>
    <x v="41"/>
    <n v="187"/>
    <n v="101"/>
    <n v="102"/>
    <x v="0"/>
    <n v="17850000"/>
    <n v="105"/>
    <n v="3"/>
    <x v="2"/>
    <x v="1"/>
  </r>
  <r>
    <s v="SKU0059"/>
    <x v="5"/>
    <x v="0"/>
    <s v="Pcs"/>
    <n v="211"/>
    <n v="49"/>
    <n v="57"/>
    <n v="171000"/>
    <x v="42"/>
    <n v="369"/>
    <n v="60"/>
    <n v="520"/>
    <x v="0"/>
    <n v="88920000"/>
    <n v="520"/>
    <n v="0"/>
    <x v="5"/>
    <x v="0"/>
  </r>
  <r>
    <s v="SKU0060"/>
    <x v="2"/>
    <x v="0"/>
    <s v="Pcs"/>
    <n v="219"/>
    <n v="34"/>
    <n v="54"/>
    <n v="282000"/>
    <x v="11"/>
    <n v="47"/>
    <n v="165"/>
    <n v="101"/>
    <x v="0"/>
    <n v="28482000"/>
    <n v="100"/>
    <n v="-1"/>
    <x v="3"/>
    <x v="2"/>
  </r>
  <r>
    <s v="SKU0061"/>
    <x v="8"/>
    <x v="0"/>
    <s v="Pcs"/>
    <n v="59"/>
    <n v="30"/>
    <n v="45"/>
    <n v="129000"/>
    <x v="43"/>
    <n v="59"/>
    <n v="191"/>
    <n v="-73"/>
    <x v="2"/>
    <n v="-9417000"/>
    <n v="0"/>
    <n v="0"/>
    <x v="3"/>
    <x v="0"/>
  </r>
  <r>
    <s v="SKU0062"/>
    <x v="4"/>
    <x v="0"/>
    <s v="Pcs"/>
    <n v="112"/>
    <n v="48"/>
    <n v="70"/>
    <n v="80000"/>
    <x v="44"/>
    <n v="94"/>
    <n v="44"/>
    <n v="162"/>
    <x v="0"/>
    <n v="12960000"/>
    <n v="165"/>
    <n v="3"/>
    <x v="2"/>
    <x v="1"/>
  </r>
  <r>
    <s v="SKU0063"/>
    <x v="5"/>
    <x v="0"/>
    <s v="Pcs"/>
    <n v="158"/>
    <n v="21"/>
    <n v="39"/>
    <n v="181000"/>
    <x v="15"/>
    <n v="205"/>
    <n v="156"/>
    <n v="207"/>
    <x v="0"/>
    <n v="37467000"/>
    <n v="207"/>
    <n v="0"/>
    <x v="9"/>
    <x v="0"/>
  </r>
  <r>
    <s v="SKU0064"/>
    <x v="4"/>
    <x v="0"/>
    <s v="Pcs"/>
    <n v="121"/>
    <n v="43"/>
    <n v="64"/>
    <n v="55000"/>
    <x v="45"/>
    <n v="46"/>
    <n v="94"/>
    <n v="73"/>
    <x v="0"/>
    <n v="4015000"/>
    <n v="76"/>
    <n v="3"/>
    <x v="9"/>
    <x v="1"/>
  </r>
  <r>
    <s v="SKU0065"/>
    <x v="2"/>
    <x v="0"/>
    <s v="Pcs"/>
    <n v="21"/>
    <n v="50"/>
    <n v="68"/>
    <n v="310000"/>
    <x v="23"/>
    <n v="49"/>
    <n v="230"/>
    <n v="-160"/>
    <x v="2"/>
    <n v="-49600000"/>
    <n v="0"/>
    <n v="0"/>
    <x v="1"/>
    <x v="0"/>
  </r>
  <r>
    <s v="SKU0066"/>
    <x v="2"/>
    <x v="0"/>
    <s v="Pcs"/>
    <n v="120"/>
    <n v="9"/>
    <n v="35"/>
    <n v="366000"/>
    <x v="46"/>
    <n v="181"/>
    <n v="152"/>
    <n v="149"/>
    <x v="0"/>
    <n v="54534000"/>
    <n v="149"/>
    <n v="0"/>
    <x v="2"/>
    <x v="0"/>
  </r>
  <r>
    <s v="SKU0067"/>
    <x v="0"/>
    <x v="0"/>
    <s v="Pcs"/>
    <n v="240"/>
    <n v="24"/>
    <n v="60"/>
    <n v="269000"/>
    <x v="25"/>
    <n v="98"/>
    <n v="260"/>
    <n v="78"/>
    <x v="0"/>
    <n v="20982000"/>
    <n v="75"/>
    <n v="-3"/>
    <x v="3"/>
    <x v="2"/>
  </r>
  <r>
    <s v="SKU0068"/>
    <x v="4"/>
    <x v="0"/>
    <s v="Pcs"/>
    <n v="188"/>
    <n v="23"/>
    <n v="47"/>
    <n v="66000"/>
    <x v="47"/>
    <n v="63"/>
    <n v="174"/>
    <n v="77"/>
    <x v="0"/>
    <n v="5082000"/>
    <n v="74"/>
    <n v="-3"/>
    <x v="8"/>
    <x v="2"/>
  </r>
  <r>
    <s v="SKU0069"/>
    <x v="3"/>
    <x v="0"/>
    <s v="Pcs"/>
    <n v="167"/>
    <n v="41"/>
    <n v="55"/>
    <n v="169000"/>
    <x v="16"/>
    <n v="67"/>
    <n v="138"/>
    <n v="96"/>
    <x v="0"/>
    <n v="16224000"/>
    <n v="96"/>
    <n v="0"/>
    <x v="5"/>
    <x v="0"/>
  </r>
  <r>
    <s v="SKU0070"/>
    <x v="5"/>
    <x v="0"/>
    <s v="Pcs"/>
    <n v="63"/>
    <n v="32"/>
    <n v="62"/>
    <n v="236000"/>
    <x v="48"/>
    <n v="151"/>
    <n v="109"/>
    <n v="105"/>
    <x v="0"/>
    <n v="24780000"/>
    <n v="103"/>
    <n v="-2"/>
    <x v="7"/>
    <x v="2"/>
  </r>
  <r>
    <s v="SKU0071"/>
    <x v="9"/>
    <x v="0"/>
    <s v="Pcs"/>
    <n v="123"/>
    <n v="48"/>
    <n v="59"/>
    <n v="66000"/>
    <x v="49"/>
    <n v="238"/>
    <n v="83"/>
    <n v="278"/>
    <x v="0"/>
    <n v="18348000"/>
    <n v="279"/>
    <n v="1"/>
    <x v="4"/>
    <x v="1"/>
  </r>
  <r>
    <s v="SKU0072"/>
    <x v="0"/>
    <x v="0"/>
    <s v="Pcs"/>
    <n v="141"/>
    <n v="47"/>
    <n v="72"/>
    <n v="157000"/>
    <x v="50"/>
    <n v="173"/>
    <n v="209"/>
    <n v="105"/>
    <x v="0"/>
    <n v="16485000"/>
    <n v="103"/>
    <n v="-2"/>
    <x v="7"/>
    <x v="2"/>
  </r>
  <r>
    <s v="SKU0073"/>
    <x v="2"/>
    <x v="0"/>
    <s v="Pcs"/>
    <n v="89"/>
    <n v="19"/>
    <n v="49"/>
    <n v="524000"/>
    <x v="12"/>
    <n v="75"/>
    <n v="205"/>
    <n v="-41"/>
    <x v="2"/>
    <n v="-21484000"/>
    <n v="0"/>
    <n v="0"/>
    <x v="0"/>
    <x v="0"/>
  </r>
  <r>
    <s v="SKU0074"/>
    <x v="8"/>
    <x v="0"/>
    <s v="Pcs"/>
    <n v="131"/>
    <n v="44"/>
    <n v="73"/>
    <n v="76000"/>
    <x v="36"/>
    <n v="136"/>
    <n v="121"/>
    <n v="146"/>
    <x v="0"/>
    <n v="11096000"/>
    <n v="146"/>
    <n v="0"/>
    <x v="9"/>
    <x v="0"/>
  </r>
  <r>
    <s v="SKU0075"/>
    <x v="6"/>
    <x v="0"/>
    <s v="Pcs"/>
    <n v="193"/>
    <n v="49"/>
    <n v="66"/>
    <n v="74000"/>
    <x v="34"/>
    <n v="194"/>
    <n v="30"/>
    <n v="357"/>
    <x v="0"/>
    <n v="26418000"/>
    <n v="357"/>
    <n v="0"/>
    <x v="6"/>
    <x v="0"/>
  </r>
  <r>
    <s v="SKU0076"/>
    <x v="7"/>
    <x v="0"/>
    <s v="Pcs"/>
    <n v="186"/>
    <n v="5"/>
    <n v="46"/>
    <n v="237000"/>
    <x v="51"/>
    <n v="147"/>
    <n v="196"/>
    <n v="137"/>
    <x v="0"/>
    <n v="32469000"/>
    <n v="134"/>
    <n v="-3"/>
    <x v="9"/>
    <x v="2"/>
  </r>
  <r>
    <s v="SKU0077"/>
    <x v="2"/>
    <x v="0"/>
    <s v="Pcs"/>
    <n v="215"/>
    <n v="49"/>
    <n v="70"/>
    <n v="270000"/>
    <x v="52"/>
    <n v="142"/>
    <n v="78"/>
    <n v="279"/>
    <x v="0"/>
    <n v="75330000"/>
    <n v="278"/>
    <n v="-1"/>
    <x v="6"/>
    <x v="2"/>
  </r>
  <r>
    <s v="SKU0078"/>
    <x v="2"/>
    <x v="0"/>
    <s v="Pcs"/>
    <n v="227"/>
    <n v="12"/>
    <n v="56"/>
    <n v="649000"/>
    <x v="53"/>
    <n v="184"/>
    <n v="44"/>
    <n v="367"/>
    <x v="0"/>
    <n v="238183000"/>
    <n v="365"/>
    <n v="-2"/>
    <x v="8"/>
    <x v="2"/>
  </r>
  <r>
    <s v="SKU0079"/>
    <x v="1"/>
    <x v="0"/>
    <s v="Pcs"/>
    <n v="91"/>
    <n v="33"/>
    <n v="57"/>
    <n v="96000"/>
    <x v="54"/>
    <n v="168"/>
    <n v="128"/>
    <n v="131"/>
    <x v="0"/>
    <n v="12576000"/>
    <n v="131"/>
    <n v="0"/>
    <x v="4"/>
    <x v="0"/>
  </r>
  <r>
    <s v="SKU0080"/>
    <x v="9"/>
    <x v="0"/>
    <s v="Pcs"/>
    <n v="200"/>
    <n v="35"/>
    <n v="54"/>
    <n v="30000"/>
    <x v="31"/>
    <n v="65"/>
    <n v="87"/>
    <n v="178"/>
    <x v="0"/>
    <n v="5340000"/>
    <n v="176"/>
    <n v="-2"/>
    <x v="3"/>
    <x v="2"/>
  </r>
  <r>
    <s v="SKU0081"/>
    <x v="5"/>
    <x v="0"/>
    <s v="Pcs"/>
    <n v="209"/>
    <n v="38"/>
    <n v="58"/>
    <n v="482000"/>
    <x v="8"/>
    <n v="53"/>
    <n v="174"/>
    <n v="88"/>
    <x v="0"/>
    <n v="42416000"/>
    <n v="89"/>
    <n v="1"/>
    <x v="0"/>
    <x v="1"/>
  </r>
  <r>
    <s v="SKU0082"/>
    <x v="0"/>
    <x v="0"/>
    <s v="Pcs"/>
    <n v="83"/>
    <n v="20"/>
    <n v="33"/>
    <n v="267000"/>
    <x v="55"/>
    <n v="91"/>
    <n v="120"/>
    <n v="54"/>
    <x v="0"/>
    <n v="14418000"/>
    <n v="56"/>
    <n v="2"/>
    <x v="2"/>
    <x v="1"/>
  </r>
  <r>
    <s v="SKU0083"/>
    <x v="0"/>
    <x v="0"/>
    <s v="Pcs"/>
    <n v="48"/>
    <n v="19"/>
    <n v="36"/>
    <n v="120000"/>
    <x v="56"/>
    <n v="32"/>
    <n v="113"/>
    <n v="-33"/>
    <x v="2"/>
    <n v="-3960000"/>
    <n v="0"/>
    <n v="0"/>
    <x v="8"/>
    <x v="0"/>
  </r>
  <r>
    <s v="SKU0084"/>
    <x v="0"/>
    <x v="0"/>
    <s v="Pcs"/>
    <n v="114"/>
    <n v="26"/>
    <n v="48"/>
    <n v="191000"/>
    <x v="57"/>
    <n v="50"/>
    <n v="154"/>
    <n v="10"/>
    <x v="3"/>
    <n v="1910000"/>
    <n v="13"/>
    <n v="3"/>
    <x v="6"/>
    <x v="1"/>
  </r>
  <r>
    <s v="SKU0085"/>
    <x v="2"/>
    <x v="0"/>
    <s v="Pcs"/>
    <n v="117"/>
    <n v="29"/>
    <n v="58"/>
    <n v="606000"/>
    <x v="9"/>
    <n v="66"/>
    <n v="99"/>
    <n v="84"/>
    <x v="0"/>
    <n v="50904000"/>
    <n v="85"/>
    <n v="1"/>
    <x v="7"/>
    <x v="1"/>
  </r>
  <r>
    <s v="SKU0086"/>
    <x v="6"/>
    <x v="0"/>
    <s v="Pcs"/>
    <n v="132"/>
    <n v="5"/>
    <n v="33"/>
    <n v="122000"/>
    <x v="31"/>
    <n v="190"/>
    <n v="118"/>
    <n v="204"/>
    <x v="0"/>
    <n v="24888000"/>
    <n v="204"/>
    <n v="0"/>
    <x v="3"/>
    <x v="0"/>
  </r>
  <r>
    <s v="SKU0087"/>
    <x v="3"/>
    <x v="0"/>
    <s v="Pcs"/>
    <n v="134"/>
    <n v="19"/>
    <n v="33"/>
    <n v="192000"/>
    <x v="58"/>
    <n v="93"/>
    <n v="187"/>
    <n v="40"/>
    <x v="0"/>
    <n v="7680000"/>
    <n v="41"/>
    <n v="1"/>
    <x v="5"/>
    <x v="1"/>
  </r>
  <r>
    <s v="SKU0088"/>
    <x v="3"/>
    <x v="0"/>
    <s v="Pcs"/>
    <n v="181"/>
    <n v="48"/>
    <n v="78"/>
    <n v="252000"/>
    <x v="18"/>
    <n v="226"/>
    <n v="92"/>
    <n v="315"/>
    <x v="0"/>
    <n v="79380000"/>
    <n v="315"/>
    <n v="0"/>
    <x v="5"/>
    <x v="0"/>
  </r>
  <r>
    <s v="SKU0089"/>
    <x v="9"/>
    <x v="0"/>
    <s v="Pcs"/>
    <n v="169"/>
    <n v="39"/>
    <n v="44"/>
    <n v="26000"/>
    <x v="24"/>
    <n v="179"/>
    <n v="138"/>
    <n v="210"/>
    <x v="0"/>
    <n v="5460000"/>
    <n v="210"/>
    <n v="0"/>
    <x v="5"/>
    <x v="0"/>
  </r>
  <r>
    <s v="SKU0090"/>
    <x v="8"/>
    <x v="0"/>
    <s v="Pcs"/>
    <n v="174"/>
    <n v="32"/>
    <n v="43"/>
    <n v="55000"/>
    <x v="59"/>
    <n v="101"/>
    <n v="55"/>
    <n v="220"/>
    <x v="0"/>
    <n v="12100000"/>
    <n v="220"/>
    <n v="0"/>
    <x v="6"/>
    <x v="0"/>
  </r>
  <r>
    <s v="SKU0091"/>
    <x v="5"/>
    <x v="0"/>
    <s v="Pcs"/>
    <n v="93"/>
    <n v="18"/>
    <n v="37"/>
    <n v="284000"/>
    <x v="60"/>
    <n v="81"/>
    <n v="74"/>
    <n v="100"/>
    <x v="0"/>
    <n v="28400000"/>
    <n v="100"/>
    <n v="0"/>
    <x v="2"/>
    <x v="0"/>
  </r>
  <r>
    <s v="SKU0092"/>
    <x v="5"/>
    <x v="0"/>
    <s v="Pcs"/>
    <n v="222"/>
    <n v="31"/>
    <n v="55"/>
    <n v="475000"/>
    <x v="49"/>
    <n v="154"/>
    <n v="140"/>
    <n v="236"/>
    <x v="0"/>
    <n v="112100000"/>
    <n v="236"/>
    <n v="0"/>
    <x v="9"/>
    <x v="0"/>
  </r>
  <r>
    <s v="SKU0093"/>
    <x v="1"/>
    <x v="0"/>
    <s v="Pcs"/>
    <n v="99"/>
    <n v="19"/>
    <n v="44"/>
    <n v="26000"/>
    <x v="51"/>
    <n v="228"/>
    <n v="90"/>
    <n v="237"/>
    <x v="0"/>
    <n v="6162000"/>
    <n v="240"/>
    <n v="3"/>
    <x v="9"/>
    <x v="1"/>
  </r>
  <r>
    <s v="SKU0094"/>
    <x v="8"/>
    <x v="0"/>
    <s v="Pcs"/>
    <n v="61"/>
    <n v="6"/>
    <n v="30"/>
    <n v="76000"/>
    <x v="40"/>
    <n v="60"/>
    <n v="127"/>
    <n v="-6"/>
    <x v="2"/>
    <n v="-456000"/>
    <n v="0"/>
    <n v="0"/>
    <x v="8"/>
    <x v="0"/>
  </r>
  <r>
    <s v="SKU0095"/>
    <x v="9"/>
    <x v="0"/>
    <s v="Pcs"/>
    <n v="154"/>
    <n v="18"/>
    <n v="38"/>
    <n v="24000"/>
    <x v="17"/>
    <n v="262"/>
    <n v="156"/>
    <n v="260"/>
    <x v="0"/>
    <n v="6240000"/>
    <n v="258"/>
    <n v="-2"/>
    <x v="3"/>
    <x v="2"/>
  </r>
  <r>
    <s v="SKU0096"/>
    <x v="7"/>
    <x v="0"/>
    <s v="Pcs"/>
    <n v="165"/>
    <n v="50"/>
    <n v="58"/>
    <n v="225000"/>
    <x v="61"/>
    <n v="136"/>
    <n v="156"/>
    <n v="145"/>
    <x v="0"/>
    <n v="32625000"/>
    <n v="142"/>
    <n v="-3"/>
    <x v="8"/>
    <x v="2"/>
  </r>
  <r>
    <s v="SKU0097"/>
    <x v="6"/>
    <x v="0"/>
    <s v="Pcs"/>
    <n v="247"/>
    <n v="24"/>
    <n v="61"/>
    <n v="31000"/>
    <x v="62"/>
    <n v="158"/>
    <n v="161"/>
    <n v="244"/>
    <x v="0"/>
    <n v="7564000"/>
    <n v="244"/>
    <n v="0"/>
    <x v="5"/>
    <x v="0"/>
  </r>
  <r>
    <s v="SKU0098"/>
    <x v="0"/>
    <x v="0"/>
    <s v="Pcs"/>
    <n v="186"/>
    <n v="45"/>
    <n v="57"/>
    <n v="236000"/>
    <x v="9"/>
    <n v="143"/>
    <n v="39"/>
    <n v="290"/>
    <x v="0"/>
    <n v="68440000"/>
    <n v="287"/>
    <n v="-3"/>
    <x v="9"/>
    <x v="2"/>
  </r>
  <r>
    <s v="SKU0099"/>
    <x v="6"/>
    <x v="0"/>
    <s v="Pcs"/>
    <n v="213"/>
    <n v="41"/>
    <n v="71"/>
    <n v="55000"/>
    <x v="63"/>
    <n v="56"/>
    <n v="171"/>
    <n v="98"/>
    <x v="0"/>
    <n v="5390000"/>
    <n v="96"/>
    <n v="-2"/>
    <x v="1"/>
    <x v="2"/>
  </r>
  <r>
    <s v="SKU0100"/>
    <x v="3"/>
    <x v="0"/>
    <s v="Pcs"/>
    <n v="27"/>
    <n v="37"/>
    <n v="62"/>
    <n v="269000"/>
    <x v="64"/>
    <n v="208"/>
    <n v="164"/>
    <n v="71"/>
    <x v="0"/>
    <n v="19099000"/>
    <n v="71"/>
    <n v="0"/>
    <x v="2"/>
    <x v="0"/>
  </r>
  <r>
    <s v="SKU0101"/>
    <x v="10"/>
    <x v="1"/>
    <s v="Pcs"/>
    <n v="120"/>
    <n v="28"/>
    <n v="53"/>
    <n v="4229000"/>
    <x v="56"/>
    <n v="83"/>
    <n v="81"/>
    <n v="122"/>
    <x v="0"/>
    <n v="515938000"/>
    <n v="124"/>
    <n v="2"/>
    <x v="6"/>
    <x v="1"/>
  </r>
  <r>
    <s v="SKU0102"/>
    <x v="11"/>
    <x v="1"/>
    <s v="Pcs"/>
    <n v="197"/>
    <n v="38"/>
    <n v="63"/>
    <n v="2642000"/>
    <x v="38"/>
    <n v="144"/>
    <n v="155"/>
    <n v="186"/>
    <x v="0"/>
    <n v="491412000"/>
    <n v="187"/>
    <n v="1"/>
    <x v="3"/>
    <x v="1"/>
  </r>
  <r>
    <s v="SKU0103"/>
    <x v="10"/>
    <x v="1"/>
    <s v="Pcs"/>
    <n v="121"/>
    <n v="42"/>
    <n v="55"/>
    <n v="10116000"/>
    <x v="26"/>
    <n v="128"/>
    <n v="106"/>
    <n v="143"/>
    <x v="0"/>
    <n v="1446588000"/>
    <n v="143"/>
    <n v="0"/>
    <x v="2"/>
    <x v="0"/>
  </r>
  <r>
    <s v="SKU0104"/>
    <x v="12"/>
    <x v="1"/>
    <s v="Pcs"/>
    <n v="72"/>
    <n v="34"/>
    <n v="57"/>
    <n v="761000"/>
    <x v="25"/>
    <n v="0"/>
    <n v="29"/>
    <n v="43"/>
    <x v="1"/>
    <n v="32723000"/>
    <n v="42"/>
    <n v="-1"/>
    <x v="7"/>
    <x v="2"/>
  </r>
  <r>
    <s v="SKU0105"/>
    <x v="13"/>
    <x v="1"/>
    <s v="Pcs"/>
    <n v="136"/>
    <n v="25"/>
    <n v="35"/>
    <n v="908000"/>
    <x v="65"/>
    <n v="98"/>
    <n v="128"/>
    <n v="106"/>
    <x v="0"/>
    <n v="96248000"/>
    <n v="108"/>
    <n v="2"/>
    <x v="6"/>
    <x v="1"/>
  </r>
  <r>
    <s v="SKU0106"/>
    <x v="12"/>
    <x v="1"/>
    <s v="Pcs"/>
    <n v="81"/>
    <n v="43"/>
    <n v="70"/>
    <n v="648000"/>
    <x v="66"/>
    <n v="50"/>
    <n v="61"/>
    <n v="70"/>
    <x v="1"/>
    <n v="45360000"/>
    <n v="73"/>
    <n v="3"/>
    <x v="3"/>
    <x v="1"/>
  </r>
  <r>
    <s v="SKU0107"/>
    <x v="14"/>
    <x v="1"/>
    <s v="Pcs"/>
    <n v="58"/>
    <n v="10"/>
    <n v="22"/>
    <n v="1150000"/>
    <x v="58"/>
    <n v="109"/>
    <n v="112"/>
    <n v="55"/>
    <x v="0"/>
    <n v="63250000"/>
    <n v="56"/>
    <n v="1"/>
    <x v="5"/>
    <x v="1"/>
  </r>
  <r>
    <s v="SKU0108"/>
    <x v="15"/>
    <x v="1"/>
    <s v="Pcs"/>
    <n v="131"/>
    <n v="46"/>
    <n v="73"/>
    <n v="803000"/>
    <x v="29"/>
    <n v="142"/>
    <n v="191"/>
    <n v="82"/>
    <x v="0"/>
    <n v="65846000"/>
    <n v="80"/>
    <n v="-2"/>
    <x v="6"/>
    <x v="2"/>
  </r>
  <r>
    <s v="SKU0109"/>
    <x v="16"/>
    <x v="1"/>
    <s v="Pcs"/>
    <n v="66"/>
    <n v="30"/>
    <n v="57"/>
    <n v="851000"/>
    <x v="61"/>
    <n v="362"/>
    <n v="71"/>
    <n v="357"/>
    <x v="0"/>
    <n v="303807000"/>
    <n v="357"/>
    <n v="0"/>
    <x v="0"/>
    <x v="0"/>
  </r>
  <r>
    <s v="SKU0110"/>
    <x v="13"/>
    <x v="1"/>
    <s v="Pcs"/>
    <n v="151"/>
    <n v="38"/>
    <n v="54"/>
    <n v="1819000"/>
    <x v="13"/>
    <n v="157"/>
    <n v="161"/>
    <n v="147"/>
    <x v="0"/>
    <n v="267393000"/>
    <n v="149"/>
    <n v="2"/>
    <x v="5"/>
    <x v="1"/>
  </r>
  <r>
    <s v="SKU0111"/>
    <x v="13"/>
    <x v="1"/>
    <s v="Pcs"/>
    <n v="189"/>
    <n v="34"/>
    <n v="47"/>
    <n v="1570000"/>
    <x v="67"/>
    <n v="188"/>
    <n v="105"/>
    <n v="272"/>
    <x v="0"/>
    <n v="427040000"/>
    <n v="272"/>
    <n v="0"/>
    <x v="3"/>
    <x v="0"/>
  </r>
  <r>
    <s v="SKU0112"/>
    <x v="16"/>
    <x v="1"/>
    <s v="Pcs"/>
    <n v="90"/>
    <n v="12"/>
    <n v="40"/>
    <n v="747000"/>
    <x v="3"/>
    <n v="133"/>
    <n v="83"/>
    <n v="140"/>
    <x v="0"/>
    <n v="104580000"/>
    <n v="143"/>
    <n v="3"/>
    <x v="4"/>
    <x v="1"/>
  </r>
  <r>
    <s v="SKU0113"/>
    <x v="15"/>
    <x v="1"/>
    <s v="Pcs"/>
    <n v="199"/>
    <n v="35"/>
    <n v="49"/>
    <n v="560000"/>
    <x v="3"/>
    <n v="145"/>
    <n v="141"/>
    <n v="203"/>
    <x v="0"/>
    <n v="113680000"/>
    <n v="203"/>
    <n v="0"/>
    <x v="7"/>
    <x v="0"/>
  </r>
  <r>
    <s v="SKU0114"/>
    <x v="17"/>
    <x v="1"/>
    <s v="Pcs"/>
    <n v="35"/>
    <n v="17"/>
    <n v="31"/>
    <n v="929000"/>
    <x v="21"/>
    <n v="84"/>
    <n v="95"/>
    <n v="24"/>
    <x v="1"/>
    <n v="22296000"/>
    <n v="24"/>
    <n v="0"/>
    <x v="0"/>
    <x v="0"/>
  </r>
  <r>
    <s v="SKU0115"/>
    <x v="12"/>
    <x v="1"/>
    <s v="Pcs"/>
    <n v="191"/>
    <n v="39"/>
    <n v="48"/>
    <n v="314000"/>
    <x v="5"/>
    <n v="99"/>
    <n v="205"/>
    <n v="85"/>
    <x v="0"/>
    <n v="26690000"/>
    <n v="83"/>
    <n v="-2"/>
    <x v="3"/>
    <x v="2"/>
  </r>
  <r>
    <s v="SKU0116"/>
    <x v="14"/>
    <x v="1"/>
    <s v="Pcs"/>
    <n v="188"/>
    <n v="13"/>
    <n v="47"/>
    <n v="479000"/>
    <x v="4"/>
    <n v="105"/>
    <n v="311"/>
    <n v="-18"/>
    <x v="2"/>
    <n v="-8622000"/>
    <n v="0"/>
    <n v="0"/>
    <x v="6"/>
    <x v="0"/>
  </r>
  <r>
    <s v="SKU0117"/>
    <x v="17"/>
    <x v="1"/>
    <s v="Pcs"/>
    <n v="130"/>
    <n v="35"/>
    <n v="54"/>
    <n v="932000"/>
    <x v="59"/>
    <n v="0"/>
    <n v="138"/>
    <n v="-8"/>
    <x v="2"/>
    <n v="-7456000"/>
    <n v="0"/>
    <n v="0"/>
    <x v="2"/>
    <x v="0"/>
  </r>
  <r>
    <s v="SKU0118"/>
    <x v="12"/>
    <x v="1"/>
    <s v="Pcs"/>
    <n v="39"/>
    <n v="9"/>
    <n v="26"/>
    <n v="789000"/>
    <x v="37"/>
    <n v="125"/>
    <n v="114"/>
    <n v="50"/>
    <x v="0"/>
    <n v="39450000"/>
    <n v="48"/>
    <n v="-2"/>
    <x v="6"/>
    <x v="2"/>
  </r>
  <r>
    <s v="SKU0119"/>
    <x v="18"/>
    <x v="1"/>
    <s v="Pcs"/>
    <n v="48"/>
    <n v="41"/>
    <n v="55"/>
    <n v="427000"/>
    <x v="26"/>
    <n v="111"/>
    <n v="106"/>
    <n v="53"/>
    <x v="1"/>
    <n v="22631000"/>
    <n v="55"/>
    <n v="2"/>
    <x v="9"/>
    <x v="1"/>
  </r>
  <r>
    <s v="SKU0120"/>
    <x v="14"/>
    <x v="1"/>
    <s v="Pcs"/>
    <n v="116"/>
    <n v="43"/>
    <n v="67"/>
    <n v="962000"/>
    <x v="68"/>
    <n v="65"/>
    <n v="193"/>
    <n v="-12"/>
    <x v="2"/>
    <n v="-11544000"/>
    <n v="0"/>
    <n v="0"/>
    <x v="7"/>
    <x v="0"/>
  </r>
  <r>
    <s v="SKU0121"/>
    <x v="11"/>
    <x v="1"/>
    <s v="Pcs"/>
    <n v="242"/>
    <n v="33"/>
    <n v="60"/>
    <n v="4890000"/>
    <x v="54"/>
    <n v="167"/>
    <n v="286"/>
    <n v="123"/>
    <x v="0"/>
    <n v="601470000"/>
    <n v="123"/>
    <n v="0"/>
    <x v="7"/>
    <x v="0"/>
  </r>
  <r>
    <s v="SKU0122"/>
    <x v="17"/>
    <x v="1"/>
    <s v="Pcs"/>
    <n v="25"/>
    <n v="44"/>
    <n v="72"/>
    <n v="1621000"/>
    <x v="3"/>
    <n v="141"/>
    <n v="64"/>
    <n v="102"/>
    <x v="0"/>
    <n v="165342000"/>
    <n v="100"/>
    <n v="-2"/>
    <x v="9"/>
    <x v="2"/>
  </r>
  <r>
    <s v="SKU0123"/>
    <x v="15"/>
    <x v="1"/>
    <s v="Pcs"/>
    <n v="179"/>
    <n v="10"/>
    <n v="44"/>
    <n v="585000"/>
    <x v="69"/>
    <n v="69"/>
    <n v="0"/>
    <n v="248"/>
    <x v="0"/>
    <n v="145080000"/>
    <n v="247"/>
    <n v="-1"/>
    <x v="0"/>
    <x v="2"/>
  </r>
  <r>
    <s v="SKU0124"/>
    <x v="16"/>
    <x v="1"/>
    <s v="Pcs"/>
    <n v="10"/>
    <n v="31"/>
    <n v="50"/>
    <n v="710000"/>
    <x v="49"/>
    <n v="39"/>
    <n v="25"/>
    <n v="24"/>
    <x v="3"/>
    <n v="17040000"/>
    <n v="24"/>
    <n v="0"/>
    <x v="7"/>
    <x v="0"/>
  </r>
  <r>
    <s v="SKU0125"/>
    <x v="18"/>
    <x v="1"/>
    <s v="Pcs"/>
    <n v="83"/>
    <n v="50"/>
    <n v="64"/>
    <n v="468000"/>
    <x v="37"/>
    <n v="45"/>
    <n v="74"/>
    <n v="54"/>
    <x v="1"/>
    <n v="25272000"/>
    <n v="54"/>
    <n v="0"/>
    <x v="6"/>
    <x v="0"/>
  </r>
  <r>
    <s v="SKU0126"/>
    <x v="12"/>
    <x v="1"/>
    <s v="Pcs"/>
    <n v="118"/>
    <n v="12"/>
    <n v="34"/>
    <n v="502000"/>
    <x v="70"/>
    <n v="48"/>
    <n v="292"/>
    <n v="-126"/>
    <x v="2"/>
    <n v="-63252000"/>
    <n v="0"/>
    <n v="0"/>
    <x v="0"/>
    <x v="0"/>
  </r>
  <r>
    <s v="SKU0127"/>
    <x v="12"/>
    <x v="1"/>
    <s v="Pcs"/>
    <n v="28"/>
    <n v="8"/>
    <n v="18"/>
    <n v="445000"/>
    <x v="15"/>
    <n v="236"/>
    <n v="32"/>
    <n v="232"/>
    <x v="0"/>
    <n v="103240000"/>
    <n v="235"/>
    <n v="3"/>
    <x v="3"/>
    <x v="1"/>
  </r>
  <r>
    <s v="SKU0128"/>
    <x v="12"/>
    <x v="1"/>
    <s v="Pcs"/>
    <n v="41"/>
    <n v="34"/>
    <n v="61"/>
    <n v="749000"/>
    <x v="9"/>
    <n v="50"/>
    <n v="239"/>
    <n v="-148"/>
    <x v="2"/>
    <n v="-110852000"/>
    <n v="0"/>
    <n v="0"/>
    <x v="3"/>
    <x v="0"/>
  </r>
  <r>
    <s v="SKU0129"/>
    <x v="12"/>
    <x v="1"/>
    <s v="Pcs"/>
    <n v="148"/>
    <n v="36"/>
    <n v="55"/>
    <n v="812000"/>
    <x v="15"/>
    <n v="111"/>
    <n v="59"/>
    <n v="200"/>
    <x v="0"/>
    <n v="162400000"/>
    <n v="200"/>
    <n v="0"/>
    <x v="9"/>
    <x v="0"/>
  </r>
  <r>
    <s v="SKU0130"/>
    <x v="11"/>
    <x v="1"/>
    <s v="Pcs"/>
    <n v="164"/>
    <n v="21"/>
    <n v="41"/>
    <n v="3840000"/>
    <x v="11"/>
    <n v="310"/>
    <n v="36"/>
    <n v="438"/>
    <x v="0"/>
    <n v="1681920000"/>
    <n v="438"/>
    <n v="0"/>
    <x v="9"/>
    <x v="0"/>
  </r>
  <r>
    <s v="SKU0131"/>
    <x v="17"/>
    <x v="1"/>
    <s v="Pcs"/>
    <n v="205"/>
    <n v="48"/>
    <n v="61"/>
    <n v="392000"/>
    <x v="5"/>
    <n v="42"/>
    <n v="109"/>
    <n v="138"/>
    <x v="0"/>
    <n v="54096000"/>
    <n v="138"/>
    <n v="0"/>
    <x v="7"/>
    <x v="0"/>
  </r>
  <r>
    <s v="SKU0132"/>
    <x v="10"/>
    <x v="1"/>
    <s v="Pcs"/>
    <n v="176"/>
    <n v="33"/>
    <n v="46"/>
    <n v="11002000"/>
    <x v="71"/>
    <n v="70"/>
    <n v="96"/>
    <n v="150"/>
    <x v="0"/>
    <n v="1650300000"/>
    <n v="149"/>
    <n v="-1"/>
    <x v="8"/>
    <x v="2"/>
  </r>
  <r>
    <s v="SKU0133"/>
    <x v="10"/>
    <x v="1"/>
    <s v="Pcs"/>
    <n v="130"/>
    <n v="27"/>
    <n v="45"/>
    <n v="3994000"/>
    <x v="72"/>
    <n v="103"/>
    <n v="275"/>
    <n v="-42"/>
    <x v="2"/>
    <n v="-167748000"/>
    <n v="0"/>
    <n v="0"/>
    <x v="2"/>
    <x v="0"/>
  </r>
  <r>
    <s v="SKU0134"/>
    <x v="19"/>
    <x v="1"/>
    <s v="Pcs"/>
    <n v="115"/>
    <n v="49"/>
    <n v="69"/>
    <n v="418000"/>
    <x v="7"/>
    <n v="172"/>
    <n v="163"/>
    <n v="124"/>
    <x v="0"/>
    <n v="51832000"/>
    <n v="121"/>
    <n v="-3"/>
    <x v="3"/>
    <x v="2"/>
  </r>
  <r>
    <s v="SKU0135"/>
    <x v="14"/>
    <x v="1"/>
    <s v="Pcs"/>
    <n v="126"/>
    <n v="10"/>
    <n v="31"/>
    <n v="217000"/>
    <x v="72"/>
    <n v="144"/>
    <n v="112"/>
    <n v="158"/>
    <x v="0"/>
    <n v="34286000"/>
    <n v="160"/>
    <n v="2"/>
    <x v="3"/>
    <x v="1"/>
  </r>
  <r>
    <s v="SKU0136"/>
    <x v="11"/>
    <x v="1"/>
    <s v="Pcs"/>
    <n v="221"/>
    <n v="5"/>
    <n v="55"/>
    <n v="5415000"/>
    <x v="53"/>
    <n v="56"/>
    <n v="131"/>
    <n v="146"/>
    <x v="0"/>
    <n v="790590000"/>
    <n v="145"/>
    <n v="-1"/>
    <x v="4"/>
    <x v="2"/>
  </r>
  <r>
    <s v="SKU0137"/>
    <x v="18"/>
    <x v="1"/>
    <s v="Pcs"/>
    <n v="142"/>
    <n v="28"/>
    <n v="52"/>
    <n v="446000"/>
    <x v="73"/>
    <n v="137"/>
    <n v="113"/>
    <n v="166"/>
    <x v="0"/>
    <n v="74036000"/>
    <n v="166"/>
    <n v="0"/>
    <x v="6"/>
    <x v="0"/>
  </r>
  <r>
    <s v="SKU0138"/>
    <x v="18"/>
    <x v="1"/>
    <s v="Pcs"/>
    <n v="78"/>
    <n v="40"/>
    <n v="49"/>
    <n v="454000"/>
    <x v="30"/>
    <n v="103"/>
    <n v="139"/>
    <n v="42"/>
    <x v="1"/>
    <n v="19068000"/>
    <n v="43"/>
    <n v="1"/>
    <x v="3"/>
    <x v="1"/>
  </r>
  <r>
    <s v="SKU0139"/>
    <x v="16"/>
    <x v="1"/>
    <s v="Pcs"/>
    <n v="171"/>
    <n v="43"/>
    <n v="73"/>
    <n v="579000"/>
    <x v="56"/>
    <n v="83"/>
    <n v="115"/>
    <n v="139"/>
    <x v="0"/>
    <n v="80481000"/>
    <n v="136"/>
    <n v="-3"/>
    <x v="0"/>
    <x v="2"/>
  </r>
  <r>
    <s v="SKU0140"/>
    <x v="12"/>
    <x v="1"/>
    <s v="Pcs"/>
    <n v="13"/>
    <n v="40"/>
    <n v="58"/>
    <n v="864000"/>
    <x v="68"/>
    <n v="42"/>
    <n v="98"/>
    <n v="-43"/>
    <x v="2"/>
    <n v="-37152000"/>
    <n v="0"/>
    <n v="0"/>
    <x v="9"/>
    <x v="0"/>
  </r>
  <r>
    <s v="SKU0141"/>
    <x v="10"/>
    <x v="1"/>
    <s v="Pcs"/>
    <n v="175"/>
    <n v="14"/>
    <n v="43"/>
    <n v="4424000"/>
    <x v="33"/>
    <n v="30"/>
    <n v="191"/>
    <n v="14"/>
    <x v="3"/>
    <n v="61936000"/>
    <n v="14"/>
    <n v="0"/>
    <x v="3"/>
    <x v="0"/>
  </r>
  <r>
    <s v="SKU0142"/>
    <x v="11"/>
    <x v="1"/>
    <s v="Pcs"/>
    <n v="130"/>
    <n v="20"/>
    <n v="39"/>
    <n v="5152000"/>
    <x v="12"/>
    <n v="64"/>
    <n v="71"/>
    <n v="123"/>
    <x v="0"/>
    <n v="633696000"/>
    <n v="123"/>
    <n v="0"/>
    <x v="4"/>
    <x v="0"/>
  </r>
  <r>
    <s v="SKU0143"/>
    <x v="15"/>
    <x v="1"/>
    <s v="Pcs"/>
    <n v="163"/>
    <n v="37"/>
    <n v="65"/>
    <n v="921000"/>
    <x v="43"/>
    <n v="6"/>
    <n v="311"/>
    <n v="-142"/>
    <x v="2"/>
    <n v="-130782000"/>
    <n v="0"/>
    <n v="0"/>
    <x v="8"/>
    <x v="0"/>
  </r>
  <r>
    <s v="SKU0144"/>
    <x v="11"/>
    <x v="1"/>
    <s v="Pcs"/>
    <n v="249"/>
    <n v="37"/>
    <n v="62"/>
    <n v="3984000"/>
    <x v="32"/>
    <n v="42"/>
    <n v="154"/>
    <n v="137"/>
    <x v="0"/>
    <n v="545808000"/>
    <n v="137"/>
    <n v="0"/>
    <x v="1"/>
    <x v="0"/>
  </r>
  <r>
    <s v="SKU0145"/>
    <x v="17"/>
    <x v="1"/>
    <s v="Pcs"/>
    <n v="178"/>
    <n v="36"/>
    <n v="45"/>
    <n v="1537000"/>
    <x v="74"/>
    <n v="24"/>
    <n v="91"/>
    <n v="111"/>
    <x v="0"/>
    <n v="170607000"/>
    <n v="111"/>
    <n v="0"/>
    <x v="6"/>
    <x v="0"/>
  </r>
  <r>
    <s v="SKU0146"/>
    <x v="13"/>
    <x v="1"/>
    <s v="Pcs"/>
    <n v="151"/>
    <n v="39"/>
    <n v="56"/>
    <n v="1530000"/>
    <x v="72"/>
    <n v="283"/>
    <n v="157"/>
    <n v="277"/>
    <x v="0"/>
    <n v="423810000"/>
    <n v="278"/>
    <n v="1"/>
    <x v="6"/>
    <x v="1"/>
  </r>
  <r>
    <s v="SKU0147"/>
    <x v="15"/>
    <x v="1"/>
    <s v="Pcs"/>
    <n v="108"/>
    <n v="19"/>
    <n v="48"/>
    <n v="742000"/>
    <x v="5"/>
    <n v="44"/>
    <n v="69"/>
    <n v="83"/>
    <x v="0"/>
    <n v="61586000"/>
    <n v="85"/>
    <n v="2"/>
    <x v="5"/>
    <x v="1"/>
  </r>
  <r>
    <s v="SKU0148"/>
    <x v="10"/>
    <x v="1"/>
    <s v="Pcs"/>
    <n v="108"/>
    <n v="47"/>
    <n v="77"/>
    <n v="8746000"/>
    <x v="14"/>
    <n v="106"/>
    <n v="60"/>
    <n v="154"/>
    <x v="0"/>
    <n v="1346884000"/>
    <n v="156"/>
    <n v="2"/>
    <x v="8"/>
    <x v="1"/>
  </r>
  <r>
    <s v="SKU0149"/>
    <x v="19"/>
    <x v="1"/>
    <s v="Pcs"/>
    <n v="161"/>
    <n v="26"/>
    <n v="40"/>
    <n v="507000"/>
    <x v="75"/>
    <n v="173"/>
    <n v="9"/>
    <n v="325"/>
    <x v="0"/>
    <n v="164775000"/>
    <n v="324"/>
    <n v="-1"/>
    <x v="6"/>
    <x v="2"/>
  </r>
  <r>
    <s v="SKU0150"/>
    <x v="10"/>
    <x v="1"/>
    <s v="Pcs"/>
    <n v="194"/>
    <n v="14"/>
    <n v="48"/>
    <n v="2751000"/>
    <x v="37"/>
    <n v="114"/>
    <n v="109"/>
    <n v="199"/>
    <x v="0"/>
    <n v="547449000"/>
    <n v="196"/>
    <n v="-3"/>
    <x v="8"/>
    <x v="2"/>
  </r>
  <r>
    <s v="SKU0151"/>
    <x v="12"/>
    <x v="1"/>
    <s v="Pcs"/>
    <n v="169"/>
    <n v="49"/>
    <n v="66"/>
    <n v="646000"/>
    <x v="50"/>
    <n v="100"/>
    <n v="95"/>
    <n v="174"/>
    <x v="0"/>
    <n v="112404000"/>
    <n v="174"/>
    <n v="0"/>
    <x v="9"/>
    <x v="0"/>
  </r>
  <r>
    <s v="SKU0152"/>
    <x v="11"/>
    <x v="1"/>
    <s v="Pcs"/>
    <n v="170"/>
    <n v="50"/>
    <n v="79"/>
    <n v="3794000"/>
    <x v="20"/>
    <n v="89"/>
    <n v="10"/>
    <n v="249"/>
    <x v="0"/>
    <n v="944706000"/>
    <n v="247"/>
    <n v="-2"/>
    <x v="6"/>
    <x v="2"/>
  </r>
  <r>
    <s v="SKU0153"/>
    <x v="17"/>
    <x v="1"/>
    <s v="Pcs"/>
    <n v="70"/>
    <n v="45"/>
    <n v="71"/>
    <n v="490000"/>
    <x v="11"/>
    <n v="70"/>
    <n v="75"/>
    <n v="65"/>
    <x v="1"/>
    <n v="31850000"/>
    <n v="67"/>
    <n v="2"/>
    <x v="3"/>
    <x v="1"/>
  </r>
  <r>
    <s v="SKU0154"/>
    <x v="11"/>
    <x v="1"/>
    <s v="Pcs"/>
    <n v="204"/>
    <n v="45"/>
    <n v="72"/>
    <n v="2006000"/>
    <x v="30"/>
    <n v="251"/>
    <n v="91"/>
    <n v="364"/>
    <x v="0"/>
    <n v="730184000"/>
    <n v="362"/>
    <n v="-2"/>
    <x v="9"/>
    <x v="2"/>
  </r>
  <r>
    <s v="SKU0155"/>
    <x v="12"/>
    <x v="1"/>
    <s v="Pcs"/>
    <n v="21"/>
    <n v="25"/>
    <n v="55"/>
    <n v="329000"/>
    <x v="6"/>
    <n v="200"/>
    <n v="28"/>
    <n v="193"/>
    <x v="0"/>
    <n v="63497000"/>
    <n v="190"/>
    <n v="-3"/>
    <x v="1"/>
    <x v="2"/>
  </r>
  <r>
    <s v="SKU0156"/>
    <x v="13"/>
    <x v="1"/>
    <s v="Pcs"/>
    <n v="47"/>
    <n v="20"/>
    <n v="41"/>
    <n v="1732000"/>
    <x v="76"/>
    <n v="105"/>
    <n v="101"/>
    <n v="51"/>
    <x v="0"/>
    <n v="88332000"/>
    <n v="53"/>
    <n v="2"/>
    <x v="5"/>
    <x v="1"/>
  </r>
  <r>
    <s v="SKU0157"/>
    <x v="19"/>
    <x v="1"/>
    <s v="Pcs"/>
    <n v="30"/>
    <n v="44"/>
    <n v="61"/>
    <n v="339000"/>
    <x v="77"/>
    <n v="162"/>
    <n v="250"/>
    <n v="-58"/>
    <x v="2"/>
    <n v="-19662000"/>
    <n v="0"/>
    <n v="0"/>
    <x v="7"/>
    <x v="0"/>
  </r>
  <r>
    <s v="SKU0158"/>
    <x v="10"/>
    <x v="1"/>
    <s v="Pcs"/>
    <n v="46"/>
    <n v="19"/>
    <n v="38"/>
    <n v="12054000"/>
    <x v="36"/>
    <n v="9"/>
    <n v="228"/>
    <n v="-173"/>
    <x v="2"/>
    <n v="-2085342000"/>
    <n v="0"/>
    <n v="0"/>
    <x v="3"/>
    <x v="0"/>
  </r>
  <r>
    <s v="SKU0159"/>
    <x v="18"/>
    <x v="1"/>
    <s v="Pcs"/>
    <n v="240"/>
    <n v="23"/>
    <n v="60"/>
    <n v="588000"/>
    <x v="78"/>
    <n v="125"/>
    <n v="35"/>
    <n v="330"/>
    <x v="0"/>
    <n v="194040000"/>
    <n v="333"/>
    <n v="3"/>
    <x v="4"/>
    <x v="1"/>
  </r>
  <r>
    <s v="SKU0160"/>
    <x v="10"/>
    <x v="1"/>
    <s v="Pcs"/>
    <n v="160"/>
    <n v="24"/>
    <n v="49"/>
    <n v="8161000"/>
    <x v="79"/>
    <n v="79"/>
    <n v="126"/>
    <n v="113"/>
    <x v="0"/>
    <n v="922193000"/>
    <n v="115"/>
    <n v="2"/>
    <x v="5"/>
    <x v="1"/>
  </r>
  <r>
    <s v="SKU0161"/>
    <x v="10"/>
    <x v="1"/>
    <s v="Pcs"/>
    <n v="60"/>
    <n v="29"/>
    <n v="49"/>
    <n v="7449000"/>
    <x v="40"/>
    <n v="29"/>
    <n v="48"/>
    <n v="41"/>
    <x v="1"/>
    <n v="305409000"/>
    <n v="39"/>
    <n v="-2"/>
    <x v="9"/>
    <x v="2"/>
  </r>
  <r>
    <s v="SKU0162"/>
    <x v="17"/>
    <x v="1"/>
    <s v="Pcs"/>
    <n v="157"/>
    <n v="23"/>
    <n v="50"/>
    <n v="1085000"/>
    <x v="80"/>
    <n v="140"/>
    <n v="191"/>
    <n v="106"/>
    <x v="0"/>
    <n v="115010000"/>
    <n v="106"/>
    <n v="0"/>
    <x v="3"/>
    <x v="0"/>
  </r>
  <r>
    <s v="SKU0163"/>
    <x v="12"/>
    <x v="1"/>
    <s v="Pcs"/>
    <n v="154"/>
    <n v="48"/>
    <n v="77"/>
    <n v="308000"/>
    <x v="48"/>
    <n v="110"/>
    <n v="59"/>
    <n v="205"/>
    <x v="0"/>
    <n v="63140000"/>
    <n v="206"/>
    <n v="1"/>
    <x v="1"/>
    <x v="1"/>
  </r>
  <r>
    <s v="SKU0164"/>
    <x v="12"/>
    <x v="1"/>
    <s v="Pcs"/>
    <n v="165"/>
    <n v="27"/>
    <n v="41"/>
    <n v="535000"/>
    <x v="46"/>
    <n v="171"/>
    <n v="123"/>
    <n v="213"/>
    <x v="0"/>
    <n v="113955000"/>
    <n v="213"/>
    <n v="0"/>
    <x v="0"/>
    <x v="0"/>
  </r>
  <r>
    <s v="SKU0165"/>
    <x v="19"/>
    <x v="1"/>
    <s v="Pcs"/>
    <n v="241"/>
    <n v="45"/>
    <n v="70"/>
    <n v="299000"/>
    <x v="61"/>
    <n v="43"/>
    <n v="95"/>
    <n v="189"/>
    <x v="0"/>
    <n v="56511000"/>
    <n v="191"/>
    <n v="2"/>
    <x v="1"/>
    <x v="1"/>
  </r>
  <r>
    <s v="SKU0166"/>
    <x v="18"/>
    <x v="1"/>
    <s v="Pcs"/>
    <n v="103"/>
    <n v="13"/>
    <n v="25"/>
    <n v="646000"/>
    <x v="72"/>
    <n v="204"/>
    <n v="168"/>
    <n v="139"/>
    <x v="0"/>
    <n v="89794000"/>
    <n v="142"/>
    <n v="3"/>
    <x v="3"/>
    <x v="1"/>
  </r>
  <r>
    <s v="SKU0167"/>
    <x v="19"/>
    <x v="1"/>
    <s v="Pcs"/>
    <n v="43"/>
    <n v="39"/>
    <n v="55"/>
    <n v="352000"/>
    <x v="39"/>
    <n v="63"/>
    <n v="227"/>
    <n v="-121"/>
    <x v="2"/>
    <n v="-42592000"/>
    <n v="0"/>
    <n v="0"/>
    <x v="4"/>
    <x v="0"/>
  </r>
  <r>
    <s v="SKU0168"/>
    <x v="19"/>
    <x v="1"/>
    <s v="Pcs"/>
    <n v="243"/>
    <n v="35"/>
    <n v="65"/>
    <n v="381000"/>
    <x v="13"/>
    <n v="97"/>
    <n v="197"/>
    <n v="143"/>
    <x v="0"/>
    <n v="54483000"/>
    <n v="145"/>
    <n v="2"/>
    <x v="3"/>
    <x v="1"/>
  </r>
  <r>
    <s v="SKU0169"/>
    <x v="16"/>
    <x v="1"/>
    <s v="Pcs"/>
    <n v="29"/>
    <n v="14"/>
    <n v="43"/>
    <n v="1029000"/>
    <x v="81"/>
    <n v="175"/>
    <n v="96"/>
    <n v="108"/>
    <x v="0"/>
    <n v="111132000"/>
    <n v="105"/>
    <n v="-3"/>
    <x v="0"/>
    <x v="2"/>
  </r>
  <r>
    <s v="SKU0170"/>
    <x v="14"/>
    <x v="1"/>
    <s v="Pcs"/>
    <n v="33"/>
    <n v="30"/>
    <n v="35"/>
    <n v="554000"/>
    <x v="74"/>
    <n v="20"/>
    <n v="181"/>
    <n v="-128"/>
    <x v="2"/>
    <n v="-70912000"/>
    <n v="0"/>
    <n v="0"/>
    <x v="3"/>
    <x v="0"/>
  </r>
  <r>
    <s v="SKU0171"/>
    <x v="10"/>
    <x v="1"/>
    <s v="Pcs"/>
    <n v="182"/>
    <n v="48"/>
    <n v="61"/>
    <n v="8538000"/>
    <x v="10"/>
    <n v="243"/>
    <n v="189"/>
    <n v="236"/>
    <x v="0"/>
    <n v="2014968000"/>
    <n v="234"/>
    <n v="-2"/>
    <x v="7"/>
    <x v="2"/>
  </r>
  <r>
    <s v="SKU0172"/>
    <x v="16"/>
    <x v="1"/>
    <s v="Pcs"/>
    <n v="130"/>
    <n v="6"/>
    <n v="32"/>
    <n v="789000"/>
    <x v="72"/>
    <n v="219"/>
    <n v="119"/>
    <n v="230"/>
    <x v="0"/>
    <n v="181470000"/>
    <n v="232"/>
    <n v="2"/>
    <x v="4"/>
    <x v="1"/>
  </r>
  <r>
    <s v="SKU0173"/>
    <x v="15"/>
    <x v="1"/>
    <s v="Pcs"/>
    <n v="26"/>
    <n v="45"/>
    <n v="64"/>
    <n v="781000"/>
    <x v="82"/>
    <n v="86"/>
    <n v="250"/>
    <n v="-138"/>
    <x v="2"/>
    <n v="-107778000"/>
    <n v="0"/>
    <n v="0"/>
    <x v="3"/>
    <x v="0"/>
  </r>
  <r>
    <s v="SKU0174"/>
    <x v="16"/>
    <x v="1"/>
    <s v="Pcs"/>
    <n v="21"/>
    <n v="7"/>
    <n v="21"/>
    <n v="693000"/>
    <x v="83"/>
    <n v="102"/>
    <n v="156"/>
    <n v="-33"/>
    <x v="2"/>
    <n v="-22869000"/>
    <n v="0"/>
    <n v="0"/>
    <x v="6"/>
    <x v="0"/>
  </r>
  <r>
    <s v="SKU0175"/>
    <x v="15"/>
    <x v="1"/>
    <s v="Pcs"/>
    <n v="147"/>
    <n v="13"/>
    <n v="36"/>
    <n v="904000"/>
    <x v="84"/>
    <n v="214"/>
    <n v="215"/>
    <n v="146"/>
    <x v="0"/>
    <n v="131984000"/>
    <n v="146"/>
    <n v="0"/>
    <x v="6"/>
    <x v="0"/>
  </r>
  <r>
    <s v="SKU0176"/>
    <x v="11"/>
    <x v="1"/>
    <s v="Pcs"/>
    <n v="200"/>
    <n v="14"/>
    <n v="50"/>
    <n v="6011000"/>
    <x v="58"/>
    <n v="201"/>
    <n v="99"/>
    <n v="302"/>
    <x v="0"/>
    <n v="1815322000"/>
    <n v="305"/>
    <n v="3"/>
    <x v="9"/>
    <x v="1"/>
  </r>
  <r>
    <s v="SKU0177"/>
    <x v="11"/>
    <x v="1"/>
    <s v="Pcs"/>
    <n v="18"/>
    <n v="49"/>
    <n v="65"/>
    <n v="3491000"/>
    <x v="30"/>
    <n v="99"/>
    <n v="72"/>
    <n v="45"/>
    <x v="3"/>
    <n v="157095000"/>
    <n v="42"/>
    <n v="-3"/>
    <x v="0"/>
    <x v="2"/>
  </r>
  <r>
    <s v="SKU0178"/>
    <x v="15"/>
    <x v="1"/>
    <s v="Pcs"/>
    <n v="102"/>
    <n v="11"/>
    <n v="37"/>
    <n v="887000"/>
    <x v="20"/>
    <n v="96"/>
    <n v="112"/>
    <n v="86"/>
    <x v="0"/>
    <n v="76282000"/>
    <n v="85"/>
    <n v="-1"/>
    <x v="2"/>
    <x v="2"/>
  </r>
  <r>
    <s v="SKU0179"/>
    <x v="18"/>
    <x v="1"/>
    <s v="Pcs"/>
    <n v="80"/>
    <n v="17"/>
    <n v="25"/>
    <n v="553000"/>
    <x v="1"/>
    <n v="350"/>
    <n v="64"/>
    <n v="366"/>
    <x v="0"/>
    <n v="202398000"/>
    <n v="368"/>
    <n v="2"/>
    <x v="6"/>
    <x v="1"/>
  </r>
  <r>
    <s v="SKU0180"/>
    <x v="17"/>
    <x v="1"/>
    <s v="Pcs"/>
    <n v="22"/>
    <n v="26"/>
    <n v="38"/>
    <n v="393000"/>
    <x v="76"/>
    <n v="134"/>
    <n v="115"/>
    <n v="41"/>
    <x v="0"/>
    <n v="16113000"/>
    <n v="41"/>
    <n v="0"/>
    <x v="8"/>
    <x v="0"/>
  </r>
  <r>
    <s v="SKU0181"/>
    <x v="16"/>
    <x v="1"/>
    <s v="Pcs"/>
    <n v="160"/>
    <n v="18"/>
    <n v="40"/>
    <n v="762000"/>
    <x v="51"/>
    <n v="198"/>
    <n v="90"/>
    <n v="268"/>
    <x v="0"/>
    <n v="204216000"/>
    <n v="266"/>
    <n v="-2"/>
    <x v="2"/>
    <x v="2"/>
  </r>
  <r>
    <s v="SKU0182"/>
    <x v="17"/>
    <x v="1"/>
    <s v="Pcs"/>
    <n v="80"/>
    <n v="14"/>
    <n v="23"/>
    <n v="355000"/>
    <x v="67"/>
    <n v="179"/>
    <n v="29"/>
    <n v="230"/>
    <x v="0"/>
    <n v="81650000"/>
    <n v="230"/>
    <n v="0"/>
    <x v="4"/>
    <x v="0"/>
  </r>
  <r>
    <s v="SKU0183"/>
    <x v="16"/>
    <x v="1"/>
    <s v="Pcs"/>
    <n v="43"/>
    <n v="5"/>
    <n v="21"/>
    <n v="576000"/>
    <x v="24"/>
    <n v="131"/>
    <n v="156"/>
    <n v="18"/>
    <x v="1"/>
    <n v="10368000"/>
    <n v="21"/>
    <n v="3"/>
    <x v="0"/>
    <x v="1"/>
  </r>
  <r>
    <s v="SKU0184"/>
    <x v="18"/>
    <x v="1"/>
    <s v="Pcs"/>
    <n v="77"/>
    <n v="8"/>
    <n v="19"/>
    <n v="439000"/>
    <x v="85"/>
    <n v="102"/>
    <n v="55"/>
    <n v="124"/>
    <x v="0"/>
    <n v="54436000"/>
    <n v="124"/>
    <n v="0"/>
    <x v="5"/>
    <x v="0"/>
  </r>
  <r>
    <s v="SKU0185"/>
    <x v="16"/>
    <x v="1"/>
    <s v="Pcs"/>
    <n v="124"/>
    <n v="28"/>
    <n v="49"/>
    <n v="1037000"/>
    <x v="4"/>
    <n v="242"/>
    <n v="21"/>
    <n v="345"/>
    <x v="0"/>
    <n v="357765000"/>
    <n v="347"/>
    <n v="2"/>
    <x v="7"/>
    <x v="1"/>
  </r>
  <r>
    <s v="SKU0186"/>
    <x v="14"/>
    <x v="1"/>
    <s v="Pcs"/>
    <n v="167"/>
    <n v="7"/>
    <n v="41"/>
    <n v="406000"/>
    <x v="86"/>
    <n v="48"/>
    <n v="235"/>
    <n v="-20"/>
    <x v="2"/>
    <n v="-8120000"/>
    <n v="0"/>
    <n v="0"/>
    <x v="4"/>
    <x v="0"/>
  </r>
  <r>
    <s v="SKU0187"/>
    <x v="18"/>
    <x v="1"/>
    <s v="Pcs"/>
    <n v="132"/>
    <n v="30"/>
    <n v="48"/>
    <n v="381000"/>
    <x v="58"/>
    <n v="144"/>
    <n v="64"/>
    <n v="212"/>
    <x v="0"/>
    <n v="80772000"/>
    <n v="213"/>
    <n v="1"/>
    <x v="9"/>
    <x v="1"/>
  </r>
  <r>
    <s v="SKU0188"/>
    <x v="16"/>
    <x v="1"/>
    <s v="Pcs"/>
    <n v="92"/>
    <n v="43"/>
    <n v="52"/>
    <n v="632000"/>
    <x v="87"/>
    <n v="38"/>
    <n v="220"/>
    <n v="-90"/>
    <x v="2"/>
    <n v="-56880000"/>
    <n v="0"/>
    <n v="0"/>
    <x v="9"/>
    <x v="0"/>
  </r>
  <r>
    <s v="SKU0189"/>
    <x v="17"/>
    <x v="1"/>
    <s v="Pcs"/>
    <n v="159"/>
    <n v="40"/>
    <n v="67"/>
    <n v="1646000"/>
    <x v="10"/>
    <n v="228"/>
    <n v="49"/>
    <n v="338"/>
    <x v="0"/>
    <n v="556348000"/>
    <n v="337"/>
    <n v="-1"/>
    <x v="2"/>
    <x v="2"/>
  </r>
  <r>
    <s v="SKU0190"/>
    <x v="14"/>
    <x v="1"/>
    <s v="Pcs"/>
    <n v="126"/>
    <n v="37"/>
    <n v="61"/>
    <n v="481000"/>
    <x v="75"/>
    <n v="213"/>
    <n v="40"/>
    <n v="299"/>
    <x v="0"/>
    <n v="143819000"/>
    <n v="298"/>
    <n v="-1"/>
    <x v="5"/>
    <x v="2"/>
  </r>
  <r>
    <s v="SKU0191"/>
    <x v="14"/>
    <x v="1"/>
    <s v="Pcs"/>
    <n v="231"/>
    <n v="18"/>
    <n v="57"/>
    <n v="918000"/>
    <x v="11"/>
    <n v="104"/>
    <n v="66"/>
    <n v="269"/>
    <x v="0"/>
    <n v="246942000"/>
    <n v="269"/>
    <n v="0"/>
    <x v="6"/>
    <x v="0"/>
  </r>
  <r>
    <s v="SKU0192"/>
    <x v="13"/>
    <x v="1"/>
    <s v="Pcs"/>
    <n v="126"/>
    <n v="30"/>
    <n v="48"/>
    <n v="2544000"/>
    <x v="55"/>
    <n v="198"/>
    <n v="54"/>
    <n v="270"/>
    <x v="0"/>
    <n v="686880000"/>
    <n v="270"/>
    <n v="0"/>
    <x v="9"/>
    <x v="0"/>
  </r>
  <r>
    <s v="SKU0193"/>
    <x v="13"/>
    <x v="1"/>
    <s v="Pcs"/>
    <n v="75"/>
    <n v="28"/>
    <n v="37"/>
    <n v="2212000"/>
    <x v="43"/>
    <n v="189"/>
    <n v="2"/>
    <n v="262"/>
    <x v="0"/>
    <n v="579544000"/>
    <n v="263"/>
    <n v="1"/>
    <x v="6"/>
    <x v="1"/>
  </r>
  <r>
    <s v="SKU0194"/>
    <x v="16"/>
    <x v="1"/>
    <s v="Pcs"/>
    <n v="120"/>
    <n v="11"/>
    <n v="39"/>
    <n v="645000"/>
    <x v="87"/>
    <n v="146"/>
    <n v="43"/>
    <n v="223"/>
    <x v="0"/>
    <n v="143835000"/>
    <n v="226"/>
    <n v="3"/>
    <x v="2"/>
    <x v="1"/>
  </r>
  <r>
    <s v="SKU0195"/>
    <x v="18"/>
    <x v="1"/>
    <s v="Pcs"/>
    <n v="153"/>
    <n v="40"/>
    <n v="55"/>
    <n v="650000"/>
    <x v="41"/>
    <n v="50"/>
    <n v="165"/>
    <n v="38"/>
    <x v="3"/>
    <n v="24700000"/>
    <n v="39"/>
    <n v="1"/>
    <x v="9"/>
    <x v="1"/>
  </r>
  <r>
    <s v="SKU0196"/>
    <x v="11"/>
    <x v="1"/>
    <s v="Pcs"/>
    <n v="83"/>
    <n v="43"/>
    <n v="57"/>
    <n v="1621000"/>
    <x v="4"/>
    <n v="159"/>
    <n v="174"/>
    <n v="68"/>
    <x v="0"/>
    <n v="110228000"/>
    <n v="67"/>
    <n v="-1"/>
    <x v="2"/>
    <x v="2"/>
  </r>
  <r>
    <s v="SKU0197"/>
    <x v="14"/>
    <x v="1"/>
    <s v="Pcs"/>
    <n v="49"/>
    <n v="47"/>
    <n v="67"/>
    <n v="397000"/>
    <x v="4"/>
    <n v="203"/>
    <n v="49"/>
    <n v="203"/>
    <x v="0"/>
    <n v="80591000"/>
    <n v="205"/>
    <n v="2"/>
    <x v="0"/>
    <x v="1"/>
  </r>
  <r>
    <s v="SKU0198"/>
    <x v="14"/>
    <x v="1"/>
    <s v="Pcs"/>
    <n v="39"/>
    <n v="22"/>
    <n v="45"/>
    <n v="556000"/>
    <x v="54"/>
    <n v="100"/>
    <n v="101"/>
    <n v="38"/>
    <x v="1"/>
    <n v="21128000"/>
    <n v="37"/>
    <n v="-1"/>
    <x v="0"/>
    <x v="2"/>
  </r>
  <r>
    <s v="SKU0199"/>
    <x v="17"/>
    <x v="1"/>
    <s v="Pcs"/>
    <n v="182"/>
    <n v="46"/>
    <n v="68"/>
    <n v="1606000"/>
    <x v="48"/>
    <n v="159"/>
    <n v="157"/>
    <n v="184"/>
    <x v="0"/>
    <n v="295504000"/>
    <n v="187"/>
    <n v="3"/>
    <x v="1"/>
    <x v="1"/>
  </r>
  <r>
    <s v="SKU0200"/>
    <x v="18"/>
    <x v="1"/>
    <s v="Pcs"/>
    <n v="79"/>
    <n v="49"/>
    <n v="78"/>
    <n v="442000"/>
    <x v="60"/>
    <n v="148"/>
    <n v="132"/>
    <n v="95"/>
    <x v="0"/>
    <n v="41990000"/>
    <n v="98"/>
    <n v="3"/>
    <x v="3"/>
    <x v="1"/>
  </r>
  <r>
    <s v="SKU0201"/>
    <x v="20"/>
    <x v="2"/>
    <s v="Ream"/>
    <n v="232"/>
    <n v="14"/>
    <n v="58"/>
    <n v="51000"/>
    <x v="43"/>
    <n v="165"/>
    <n v="70"/>
    <n v="327"/>
    <x v="0"/>
    <n v="16677000"/>
    <n v="327"/>
    <n v="0"/>
    <x v="5"/>
    <x v="0"/>
  </r>
  <r>
    <s v="SKU0202"/>
    <x v="20"/>
    <x v="2"/>
    <s v="Ream"/>
    <n v="201"/>
    <n v="38"/>
    <n v="50"/>
    <n v="45000"/>
    <x v="57"/>
    <n v="44"/>
    <n v="138"/>
    <n v="107"/>
    <x v="0"/>
    <n v="4815000"/>
    <n v="104"/>
    <n v="-3"/>
    <x v="5"/>
    <x v="2"/>
  </r>
  <r>
    <s v="SKU0203"/>
    <x v="21"/>
    <x v="2"/>
    <s v="Pcs"/>
    <n v="104"/>
    <n v="24"/>
    <n v="52"/>
    <n v="4000"/>
    <x v="51"/>
    <n v="141"/>
    <n v="40"/>
    <n v="205"/>
    <x v="0"/>
    <n v="820000"/>
    <n v="207"/>
    <n v="2"/>
    <x v="2"/>
    <x v="1"/>
  </r>
  <r>
    <s v="SKU0204"/>
    <x v="22"/>
    <x v="2"/>
    <s v="Pcs"/>
    <n v="236"/>
    <n v="8"/>
    <n v="59"/>
    <n v="266000"/>
    <x v="31"/>
    <n v="21"/>
    <n v="155"/>
    <n v="102"/>
    <x v="0"/>
    <n v="27132000"/>
    <n v="103"/>
    <n v="1"/>
    <x v="8"/>
    <x v="1"/>
  </r>
  <r>
    <s v="SKU0205"/>
    <x v="20"/>
    <x v="2"/>
    <s v="Ream"/>
    <n v="79"/>
    <n v="33"/>
    <n v="59"/>
    <n v="45000"/>
    <x v="58"/>
    <n v="185"/>
    <n v="116"/>
    <n v="148"/>
    <x v="0"/>
    <n v="6660000"/>
    <n v="149"/>
    <n v="1"/>
    <x v="5"/>
    <x v="1"/>
  </r>
  <r>
    <s v="SKU0206"/>
    <x v="23"/>
    <x v="2"/>
    <s v="Pack"/>
    <n v="79"/>
    <n v="18"/>
    <n v="47"/>
    <n v="21000"/>
    <x v="83"/>
    <n v="113"/>
    <n v="9"/>
    <n v="183"/>
    <x v="0"/>
    <n v="3843000"/>
    <n v="183"/>
    <n v="0"/>
    <x v="4"/>
    <x v="0"/>
  </r>
  <r>
    <s v="SKU0207"/>
    <x v="24"/>
    <x v="2"/>
    <s v="Box"/>
    <n v="82"/>
    <n v="48"/>
    <n v="74"/>
    <n v="27000"/>
    <x v="58"/>
    <n v="0"/>
    <n v="79"/>
    <n v="3"/>
    <x v="3"/>
    <n v="81000"/>
    <n v="2"/>
    <n v="-1"/>
    <x v="7"/>
    <x v="2"/>
  </r>
  <r>
    <s v="SKU0208"/>
    <x v="25"/>
    <x v="2"/>
    <s v="Box"/>
    <n v="66"/>
    <n v="30"/>
    <n v="54"/>
    <n v="6000"/>
    <x v="88"/>
    <n v="88"/>
    <n v="163"/>
    <n v="-9"/>
    <x v="2"/>
    <n v="-54000"/>
    <n v="0"/>
    <n v="0"/>
    <x v="1"/>
    <x v="0"/>
  </r>
  <r>
    <s v="SKU0209"/>
    <x v="25"/>
    <x v="2"/>
    <s v="Box"/>
    <n v="206"/>
    <n v="13"/>
    <n v="51"/>
    <n v="11000"/>
    <x v="6"/>
    <n v="14"/>
    <n v="180"/>
    <n v="40"/>
    <x v="1"/>
    <n v="440000"/>
    <n v="42"/>
    <n v="2"/>
    <x v="3"/>
    <x v="1"/>
  </r>
  <r>
    <s v="SKU0210"/>
    <x v="26"/>
    <x v="2"/>
    <s v="Box"/>
    <n v="137"/>
    <n v="32"/>
    <n v="42"/>
    <n v="18000"/>
    <x v="10"/>
    <n v="119"/>
    <n v="135"/>
    <n v="121"/>
    <x v="0"/>
    <n v="2178000"/>
    <n v="122"/>
    <n v="1"/>
    <x v="8"/>
    <x v="1"/>
  </r>
  <r>
    <s v="SKU0211"/>
    <x v="27"/>
    <x v="2"/>
    <s v="Pcs"/>
    <n v="153"/>
    <n v="47"/>
    <n v="77"/>
    <n v="79000"/>
    <x v="37"/>
    <n v="281"/>
    <n v="72"/>
    <n v="362"/>
    <x v="0"/>
    <n v="28598000"/>
    <n v="362"/>
    <n v="0"/>
    <x v="2"/>
    <x v="0"/>
  </r>
  <r>
    <s v="SKU0212"/>
    <x v="20"/>
    <x v="2"/>
    <s v="Ream"/>
    <n v="14"/>
    <n v="34"/>
    <n v="41"/>
    <n v="67000"/>
    <x v="89"/>
    <n v="386"/>
    <n v="84"/>
    <n v="316"/>
    <x v="0"/>
    <n v="21172000"/>
    <n v="315"/>
    <n v="-1"/>
    <x v="2"/>
    <x v="2"/>
  </r>
  <r>
    <s v="SKU0213"/>
    <x v="22"/>
    <x v="2"/>
    <s v="Pcs"/>
    <n v="191"/>
    <n v="45"/>
    <n v="63"/>
    <n v="594000"/>
    <x v="83"/>
    <n v="154"/>
    <n v="89"/>
    <n v="256"/>
    <x v="0"/>
    <n v="152064000"/>
    <n v="258"/>
    <n v="2"/>
    <x v="3"/>
    <x v="1"/>
  </r>
  <r>
    <s v="SKU0214"/>
    <x v="20"/>
    <x v="2"/>
    <s v="Ream"/>
    <n v="53"/>
    <n v="44"/>
    <n v="63"/>
    <n v="60000"/>
    <x v="1"/>
    <n v="261"/>
    <n v="78"/>
    <n v="236"/>
    <x v="0"/>
    <n v="14160000"/>
    <n v="234"/>
    <n v="-2"/>
    <x v="2"/>
    <x v="2"/>
  </r>
  <r>
    <s v="SKU0215"/>
    <x v="26"/>
    <x v="2"/>
    <s v="Box"/>
    <n v="121"/>
    <n v="42"/>
    <n v="59"/>
    <n v="25000"/>
    <x v="35"/>
    <n v="176"/>
    <n v="209"/>
    <n v="88"/>
    <x v="0"/>
    <n v="2200000"/>
    <n v="88"/>
    <n v="0"/>
    <x v="4"/>
    <x v="0"/>
  </r>
  <r>
    <s v="SKU0216"/>
    <x v="25"/>
    <x v="2"/>
    <s v="Box"/>
    <n v="66"/>
    <n v="26"/>
    <n v="55"/>
    <n v="15000"/>
    <x v="37"/>
    <n v="146"/>
    <n v="105"/>
    <n v="107"/>
    <x v="0"/>
    <n v="1605000"/>
    <n v="107"/>
    <n v="0"/>
    <x v="8"/>
    <x v="0"/>
  </r>
  <r>
    <s v="SKU0217"/>
    <x v="26"/>
    <x v="2"/>
    <s v="Box"/>
    <n v="140"/>
    <n v="17"/>
    <n v="46"/>
    <n v="34000"/>
    <x v="63"/>
    <n v="189"/>
    <n v="81"/>
    <n v="248"/>
    <x v="0"/>
    <n v="8432000"/>
    <n v="248"/>
    <n v="0"/>
    <x v="2"/>
    <x v="0"/>
  </r>
  <r>
    <s v="SKU0218"/>
    <x v="27"/>
    <x v="2"/>
    <s v="Pcs"/>
    <n v="47"/>
    <n v="21"/>
    <n v="32"/>
    <n v="28000"/>
    <x v="48"/>
    <n v="84"/>
    <n v="191"/>
    <n v="-60"/>
    <x v="2"/>
    <n v="-1680000"/>
    <n v="0"/>
    <n v="0"/>
    <x v="8"/>
    <x v="0"/>
  </r>
  <r>
    <s v="SKU0219"/>
    <x v="26"/>
    <x v="2"/>
    <s v="Box"/>
    <n v="207"/>
    <n v="45"/>
    <n v="65"/>
    <n v="23000"/>
    <x v="31"/>
    <n v="219"/>
    <n v="180"/>
    <n v="246"/>
    <x v="0"/>
    <n v="5658000"/>
    <n v="247"/>
    <n v="1"/>
    <x v="6"/>
    <x v="1"/>
  </r>
  <r>
    <s v="SKU0220"/>
    <x v="22"/>
    <x v="2"/>
    <s v="Pcs"/>
    <n v="184"/>
    <n v="41"/>
    <n v="66"/>
    <n v="639000"/>
    <x v="72"/>
    <n v="130"/>
    <n v="63"/>
    <n v="251"/>
    <x v="0"/>
    <n v="160389000"/>
    <n v="253"/>
    <n v="2"/>
    <x v="7"/>
    <x v="1"/>
  </r>
  <r>
    <s v="SKU0221"/>
    <x v="28"/>
    <x v="2"/>
    <s v="Pcs"/>
    <n v="27"/>
    <n v="35"/>
    <n v="54"/>
    <n v="22000"/>
    <x v="8"/>
    <n v="148"/>
    <n v="111"/>
    <n v="64"/>
    <x v="0"/>
    <n v="1408000"/>
    <n v="65"/>
    <n v="1"/>
    <x v="3"/>
    <x v="1"/>
  </r>
  <r>
    <s v="SKU0222"/>
    <x v="20"/>
    <x v="2"/>
    <s v="Ream"/>
    <n v="139"/>
    <n v="9"/>
    <n v="34"/>
    <n v="62000"/>
    <x v="29"/>
    <n v="115"/>
    <n v="58"/>
    <n v="196"/>
    <x v="0"/>
    <n v="12152000"/>
    <n v="195"/>
    <n v="-1"/>
    <x v="6"/>
    <x v="2"/>
  </r>
  <r>
    <s v="SKU0223"/>
    <x v="20"/>
    <x v="2"/>
    <s v="Ream"/>
    <n v="222"/>
    <n v="23"/>
    <n v="55"/>
    <n v="63000"/>
    <x v="38"/>
    <n v="111"/>
    <n v="68"/>
    <n v="265"/>
    <x v="0"/>
    <n v="16695000"/>
    <n v="265"/>
    <n v="0"/>
    <x v="9"/>
    <x v="0"/>
  </r>
  <r>
    <s v="SKU0224"/>
    <x v="29"/>
    <x v="2"/>
    <s v="Bottle"/>
    <n v="128"/>
    <n v="42"/>
    <n v="64"/>
    <n v="148000"/>
    <x v="29"/>
    <n v="93"/>
    <n v="71"/>
    <n v="150"/>
    <x v="0"/>
    <n v="22200000"/>
    <n v="149"/>
    <n v="-1"/>
    <x v="1"/>
    <x v="2"/>
  </r>
  <r>
    <s v="SKU0225"/>
    <x v="27"/>
    <x v="2"/>
    <s v="Pcs"/>
    <n v="164"/>
    <n v="35"/>
    <n v="56"/>
    <n v="56000"/>
    <x v="28"/>
    <n v="159"/>
    <n v="163"/>
    <n v="160"/>
    <x v="0"/>
    <n v="8960000"/>
    <n v="160"/>
    <n v="0"/>
    <x v="8"/>
    <x v="0"/>
  </r>
  <r>
    <s v="SKU0226"/>
    <x v="26"/>
    <x v="2"/>
    <s v="Box"/>
    <n v="240"/>
    <n v="26"/>
    <n v="60"/>
    <n v="43000"/>
    <x v="39"/>
    <n v="89"/>
    <n v="56"/>
    <n v="273"/>
    <x v="0"/>
    <n v="11739000"/>
    <n v="276"/>
    <n v="3"/>
    <x v="9"/>
    <x v="1"/>
  </r>
  <r>
    <s v="SKU0227"/>
    <x v="20"/>
    <x v="2"/>
    <s v="Ream"/>
    <n v="191"/>
    <n v="33"/>
    <n v="52"/>
    <n v="55000"/>
    <x v="23"/>
    <n v="0"/>
    <n v="106"/>
    <n v="85"/>
    <x v="0"/>
    <n v="4675000"/>
    <n v="86"/>
    <n v="1"/>
    <x v="4"/>
    <x v="1"/>
  </r>
  <r>
    <s v="SKU0228"/>
    <x v="28"/>
    <x v="2"/>
    <s v="Pcs"/>
    <n v="105"/>
    <n v="23"/>
    <n v="40"/>
    <n v="19000"/>
    <x v="51"/>
    <n v="16"/>
    <n v="74"/>
    <n v="47"/>
    <x v="0"/>
    <n v="893000"/>
    <n v="50"/>
    <n v="3"/>
    <x v="5"/>
    <x v="1"/>
  </r>
  <r>
    <s v="SKU0229"/>
    <x v="22"/>
    <x v="2"/>
    <s v="Pcs"/>
    <n v="212"/>
    <n v="45"/>
    <n v="70"/>
    <n v="233000"/>
    <x v="43"/>
    <n v="193"/>
    <n v="93"/>
    <n v="312"/>
    <x v="0"/>
    <n v="72696000"/>
    <n v="314"/>
    <n v="2"/>
    <x v="2"/>
    <x v="1"/>
  </r>
  <r>
    <s v="SKU0230"/>
    <x v="26"/>
    <x v="2"/>
    <s v="Box"/>
    <n v="183"/>
    <n v="29"/>
    <n v="45"/>
    <n v="35000"/>
    <x v="18"/>
    <n v="138"/>
    <n v="64"/>
    <n v="257"/>
    <x v="0"/>
    <n v="8995000"/>
    <n v="254"/>
    <n v="-3"/>
    <x v="3"/>
    <x v="2"/>
  </r>
  <r>
    <s v="SKU0231"/>
    <x v="28"/>
    <x v="2"/>
    <s v="Pcs"/>
    <n v="30"/>
    <n v="42"/>
    <n v="68"/>
    <n v="18000"/>
    <x v="63"/>
    <n v="135"/>
    <n v="122"/>
    <n v="43"/>
    <x v="1"/>
    <n v="774000"/>
    <n v="44"/>
    <n v="1"/>
    <x v="8"/>
    <x v="1"/>
  </r>
  <r>
    <s v="SKU0232"/>
    <x v="24"/>
    <x v="2"/>
    <s v="Box"/>
    <n v="162"/>
    <n v="50"/>
    <n v="57"/>
    <n v="28000"/>
    <x v="66"/>
    <n v="129"/>
    <n v="203"/>
    <n v="88"/>
    <x v="0"/>
    <n v="2464000"/>
    <n v="85"/>
    <n v="-3"/>
    <x v="3"/>
    <x v="2"/>
  </r>
  <r>
    <s v="SKU0233"/>
    <x v="21"/>
    <x v="2"/>
    <s v="Pcs"/>
    <n v="42"/>
    <n v="47"/>
    <n v="74"/>
    <n v="15000"/>
    <x v="1"/>
    <n v="300"/>
    <n v="152"/>
    <n v="190"/>
    <x v="0"/>
    <n v="2850000"/>
    <n v="190"/>
    <n v="0"/>
    <x v="4"/>
    <x v="0"/>
  </r>
  <r>
    <s v="SKU0234"/>
    <x v="29"/>
    <x v="2"/>
    <s v="Bottle"/>
    <n v="14"/>
    <n v="28"/>
    <n v="42"/>
    <n v="142000"/>
    <x v="65"/>
    <n v="248"/>
    <n v="55"/>
    <n v="207"/>
    <x v="0"/>
    <n v="29394000"/>
    <n v="210"/>
    <n v="3"/>
    <x v="8"/>
    <x v="1"/>
  </r>
  <r>
    <s v="SKU0235"/>
    <x v="23"/>
    <x v="2"/>
    <s v="Pack"/>
    <n v="67"/>
    <n v="13"/>
    <n v="22"/>
    <n v="14000"/>
    <x v="6"/>
    <n v="82"/>
    <n v="88"/>
    <n v="61"/>
    <x v="0"/>
    <n v="854000"/>
    <n v="64"/>
    <n v="3"/>
    <x v="9"/>
    <x v="1"/>
  </r>
  <r>
    <s v="SKU0236"/>
    <x v="29"/>
    <x v="2"/>
    <s v="Bottle"/>
    <n v="179"/>
    <n v="26"/>
    <n v="55"/>
    <n v="59000"/>
    <x v="87"/>
    <n v="84"/>
    <n v="11"/>
    <n v="252"/>
    <x v="0"/>
    <n v="14868000"/>
    <n v="253"/>
    <n v="1"/>
    <x v="7"/>
    <x v="1"/>
  </r>
  <r>
    <s v="SKU0237"/>
    <x v="24"/>
    <x v="2"/>
    <s v="Box"/>
    <n v="51"/>
    <n v="16"/>
    <n v="43"/>
    <n v="29000"/>
    <x v="90"/>
    <n v="145"/>
    <n v="189"/>
    <n v="7"/>
    <x v="3"/>
    <n v="203000"/>
    <n v="7"/>
    <n v="0"/>
    <x v="7"/>
    <x v="0"/>
  </r>
  <r>
    <s v="SKU0238"/>
    <x v="20"/>
    <x v="2"/>
    <s v="Ream"/>
    <n v="103"/>
    <n v="48"/>
    <n v="76"/>
    <n v="66000"/>
    <x v="30"/>
    <n v="170"/>
    <n v="298"/>
    <n v="-25"/>
    <x v="2"/>
    <n v="-1650000"/>
    <n v="0"/>
    <n v="0"/>
    <x v="0"/>
    <x v="0"/>
  </r>
  <r>
    <s v="SKU0239"/>
    <x v="25"/>
    <x v="2"/>
    <s v="Box"/>
    <n v="69"/>
    <n v="39"/>
    <n v="51"/>
    <n v="19000"/>
    <x v="49"/>
    <n v="108"/>
    <n v="74"/>
    <n v="103"/>
    <x v="0"/>
    <n v="1957000"/>
    <n v="100"/>
    <n v="-3"/>
    <x v="3"/>
    <x v="2"/>
  </r>
  <r>
    <s v="SKU0240"/>
    <x v="21"/>
    <x v="2"/>
    <s v="Pcs"/>
    <n v="156"/>
    <n v="33"/>
    <n v="52"/>
    <n v="12000"/>
    <x v="51"/>
    <n v="10"/>
    <n v="162"/>
    <n v="4"/>
    <x v="3"/>
    <n v="48000"/>
    <n v="4"/>
    <n v="0"/>
    <x v="3"/>
    <x v="0"/>
  </r>
  <r>
    <s v="SKU0241"/>
    <x v="29"/>
    <x v="2"/>
    <s v="Bottle"/>
    <n v="51"/>
    <n v="17"/>
    <n v="47"/>
    <n v="157000"/>
    <x v="0"/>
    <n v="185"/>
    <n v="129"/>
    <n v="107"/>
    <x v="0"/>
    <n v="16799000"/>
    <n v="107"/>
    <n v="0"/>
    <x v="7"/>
    <x v="0"/>
  </r>
  <r>
    <s v="SKU0242"/>
    <x v="20"/>
    <x v="2"/>
    <s v="Ream"/>
    <n v="233"/>
    <n v="28"/>
    <n v="58"/>
    <n v="70000"/>
    <x v="2"/>
    <n v="248"/>
    <n v="101"/>
    <n v="380"/>
    <x v="0"/>
    <n v="26600000"/>
    <n v="380"/>
    <n v="0"/>
    <x v="9"/>
    <x v="0"/>
  </r>
  <r>
    <s v="SKU0243"/>
    <x v="26"/>
    <x v="2"/>
    <s v="Box"/>
    <n v="31"/>
    <n v="15"/>
    <n v="28"/>
    <n v="27000"/>
    <x v="33"/>
    <n v="265"/>
    <n v="188"/>
    <n v="108"/>
    <x v="0"/>
    <n v="2916000"/>
    <n v="108"/>
    <n v="0"/>
    <x v="6"/>
    <x v="0"/>
  </r>
  <r>
    <s v="SKU0244"/>
    <x v="24"/>
    <x v="2"/>
    <s v="Box"/>
    <n v="243"/>
    <n v="19"/>
    <n v="60"/>
    <n v="25000"/>
    <x v="44"/>
    <n v="277"/>
    <n v="42"/>
    <n v="478"/>
    <x v="0"/>
    <n v="11950000"/>
    <n v="475"/>
    <n v="-3"/>
    <x v="2"/>
    <x v="2"/>
  </r>
  <r>
    <s v="SKU0245"/>
    <x v="20"/>
    <x v="2"/>
    <s v="Ream"/>
    <n v="138"/>
    <n v="28"/>
    <n v="40"/>
    <n v="65000"/>
    <x v="35"/>
    <n v="169"/>
    <n v="30"/>
    <n v="277"/>
    <x v="0"/>
    <n v="18005000"/>
    <n v="277"/>
    <n v="0"/>
    <x v="5"/>
    <x v="0"/>
  </r>
  <r>
    <s v="SKU0246"/>
    <x v="27"/>
    <x v="2"/>
    <s v="Pcs"/>
    <n v="91"/>
    <n v="11"/>
    <n v="38"/>
    <n v="18000"/>
    <x v="12"/>
    <n v="103"/>
    <n v="172"/>
    <n v="22"/>
    <x v="1"/>
    <n v="396000"/>
    <n v="19"/>
    <n v="-3"/>
    <x v="2"/>
    <x v="2"/>
  </r>
  <r>
    <s v="SKU0247"/>
    <x v="20"/>
    <x v="2"/>
    <s v="Ream"/>
    <n v="244"/>
    <n v="35"/>
    <n v="62"/>
    <n v="58000"/>
    <x v="3"/>
    <n v="244"/>
    <n v="78"/>
    <n v="410"/>
    <x v="0"/>
    <n v="23780000"/>
    <n v="413"/>
    <n v="3"/>
    <x v="8"/>
    <x v="1"/>
  </r>
  <r>
    <s v="SKU0248"/>
    <x v="23"/>
    <x v="2"/>
    <s v="Pack"/>
    <n v="11"/>
    <n v="10"/>
    <n v="15"/>
    <n v="27000"/>
    <x v="65"/>
    <n v="154"/>
    <n v="98"/>
    <n v="67"/>
    <x v="0"/>
    <n v="1809000"/>
    <n v="66"/>
    <n v="-1"/>
    <x v="3"/>
    <x v="2"/>
  </r>
  <r>
    <s v="SKU0249"/>
    <x v="29"/>
    <x v="2"/>
    <s v="Bottle"/>
    <n v="38"/>
    <n v="23"/>
    <n v="35"/>
    <n v="158000"/>
    <x v="91"/>
    <n v="125"/>
    <n v="54"/>
    <n v="109"/>
    <x v="0"/>
    <n v="17222000"/>
    <n v="111"/>
    <n v="2"/>
    <x v="3"/>
    <x v="1"/>
  </r>
  <r>
    <s v="SKU0250"/>
    <x v="27"/>
    <x v="2"/>
    <s v="Pcs"/>
    <n v="173"/>
    <n v="44"/>
    <n v="63"/>
    <n v="68000"/>
    <x v="83"/>
    <n v="148"/>
    <n v="91"/>
    <n v="230"/>
    <x v="0"/>
    <n v="15640000"/>
    <n v="230"/>
    <n v="0"/>
    <x v="9"/>
    <x v="0"/>
  </r>
  <r>
    <s v="SKU0251"/>
    <x v="22"/>
    <x v="2"/>
    <s v="Pcs"/>
    <n v="14"/>
    <n v="45"/>
    <n v="66"/>
    <n v="728000"/>
    <x v="40"/>
    <n v="148"/>
    <n v="74"/>
    <n v="88"/>
    <x v="0"/>
    <n v="64064000"/>
    <n v="89"/>
    <n v="1"/>
    <x v="7"/>
    <x v="1"/>
  </r>
  <r>
    <s v="SKU0252"/>
    <x v="25"/>
    <x v="2"/>
    <s v="Box"/>
    <n v="10"/>
    <n v="44"/>
    <n v="60"/>
    <n v="18000"/>
    <x v="89"/>
    <n v="325"/>
    <n v="103"/>
    <n v="232"/>
    <x v="0"/>
    <n v="4176000"/>
    <n v="230"/>
    <n v="-2"/>
    <x v="0"/>
    <x v="2"/>
  </r>
  <r>
    <s v="SKU0253"/>
    <x v="28"/>
    <x v="2"/>
    <s v="Pcs"/>
    <n v="181"/>
    <n v="10"/>
    <n v="45"/>
    <n v="29000"/>
    <x v="43"/>
    <n v="57"/>
    <n v="186"/>
    <n v="52"/>
    <x v="0"/>
    <n v="1508000"/>
    <n v="52"/>
    <n v="0"/>
    <x v="2"/>
    <x v="0"/>
  </r>
  <r>
    <s v="SKU0254"/>
    <x v="29"/>
    <x v="2"/>
    <s v="Bottle"/>
    <n v="211"/>
    <n v="37"/>
    <n v="59"/>
    <n v="179000"/>
    <x v="45"/>
    <n v="211"/>
    <n v="188"/>
    <n v="234"/>
    <x v="0"/>
    <n v="41886000"/>
    <n v="236"/>
    <n v="2"/>
    <x v="1"/>
    <x v="1"/>
  </r>
  <r>
    <s v="SKU0255"/>
    <x v="20"/>
    <x v="2"/>
    <s v="Ream"/>
    <n v="105"/>
    <n v="21"/>
    <n v="49"/>
    <n v="64000"/>
    <x v="27"/>
    <n v="126"/>
    <n v="204"/>
    <n v="27"/>
    <x v="1"/>
    <n v="1728000"/>
    <n v="28"/>
    <n v="1"/>
    <x v="1"/>
    <x v="1"/>
  </r>
  <r>
    <s v="SKU0256"/>
    <x v="21"/>
    <x v="2"/>
    <s v="Pcs"/>
    <n v="197"/>
    <n v="47"/>
    <n v="72"/>
    <n v="5000"/>
    <x v="17"/>
    <n v="228"/>
    <n v="146"/>
    <n v="279"/>
    <x v="0"/>
    <n v="1395000"/>
    <n v="279"/>
    <n v="0"/>
    <x v="9"/>
    <x v="0"/>
  </r>
  <r>
    <s v="SKU0257"/>
    <x v="21"/>
    <x v="2"/>
    <s v="Pcs"/>
    <n v="21"/>
    <n v="27"/>
    <n v="49"/>
    <n v="4000"/>
    <x v="70"/>
    <n v="143"/>
    <n v="136"/>
    <n v="28"/>
    <x v="1"/>
    <n v="112000"/>
    <n v="25"/>
    <n v="-3"/>
    <x v="2"/>
    <x v="2"/>
  </r>
  <r>
    <s v="SKU0258"/>
    <x v="23"/>
    <x v="2"/>
    <s v="Pack"/>
    <n v="132"/>
    <n v="45"/>
    <n v="55"/>
    <n v="30000"/>
    <x v="43"/>
    <n v="163"/>
    <n v="25"/>
    <n v="270"/>
    <x v="0"/>
    <n v="8100000"/>
    <n v="270"/>
    <n v="0"/>
    <x v="8"/>
    <x v="0"/>
  </r>
  <r>
    <s v="SKU0259"/>
    <x v="20"/>
    <x v="2"/>
    <s v="Ream"/>
    <n v="61"/>
    <n v="7"/>
    <n v="37"/>
    <n v="58000"/>
    <x v="5"/>
    <n v="143"/>
    <n v="46"/>
    <n v="158"/>
    <x v="0"/>
    <n v="9164000"/>
    <n v="158"/>
    <n v="0"/>
    <x v="0"/>
    <x v="0"/>
  </r>
  <r>
    <s v="SKU0260"/>
    <x v="25"/>
    <x v="2"/>
    <s v="Box"/>
    <n v="218"/>
    <n v="39"/>
    <n v="59"/>
    <n v="17000"/>
    <x v="42"/>
    <n v="158"/>
    <n v="69"/>
    <n v="307"/>
    <x v="0"/>
    <n v="5219000"/>
    <n v="307"/>
    <n v="0"/>
    <x v="3"/>
    <x v="0"/>
  </r>
  <r>
    <s v="SKU0261"/>
    <x v="25"/>
    <x v="2"/>
    <s v="Box"/>
    <n v="230"/>
    <n v="8"/>
    <n v="57"/>
    <n v="16000"/>
    <x v="92"/>
    <n v="148"/>
    <n v="156"/>
    <n v="222"/>
    <x v="0"/>
    <n v="3552000"/>
    <n v="223"/>
    <n v="1"/>
    <x v="2"/>
    <x v="1"/>
  </r>
  <r>
    <s v="SKU0262"/>
    <x v="21"/>
    <x v="2"/>
    <s v="Pcs"/>
    <n v="237"/>
    <n v="30"/>
    <n v="59"/>
    <n v="8000"/>
    <x v="45"/>
    <n v="16"/>
    <n v="171"/>
    <n v="82"/>
    <x v="0"/>
    <n v="656000"/>
    <n v="84"/>
    <n v="2"/>
    <x v="6"/>
    <x v="1"/>
  </r>
  <r>
    <s v="SKU0263"/>
    <x v="28"/>
    <x v="2"/>
    <s v="Pcs"/>
    <n v="187"/>
    <n v="36"/>
    <n v="52"/>
    <n v="23000"/>
    <x v="92"/>
    <n v="42"/>
    <n v="34"/>
    <n v="195"/>
    <x v="0"/>
    <n v="4485000"/>
    <n v="192"/>
    <n v="-3"/>
    <x v="4"/>
    <x v="2"/>
  </r>
  <r>
    <s v="SKU0264"/>
    <x v="24"/>
    <x v="2"/>
    <s v="Box"/>
    <n v="120"/>
    <n v="43"/>
    <n v="53"/>
    <n v="25000"/>
    <x v="6"/>
    <n v="206"/>
    <n v="126"/>
    <n v="200"/>
    <x v="0"/>
    <n v="5000000"/>
    <n v="202"/>
    <n v="2"/>
    <x v="4"/>
    <x v="1"/>
  </r>
  <r>
    <s v="SKU0265"/>
    <x v="26"/>
    <x v="2"/>
    <s v="Box"/>
    <n v="93"/>
    <n v="47"/>
    <n v="61"/>
    <n v="20000"/>
    <x v="29"/>
    <n v="66"/>
    <n v="84"/>
    <n v="75"/>
    <x v="0"/>
    <n v="1500000"/>
    <n v="78"/>
    <n v="3"/>
    <x v="3"/>
    <x v="1"/>
  </r>
  <r>
    <s v="SKU0266"/>
    <x v="24"/>
    <x v="2"/>
    <s v="Box"/>
    <n v="186"/>
    <n v="33"/>
    <n v="49"/>
    <n v="30000"/>
    <x v="5"/>
    <n v="68"/>
    <n v="88"/>
    <n v="166"/>
    <x v="0"/>
    <n v="4980000"/>
    <n v="168"/>
    <n v="2"/>
    <x v="6"/>
    <x v="1"/>
  </r>
  <r>
    <s v="SKU0267"/>
    <x v="22"/>
    <x v="2"/>
    <s v="Pcs"/>
    <n v="80"/>
    <n v="45"/>
    <n v="75"/>
    <n v="625000"/>
    <x v="37"/>
    <n v="227"/>
    <n v="39"/>
    <n v="268"/>
    <x v="0"/>
    <n v="167500000"/>
    <n v="270"/>
    <n v="2"/>
    <x v="1"/>
    <x v="1"/>
  </r>
  <r>
    <s v="SKU0268"/>
    <x v="21"/>
    <x v="2"/>
    <s v="Pcs"/>
    <n v="215"/>
    <n v="48"/>
    <n v="58"/>
    <n v="10000"/>
    <x v="12"/>
    <n v="194"/>
    <n v="144"/>
    <n v="265"/>
    <x v="0"/>
    <n v="2650000"/>
    <n v="265"/>
    <n v="0"/>
    <x v="1"/>
    <x v="0"/>
  </r>
  <r>
    <s v="SKU0269"/>
    <x v="23"/>
    <x v="2"/>
    <s v="Pack"/>
    <n v="42"/>
    <n v="9"/>
    <n v="21"/>
    <n v="9000"/>
    <x v="21"/>
    <n v="125"/>
    <n v="68"/>
    <n v="99"/>
    <x v="0"/>
    <n v="891000"/>
    <n v="99"/>
    <n v="0"/>
    <x v="2"/>
    <x v="0"/>
  </r>
  <r>
    <s v="SKU0270"/>
    <x v="22"/>
    <x v="2"/>
    <s v="Pcs"/>
    <n v="164"/>
    <n v="14"/>
    <n v="41"/>
    <n v="213000"/>
    <x v="84"/>
    <n v="57"/>
    <n v="71"/>
    <n v="150"/>
    <x v="0"/>
    <n v="31950000"/>
    <n v="150"/>
    <n v="0"/>
    <x v="6"/>
    <x v="0"/>
  </r>
  <r>
    <s v="SKU0271"/>
    <x v="23"/>
    <x v="2"/>
    <s v="Pack"/>
    <n v="156"/>
    <n v="13"/>
    <n v="39"/>
    <n v="10000"/>
    <x v="62"/>
    <n v="37"/>
    <n v="87"/>
    <n v="106"/>
    <x v="0"/>
    <n v="1060000"/>
    <n v="105"/>
    <n v="-1"/>
    <x v="2"/>
    <x v="2"/>
  </r>
  <r>
    <s v="SKU0272"/>
    <x v="25"/>
    <x v="2"/>
    <s v="Box"/>
    <n v="39"/>
    <n v="6"/>
    <n v="34"/>
    <n v="12000"/>
    <x v="14"/>
    <n v="77"/>
    <n v="77"/>
    <n v="39"/>
    <x v="0"/>
    <n v="468000"/>
    <n v="40"/>
    <n v="1"/>
    <x v="8"/>
    <x v="1"/>
  </r>
  <r>
    <s v="SKU0273"/>
    <x v="24"/>
    <x v="2"/>
    <s v="Box"/>
    <n v="40"/>
    <n v="21"/>
    <n v="50"/>
    <n v="55000"/>
    <x v="56"/>
    <n v="55"/>
    <n v="80"/>
    <n v="15"/>
    <x v="3"/>
    <n v="825000"/>
    <n v="13"/>
    <n v="-2"/>
    <x v="3"/>
    <x v="2"/>
  </r>
  <r>
    <s v="SKU0274"/>
    <x v="27"/>
    <x v="2"/>
    <s v="Pcs"/>
    <n v="187"/>
    <n v="36"/>
    <n v="47"/>
    <n v="51000"/>
    <x v="0"/>
    <n v="121"/>
    <n v="149"/>
    <n v="159"/>
    <x v="0"/>
    <n v="8109000"/>
    <n v="156"/>
    <n v="-3"/>
    <x v="9"/>
    <x v="2"/>
  </r>
  <r>
    <s v="SKU0275"/>
    <x v="23"/>
    <x v="2"/>
    <s v="Pack"/>
    <n v="240"/>
    <n v="50"/>
    <n v="69"/>
    <n v="13000"/>
    <x v="77"/>
    <n v="49"/>
    <n v="170"/>
    <n v="119"/>
    <x v="0"/>
    <n v="1547000"/>
    <n v="119"/>
    <n v="0"/>
    <x v="9"/>
    <x v="0"/>
  </r>
  <r>
    <s v="SKU0276"/>
    <x v="21"/>
    <x v="2"/>
    <s v="Pcs"/>
    <n v="26"/>
    <n v="40"/>
    <n v="62"/>
    <n v="13000"/>
    <x v="86"/>
    <n v="10"/>
    <n v="92"/>
    <n v="-56"/>
    <x v="2"/>
    <n v="-728000"/>
    <n v="0"/>
    <n v="0"/>
    <x v="3"/>
    <x v="0"/>
  </r>
  <r>
    <s v="SKU0277"/>
    <x v="28"/>
    <x v="2"/>
    <s v="Pcs"/>
    <n v="102"/>
    <n v="37"/>
    <n v="49"/>
    <n v="33000"/>
    <x v="93"/>
    <n v="20"/>
    <n v="126"/>
    <n v="-4"/>
    <x v="2"/>
    <n v="-132000"/>
    <n v="0"/>
    <n v="0"/>
    <x v="9"/>
    <x v="0"/>
  </r>
  <r>
    <s v="SKU0278"/>
    <x v="27"/>
    <x v="2"/>
    <s v="Pcs"/>
    <n v="16"/>
    <n v="28"/>
    <n v="50"/>
    <n v="78000"/>
    <x v="84"/>
    <n v="44"/>
    <n v="157"/>
    <n v="-97"/>
    <x v="2"/>
    <n v="-7566000"/>
    <n v="0"/>
    <n v="0"/>
    <x v="7"/>
    <x v="0"/>
  </r>
  <r>
    <s v="SKU0279"/>
    <x v="29"/>
    <x v="2"/>
    <s v="Bottle"/>
    <n v="166"/>
    <n v="10"/>
    <n v="41"/>
    <n v="83000"/>
    <x v="62"/>
    <n v="107"/>
    <n v="183"/>
    <n v="90"/>
    <x v="0"/>
    <n v="7470000"/>
    <n v="89"/>
    <n v="-1"/>
    <x v="3"/>
    <x v="2"/>
  </r>
  <r>
    <s v="SKU0280"/>
    <x v="29"/>
    <x v="2"/>
    <s v="Bottle"/>
    <n v="206"/>
    <n v="31"/>
    <n v="54"/>
    <n v="155000"/>
    <x v="87"/>
    <n v="34"/>
    <n v="159"/>
    <n v="81"/>
    <x v="0"/>
    <n v="12555000"/>
    <n v="83"/>
    <n v="2"/>
    <x v="9"/>
    <x v="1"/>
  </r>
  <r>
    <s v="SKU0281"/>
    <x v="26"/>
    <x v="2"/>
    <s v="Box"/>
    <n v="129"/>
    <n v="48"/>
    <n v="69"/>
    <n v="32000"/>
    <x v="87"/>
    <n v="114"/>
    <n v="112"/>
    <n v="131"/>
    <x v="0"/>
    <n v="4192000"/>
    <n v="131"/>
    <n v="0"/>
    <x v="2"/>
    <x v="0"/>
  </r>
  <r>
    <s v="SKU0282"/>
    <x v="22"/>
    <x v="2"/>
    <s v="Pcs"/>
    <n v="206"/>
    <n v="13"/>
    <n v="51"/>
    <n v="366000"/>
    <x v="28"/>
    <n v="0"/>
    <n v="26"/>
    <n v="180"/>
    <x v="0"/>
    <n v="65880000"/>
    <n v="181"/>
    <n v="1"/>
    <x v="4"/>
    <x v="1"/>
  </r>
  <r>
    <s v="SKU0283"/>
    <x v="29"/>
    <x v="2"/>
    <s v="Bottle"/>
    <n v="87"/>
    <n v="15"/>
    <n v="25"/>
    <n v="89000"/>
    <x v="56"/>
    <n v="28"/>
    <n v="37"/>
    <n v="78"/>
    <x v="0"/>
    <n v="6942000"/>
    <n v="77"/>
    <n v="-1"/>
    <x v="2"/>
    <x v="2"/>
  </r>
  <r>
    <s v="SKU0284"/>
    <x v="21"/>
    <x v="2"/>
    <s v="Pcs"/>
    <n v="239"/>
    <n v="23"/>
    <n v="59"/>
    <n v="10000"/>
    <x v="93"/>
    <n v="111"/>
    <n v="52"/>
    <n v="298"/>
    <x v="0"/>
    <n v="2980000"/>
    <n v="300"/>
    <n v="2"/>
    <x v="3"/>
    <x v="1"/>
  </r>
  <r>
    <s v="SKU0285"/>
    <x v="25"/>
    <x v="2"/>
    <s v="Box"/>
    <n v="170"/>
    <n v="24"/>
    <n v="48"/>
    <n v="9000"/>
    <x v="1"/>
    <n v="122"/>
    <n v="127"/>
    <n v="165"/>
    <x v="0"/>
    <n v="1485000"/>
    <n v="165"/>
    <n v="0"/>
    <x v="4"/>
    <x v="0"/>
  </r>
  <r>
    <s v="SKU0286"/>
    <x v="28"/>
    <x v="2"/>
    <s v="Pcs"/>
    <n v="158"/>
    <n v="14"/>
    <n v="39"/>
    <n v="26000"/>
    <x v="18"/>
    <n v="27"/>
    <n v="139"/>
    <n v="46"/>
    <x v="0"/>
    <n v="1196000"/>
    <n v="45"/>
    <n v="-1"/>
    <x v="7"/>
    <x v="2"/>
  </r>
  <r>
    <s v="SKU0287"/>
    <x v="21"/>
    <x v="2"/>
    <s v="Pcs"/>
    <n v="246"/>
    <n v="41"/>
    <n v="61"/>
    <n v="15000"/>
    <x v="35"/>
    <n v="274"/>
    <n v="113"/>
    <n v="407"/>
    <x v="0"/>
    <n v="6105000"/>
    <n v="404"/>
    <n v="-3"/>
    <x v="1"/>
    <x v="2"/>
  </r>
  <r>
    <s v="SKU0288"/>
    <x v="22"/>
    <x v="2"/>
    <s v="Pcs"/>
    <n v="176"/>
    <n v="18"/>
    <n v="47"/>
    <n v="451000"/>
    <x v="57"/>
    <n v="199"/>
    <n v="121"/>
    <n v="254"/>
    <x v="0"/>
    <n v="114554000"/>
    <n v="253"/>
    <n v="-1"/>
    <x v="7"/>
    <x v="2"/>
  </r>
  <r>
    <s v="SKU0289"/>
    <x v="20"/>
    <x v="2"/>
    <s v="Ream"/>
    <n v="237"/>
    <n v="45"/>
    <n v="67"/>
    <n v="71000"/>
    <x v="70"/>
    <n v="151"/>
    <n v="95"/>
    <n v="293"/>
    <x v="0"/>
    <n v="20803000"/>
    <n v="292"/>
    <n v="-1"/>
    <x v="3"/>
    <x v="2"/>
  </r>
  <r>
    <s v="SKU0290"/>
    <x v="23"/>
    <x v="2"/>
    <s v="Pack"/>
    <n v="216"/>
    <n v="48"/>
    <n v="65"/>
    <n v="15000"/>
    <x v="36"/>
    <n v="77"/>
    <n v="255"/>
    <n v="38"/>
    <x v="3"/>
    <n v="570000"/>
    <n v="37"/>
    <n v="-1"/>
    <x v="3"/>
    <x v="2"/>
  </r>
  <r>
    <s v="SKU0291"/>
    <x v="20"/>
    <x v="2"/>
    <s v="Ream"/>
    <n v="122"/>
    <n v="31"/>
    <n v="51"/>
    <n v="50000"/>
    <x v="94"/>
    <n v="149"/>
    <n v="145"/>
    <n v="126"/>
    <x v="0"/>
    <n v="6300000"/>
    <n v="128"/>
    <n v="2"/>
    <x v="6"/>
    <x v="1"/>
  </r>
  <r>
    <s v="SKU0292"/>
    <x v="22"/>
    <x v="2"/>
    <s v="Pcs"/>
    <n v="90"/>
    <n v="50"/>
    <n v="65"/>
    <n v="327000"/>
    <x v="34"/>
    <n v="94"/>
    <n v="191"/>
    <n v="-7"/>
    <x v="2"/>
    <n v="-2289000"/>
    <n v="0"/>
    <n v="0"/>
    <x v="2"/>
    <x v="0"/>
  </r>
  <r>
    <s v="SKU0293"/>
    <x v="21"/>
    <x v="2"/>
    <s v="Pcs"/>
    <n v="153"/>
    <n v="11"/>
    <n v="38"/>
    <n v="10000"/>
    <x v="53"/>
    <n v="124"/>
    <n v="191"/>
    <n v="86"/>
    <x v="0"/>
    <n v="860000"/>
    <n v="84"/>
    <n v="-2"/>
    <x v="0"/>
    <x v="2"/>
  </r>
  <r>
    <s v="SKU0294"/>
    <x v="25"/>
    <x v="2"/>
    <s v="Box"/>
    <n v="73"/>
    <n v="14"/>
    <n v="22"/>
    <n v="19000"/>
    <x v="6"/>
    <n v="117"/>
    <n v="130"/>
    <n v="60"/>
    <x v="0"/>
    <n v="1140000"/>
    <n v="58"/>
    <n v="-2"/>
    <x v="1"/>
    <x v="2"/>
  </r>
  <r>
    <s v="SKU0295"/>
    <x v="22"/>
    <x v="2"/>
    <s v="Pcs"/>
    <n v="73"/>
    <n v="15"/>
    <n v="30"/>
    <n v="608000"/>
    <x v="18"/>
    <n v="27"/>
    <n v="187"/>
    <n v="-87"/>
    <x v="2"/>
    <n v="-52896000"/>
    <n v="0"/>
    <n v="0"/>
    <x v="7"/>
    <x v="0"/>
  </r>
  <r>
    <s v="SKU0296"/>
    <x v="27"/>
    <x v="2"/>
    <s v="Pcs"/>
    <n v="137"/>
    <n v="37"/>
    <n v="56"/>
    <n v="35000"/>
    <x v="61"/>
    <n v="299"/>
    <n v="0"/>
    <n v="436"/>
    <x v="0"/>
    <n v="15260000"/>
    <n v="436"/>
    <n v="0"/>
    <x v="6"/>
    <x v="0"/>
  </r>
  <r>
    <s v="SKU0297"/>
    <x v="20"/>
    <x v="2"/>
    <s v="Ream"/>
    <n v="110"/>
    <n v="37"/>
    <n v="56"/>
    <n v="45000"/>
    <x v="65"/>
    <n v="31"/>
    <n v="147"/>
    <n v="-6"/>
    <x v="2"/>
    <n v="-270000"/>
    <n v="0"/>
    <n v="0"/>
    <x v="0"/>
    <x v="0"/>
  </r>
  <r>
    <s v="SKU0298"/>
    <x v="21"/>
    <x v="2"/>
    <s v="Pcs"/>
    <n v="22"/>
    <n v="23"/>
    <n v="43"/>
    <n v="2000"/>
    <x v="82"/>
    <n v="133"/>
    <n v="98"/>
    <n v="57"/>
    <x v="0"/>
    <n v="114000"/>
    <n v="58"/>
    <n v="1"/>
    <x v="7"/>
    <x v="1"/>
  </r>
  <r>
    <s v="SKU0299"/>
    <x v="25"/>
    <x v="2"/>
    <s v="Box"/>
    <n v="226"/>
    <n v="11"/>
    <n v="56"/>
    <n v="5000"/>
    <x v="95"/>
    <n v="127"/>
    <n v="76"/>
    <n v="277"/>
    <x v="0"/>
    <n v="1385000"/>
    <n v="275"/>
    <n v="-2"/>
    <x v="8"/>
    <x v="2"/>
  </r>
  <r>
    <s v="SKU0300"/>
    <x v="24"/>
    <x v="2"/>
    <s v="Box"/>
    <n v="21"/>
    <n v="30"/>
    <n v="36"/>
    <n v="43000"/>
    <x v="66"/>
    <n v="68"/>
    <n v="59"/>
    <n v="30"/>
    <x v="3"/>
    <n v="1290000"/>
    <n v="32"/>
    <n v="2"/>
    <x v="7"/>
    <x v="1"/>
  </r>
  <r>
    <s v="SKU0301"/>
    <x v="30"/>
    <x v="3"/>
    <s v="Roll"/>
    <n v="83"/>
    <n v="9"/>
    <n v="26"/>
    <n v="45000"/>
    <x v="29"/>
    <n v="231"/>
    <n v="89"/>
    <n v="225"/>
    <x v="0"/>
    <n v="10125000"/>
    <n v="223"/>
    <n v="-2"/>
    <x v="4"/>
    <x v="2"/>
  </r>
  <r>
    <s v="SKU0302"/>
    <x v="31"/>
    <x v="3"/>
    <s v="Pack"/>
    <n v="42"/>
    <n v="11"/>
    <n v="28"/>
    <n v="30000"/>
    <x v="60"/>
    <n v="49"/>
    <n v="122"/>
    <n v="-31"/>
    <x v="2"/>
    <n v="-930000"/>
    <n v="0"/>
    <n v="0"/>
    <x v="2"/>
    <x v="0"/>
  </r>
  <r>
    <s v="SKU0303"/>
    <x v="30"/>
    <x v="3"/>
    <s v="Roll"/>
    <n v="46"/>
    <n v="17"/>
    <n v="41"/>
    <n v="58000"/>
    <x v="34"/>
    <n v="126"/>
    <n v="179"/>
    <n v="-7"/>
    <x v="2"/>
    <n v="-406000"/>
    <n v="0"/>
    <n v="0"/>
    <x v="4"/>
    <x v="0"/>
  </r>
  <r>
    <s v="SKU0304"/>
    <x v="32"/>
    <x v="3"/>
    <s v="Pcs"/>
    <n v="19"/>
    <n v="13"/>
    <n v="40"/>
    <n v="2000"/>
    <x v="49"/>
    <n v="122"/>
    <n v="131"/>
    <n v="10"/>
    <x v="3"/>
    <n v="20000"/>
    <n v="7"/>
    <n v="-3"/>
    <x v="2"/>
    <x v="2"/>
  </r>
  <r>
    <s v="SKU0305"/>
    <x v="33"/>
    <x v="3"/>
    <s v="Sheet"/>
    <n v="165"/>
    <n v="37"/>
    <n v="46"/>
    <n v="7000"/>
    <x v="38"/>
    <n v="130"/>
    <n v="72"/>
    <n v="223"/>
    <x v="0"/>
    <n v="1561000"/>
    <n v="223"/>
    <n v="0"/>
    <x v="2"/>
    <x v="0"/>
  </r>
  <r>
    <s v="SKU0306"/>
    <x v="34"/>
    <x v="3"/>
    <s v="Roll"/>
    <n v="167"/>
    <n v="24"/>
    <n v="47"/>
    <n v="20000"/>
    <x v="39"/>
    <n v="39"/>
    <n v="67"/>
    <n v="139"/>
    <x v="0"/>
    <n v="2780000"/>
    <n v="138"/>
    <n v="-1"/>
    <x v="2"/>
    <x v="2"/>
  </r>
  <r>
    <s v="SKU0307"/>
    <x v="35"/>
    <x v="3"/>
    <s v="Pcs"/>
    <n v="191"/>
    <n v="41"/>
    <n v="55"/>
    <n v="330000"/>
    <x v="80"/>
    <n v="50"/>
    <n v="124"/>
    <n v="117"/>
    <x v="0"/>
    <n v="38610000"/>
    <n v="120"/>
    <n v="3"/>
    <x v="6"/>
    <x v="1"/>
  </r>
  <r>
    <s v="SKU0308"/>
    <x v="30"/>
    <x v="3"/>
    <s v="Roll"/>
    <n v="38"/>
    <n v="31"/>
    <n v="54"/>
    <n v="53000"/>
    <x v="18"/>
    <n v="28"/>
    <n v="119"/>
    <n v="-53"/>
    <x v="2"/>
    <n v="-2809000"/>
    <n v="0"/>
    <n v="0"/>
    <x v="3"/>
    <x v="0"/>
  </r>
  <r>
    <s v="SKU0309"/>
    <x v="36"/>
    <x v="3"/>
    <s v="Roll"/>
    <n v="77"/>
    <n v="46"/>
    <n v="76"/>
    <n v="80000"/>
    <x v="89"/>
    <n v="152"/>
    <n v="93"/>
    <n v="136"/>
    <x v="0"/>
    <n v="10880000"/>
    <n v="134"/>
    <n v="-2"/>
    <x v="7"/>
    <x v="2"/>
  </r>
  <r>
    <s v="SKU0310"/>
    <x v="32"/>
    <x v="3"/>
    <s v="Pcs"/>
    <n v="132"/>
    <n v="15"/>
    <n v="36"/>
    <n v="11000"/>
    <x v="51"/>
    <n v="23"/>
    <n v="99"/>
    <n v="56"/>
    <x v="0"/>
    <n v="616000"/>
    <n v="56"/>
    <n v="0"/>
    <x v="7"/>
    <x v="0"/>
  </r>
  <r>
    <s v="SKU0311"/>
    <x v="34"/>
    <x v="3"/>
    <s v="Roll"/>
    <n v="184"/>
    <n v="20"/>
    <n v="46"/>
    <n v="34000"/>
    <x v="9"/>
    <n v="315"/>
    <n v="136"/>
    <n v="363"/>
    <x v="0"/>
    <n v="12342000"/>
    <n v="363"/>
    <n v="0"/>
    <x v="7"/>
    <x v="0"/>
  </r>
  <r>
    <s v="SKU0312"/>
    <x v="37"/>
    <x v="3"/>
    <s v="Roll"/>
    <n v="122"/>
    <n v="25"/>
    <n v="43"/>
    <n v="34000"/>
    <x v="41"/>
    <n v="31"/>
    <n v="98"/>
    <n v="55"/>
    <x v="0"/>
    <n v="1870000"/>
    <n v="58"/>
    <n v="3"/>
    <x v="8"/>
    <x v="1"/>
  </r>
  <r>
    <s v="SKU0313"/>
    <x v="38"/>
    <x v="3"/>
    <s v="Pack"/>
    <n v="208"/>
    <n v="44"/>
    <n v="64"/>
    <n v="40000"/>
    <x v="56"/>
    <n v="99"/>
    <n v="282"/>
    <n v="25"/>
    <x v="3"/>
    <n v="1000000"/>
    <n v="26"/>
    <n v="1"/>
    <x v="1"/>
    <x v="1"/>
  </r>
  <r>
    <s v="SKU0314"/>
    <x v="35"/>
    <x v="3"/>
    <s v="Pcs"/>
    <n v="153"/>
    <n v="25"/>
    <n v="51"/>
    <n v="186000"/>
    <x v="85"/>
    <n v="204"/>
    <n v="157"/>
    <n v="200"/>
    <x v="0"/>
    <n v="37200000"/>
    <n v="203"/>
    <n v="3"/>
    <x v="6"/>
    <x v="1"/>
  </r>
  <r>
    <s v="SKU0315"/>
    <x v="30"/>
    <x v="3"/>
    <s v="Roll"/>
    <n v="127"/>
    <n v="39"/>
    <n v="54"/>
    <n v="21000"/>
    <x v="27"/>
    <n v="159"/>
    <n v="139"/>
    <n v="147"/>
    <x v="0"/>
    <n v="3087000"/>
    <n v="147"/>
    <n v="0"/>
    <x v="4"/>
    <x v="0"/>
  </r>
  <r>
    <s v="SKU0316"/>
    <x v="36"/>
    <x v="3"/>
    <s v="Roll"/>
    <n v="59"/>
    <n v="20"/>
    <n v="33"/>
    <n v="81000"/>
    <x v="86"/>
    <n v="75"/>
    <n v="70"/>
    <n v="64"/>
    <x v="0"/>
    <n v="5184000"/>
    <n v="61"/>
    <n v="-3"/>
    <x v="4"/>
    <x v="2"/>
  </r>
  <r>
    <s v="SKU0317"/>
    <x v="31"/>
    <x v="3"/>
    <s v="Pack"/>
    <n v="190"/>
    <n v="18"/>
    <n v="47"/>
    <n v="51000"/>
    <x v="55"/>
    <n v="115"/>
    <n v="46"/>
    <n v="259"/>
    <x v="0"/>
    <n v="13209000"/>
    <n v="259"/>
    <n v="0"/>
    <x v="6"/>
    <x v="0"/>
  </r>
  <r>
    <s v="SKU0318"/>
    <x v="30"/>
    <x v="3"/>
    <s v="Roll"/>
    <n v="249"/>
    <n v="22"/>
    <n v="62"/>
    <n v="45000"/>
    <x v="89"/>
    <n v="34"/>
    <n v="100"/>
    <n v="183"/>
    <x v="0"/>
    <n v="8235000"/>
    <n v="182"/>
    <n v="-1"/>
    <x v="9"/>
    <x v="2"/>
  </r>
  <r>
    <s v="SKU0319"/>
    <x v="38"/>
    <x v="3"/>
    <s v="Pack"/>
    <n v="219"/>
    <n v="27"/>
    <n v="56"/>
    <n v="33000"/>
    <x v="6"/>
    <n v="37"/>
    <n v="115"/>
    <n v="141"/>
    <x v="0"/>
    <n v="4653000"/>
    <n v="139"/>
    <n v="-2"/>
    <x v="8"/>
    <x v="2"/>
  </r>
  <r>
    <s v="SKU0320"/>
    <x v="31"/>
    <x v="3"/>
    <s v="Pack"/>
    <n v="98"/>
    <n v="33"/>
    <n v="58"/>
    <n v="25000"/>
    <x v="13"/>
    <n v="101"/>
    <n v="29"/>
    <n v="170"/>
    <x v="0"/>
    <n v="4250000"/>
    <n v="171"/>
    <n v="1"/>
    <x v="3"/>
    <x v="1"/>
  </r>
  <r>
    <s v="SKU0321"/>
    <x v="37"/>
    <x v="3"/>
    <s v="Roll"/>
    <n v="221"/>
    <n v="39"/>
    <n v="55"/>
    <n v="81000"/>
    <x v="9"/>
    <n v="106"/>
    <n v="190"/>
    <n v="137"/>
    <x v="0"/>
    <n v="11097000"/>
    <n v="134"/>
    <n v="-3"/>
    <x v="4"/>
    <x v="2"/>
  </r>
  <r>
    <s v="SKU0322"/>
    <x v="34"/>
    <x v="3"/>
    <s v="Roll"/>
    <n v="167"/>
    <n v="42"/>
    <n v="54"/>
    <n v="11000"/>
    <x v="52"/>
    <n v="0"/>
    <n v="134"/>
    <n v="33"/>
    <x v="3"/>
    <n v="363000"/>
    <n v="33"/>
    <n v="0"/>
    <x v="0"/>
    <x v="0"/>
  </r>
  <r>
    <s v="SKU0323"/>
    <x v="37"/>
    <x v="3"/>
    <s v="Roll"/>
    <n v="23"/>
    <n v="11"/>
    <n v="29"/>
    <n v="89000"/>
    <x v="2"/>
    <n v="123"/>
    <n v="132"/>
    <n v="14"/>
    <x v="1"/>
    <n v="1246000"/>
    <n v="13"/>
    <n v="-1"/>
    <x v="2"/>
    <x v="2"/>
  </r>
  <r>
    <s v="SKU0324"/>
    <x v="39"/>
    <x v="3"/>
    <s v="Roll"/>
    <n v="207"/>
    <n v="13"/>
    <n v="51"/>
    <n v="112000"/>
    <x v="78"/>
    <n v="183"/>
    <n v="160"/>
    <n v="230"/>
    <x v="0"/>
    <n v="25760000"/>
    <n v="229"/>
    <n v="-1"/>
    <x v="4"/>
    <x v="2"/>
  </r>
  <r>
    <s v="SKU0325"/>
    <x v="33"/>
    <x v="3"/>
    <s v="Sheet"/>
    <n v="176"/>
    <n v="17"/>
    <n v="46"/>
    <n v="18000"/>
    <x v="72"/>
    <n v="105"/>
    <n v="193"/>
    <n v="88"/>
    <x v="0"/>
    <n v="1584000"/>
    <n v="85"/>
    <n v="-3"/>
    <x v="3"/>
    <x v="2"/>
  </r>
  <r>
    <s v="SKU0326"/>
    <x v="32"/>
    <x v="3"/>
    <s v="Pcs"/>
    <n v="32"/>
    <n v="46"/>
    <n v="69"/>
    <n v="14000"/>
    <x v="74"/>
    <n v="120"/>
    <n v="166"/>
    <n v="-14"/>
    <x v="2"/>
    <n v="-196000"/>
    <n v="0"/>
    <n v="0"/>
    <x v="0"/>
    <x v="0"/>
  </r>
  <r>
    <s v="SKU0327"/>
    <x v="34"/>
    <x v="3"/>
    <s v="Roll"/>
    <n v="235"/>
    <n v="16"/>
    <n v="58"/>
    <n v="21000"/>
    <x v="14"/>
    <n v="59"/>
    <n v="260"/>
    <n v="34"/>
    <x v="1"/>
    <n v="714000"/>
    <n v="35"/>
    <n v="1"/>
    <x v="5"/>
    <x v="1"/>
  </r>
  <r>
    <s v="SKU0328"/>
    <x v="31"/>
    <x v="3"/>
    <s v="Pack"/>
    <n v="12"/>
    <n v="24"/>
    <n v="47"/>
    <n v="19000"/>
    <x v="4"/>
    <n v="66"/>
    <n v="67"/>
    <n v="11"/>
    <x v="3"/>
    <n v="209000"/>
    <n v="14"/>
    <n v="3"/>
    <x v="7"/>
    <x v="1"/>
  </r>
  <r>
    <s v="SKU0329"/>
    <x v="31"/>
    <x v="3"/>
    <s v="Pack"/>
    <n v="174"/>
    <n v="39"/>
    <n v="60"/>
    <n v="73000"/>
    <x v="0"/>
    <n v="68"/>
    <n v="129"/>
    <n v="113"/>
    <x v="0"/>
    <n v="8249000"/>
    <n v="110"/>
    <n v="-3"/>
    <x v="6"/>
    <x v="2"/>
  </r>
  <r>
    <s v="SKU0330"/>
    <x v="33"/>
    <x v="3"/>
    <s v="Sheet"/>
    <n v="59"/>
    <n v="12"/>
    <n v="27"/>
    <n v="11000"/>
    <x v="22"/>
    <n v="190"/>
    <n v="70"/>
    <n v="179"/>
    <x v="0"/>
    <n v="1969000"/>
    <n v="177"/>
    <n v="-2"/>
    <x v="8"/>
    <x v="2"/>
  </r>
  <r>
    <s v="SKU0331"/>
    <x v="31"/>
    <x v="3"/>
    <s v="Pack"/>
    <n v="13"/>
    <n v="26"/>
    <n v="56"/>
    <n v="38000"/>
    <x v="76"/>
    <n v="306"/>
    <n v="130"/>
    <n v="189"/>
    <x v="0"/>
    <n v="7182000"/>
    <n v="189"/>
    <n v="0"/>
    <x v="3"/>
    <x v="0"/>
  </r>
  <r>
    <s v="SKU0332"/>
    <x v="34"/>
    <x v="3"/>
    <s v="Roll"/>
    <n v="229"/>
    <n v="45"/>
    <n v="62"/>
    <n v="27000"/>
    <x v="33"/>
    <n v="73"/>
    <n v="94"/>
    <n v="208"/>
    <x v="0"/>
    <n v="5616000"/>
    <n v="207"/>
    <n v="-1"/>
    <x v="5"/>
    <x v="2"/>
  </r>
  <r>
    <s v="SKU0333"/>
    <x v="39"/>
    <x v="3"/>
    <s v="Roll"/>
    <n v="181"/>
    <n v="11"/>
    <n v="45"/>
    <n v="76000"/>
    <x v="96"/>
    <n v="114"/>
    <n v="142"/>
    <n v="153"/>
    <x v="0"/>
    <n v="11628000"/>
    <n v="154"/>
    <n v="1"/>
    <x v="8"/>
    <x v="1"/>
  </r>
  <r>
    <s v="SKU0334"/>
    <x v="37"/>
    <x v="3"/>
    <s v="Roll"/>
    <n v="76"/>
    <n v="29"/>
    <n v="41"/>
    <n v="31000"/>
    <x v="31"/>
    <n v="154"/>
    <n v="115"/>
    <n v="115"/>
    <x v="0"/>
    <n v="3565000"/>
    <n v="115"/>
    <n v="0"/>
    <x v="6"/>
    <x v="0"/>
  </r>
  <r>
    <s v="SKU0335"/>
    <x v="30"/>
    <x v="3"/>
    <s v="Roll"/>
    <n v="159"/>
    <n v="41"/>
    <n v="46"/>
    <n v="29000"/>
    <x v="82"/>
    <n v="27"/>
    <n v="135"/>
    <n v="51"/>
    <x v="0"/>
    <n v="1479000"/>
    <n v="53"/>
    <n v="2"/>
    <x v="3"/>
    <x v="1"/>
  </r>
  <r>
    <s v="SKU0336"/>
    <x v="37"/>
    <x v="3"/>
    <s v="Roll"/>
    <n v="180"/>
    <n v="12"/>
    <n v="45"/>
    <n v="45000"/>
    <x v="78"/>
    <n v="244"/>
    <n v="49"/>
    <n v="375"/>
    <x v="0"/>
    <n v="16875000"/>
    <n v="373"/>
    <n v="-2"/>
    <x v="3"/>
    <x v="2"/>
  </r>
  <r>
    <s v="SKU0337"/>
    <x v="35"/>
    <x v="3"/>
    <s v="Pcs"/>
    <n v="186"/>
    <n v="12"/>
    <n v="46"/>
    <n v="239000"/>
    <x v="84"/>
    <n v="37"/>
    <n v="126"/>
    <n v="97"/>
    <x v="0"/>
    <n v="23183000"/>
    <n v="94"/>
    <n v="-3"/>
    <x v="3"/>
    <x v="2"/>
  </r>
  <r>
    <s v="SKU0338"/>
    <x v="37"/>
    <x v="3"/>
    <s v="Roll"/>
    <n v="44"/>
    <n v="35"/>
    <n v="44"/>
    <n v="86000"/>
    <x v="13"/>
    <n v="71"/>
    <n v="69"/>
    <n v="46"/>
    <x v="0"/>
    <n v="3956000"/>
    <n v="47"/>
    <n v="1"/>
    <x v="6"/>
    <x v="1"/>
  </r>
  <r>
    <s v="SKU0339"/>
    <x v="30"/>
    <x v="3"/>
    <s v="Roll"/>
    <n v="189"/>
    <n v="40"/>
    <n v="60"/>
    <n v="36000"/>
    <x v="25"/>
    <n v="66"/>
    <n v="93"/>
    <n v="162"/>
    <x v="0"/>
    <n v="5832000"/>
    <n v="165"/>
    <n v="3"/>
    <x v="4"/>
    <x v="1"/>
  </r>
  <r>
    <s v="SKU0340"/>
    <x v="37"/>
    <x v="3"/>
    <s v="Roll"/>
    <n v="144"/>
    <n v="33"/>
    <n v="54"/>
    <n v="50000"/>
    <x v="37"/>
    <n v="144"/>
    <n v="203"/>
    <n v="85"/>
    <x v="0"/>
    <n v="4250000"/>
    <n v="82"/>
    <n v="-3"/>
    <x v="2"/>
    <x v="2"/>
  </r>
  <r>
    <s v="SKU0341"/>
    <x v="39"/>
    <x v="3"/>
    <s v="Roll"/>
    <n v="222"/>
    <n v="40"/>
    <n v="61"/>
    <n v="32000"/>
    <x v="89"/>
    <n v="144"/>
    <n v="99"/>
    <n v="267"/>
    <x v="0"/>
    <n v="8544000"/>
    <n v="265"/>
    <n v="-2"/>
    <x v="0"/>
    <x v="2"/>
  </r>
  <r>
    <s v="SKU0342"/>
    <x v="34"/>
    <x v="3"/>
    <s v="Roll"/>
    <n v="93"/>
    <n v="38"/>
    <n v="57"/>
    <n v="13000"/>
    <x v="77"/>
    <n v="13"/>
    <n v="168"/>
    <n v="-62"/>
    <x v="2"/>
    <n v="-806000"/>
    <n v="0"/>
    <n v="0"/>
    <x v="9"/>
    <x v="0"/>
  </r>
  <r>
    <s v="SKU0343"/>
    <x v="36"/>
    <x v="3"/>
    <s v="Roll"/>
    <n v="33"/>
    <n v="37"/>
    <n v="56"/>
    <n v="82000"/>
    <x v="36"/>
    <n v="0"/>
    <n v="91"/>
    <n v="-58"/>
    <x v="2"/>
    <n v="-4756000"/>
    <n v="0"/>
    <n v="0"/>
    <x v="1"/>
    <x v="0"/>
  </r>
  <r>
    <s v="SKU0344"/>
    <x v="35"/>
    <x v="3"/>
    <s v="Pcs"/>
    <n v="126"/>
    <n v="41"/>
    <n v="47"/>
    <n v="292000"/>
    <x v="53"/>
    <n v="98"/>
    <n v="124"/>
    <n v="100"/>
    <x v="0"/>
    <n v="29200000"/>
    <n v="97"/>
    <n v="-3"/>
    <x v="4"/>
    <x v="2"/>
  </r>
  <r>
    <s v="SKU0345"/>
    <x v="32"/>
    <x v="3"/>
    <s v="Pcs"/>
    <n v="75"/>
    <n v="5"/>
    <n v="33"/>
    <n v="8000"/>
    <x v="71"/>
    <n v="86"/>
    <n v="66"/>
    <n v="95"/>
    <x v="0"/>
    <n v="760000"/>
    <n v="95"/>
    <n v="0"/>
    <x v="0"/>
    <x v="0"/>
  </r>
  <r>
    <s v="SKU0346"/>
    <x v="32"/>
    <x v="3"/>
    <s v="Pcs"/>
    <n v="98"/>
    <n v="49"/>
    <n v="56"/>
    <n v="8000"/>
    <x v="28"/>
    <n v="92"/>
    <n v="45"/>
    <n v="145"/>
    <x v="0"/>
    <n v="1160000"/>
    <n v="143"/>
    <n v="-2"/>
    <x v="4"/>
    <x v="2"/>
  </r>
  <r>
    <s v="SKU0347"/>
    <x v="33"/>
    <x v="3"/>
    <s v="Sheet"/>
    <n v="83"/>
    <n v="31"/>
    <n v="41"/>
    <n v="4000"/>
    <x v="17"/>
    <n v="114"/>
    <n v="144"/>
    <n v="53"/>
    <x v="0"/>
    <n v="212000"/>
    <n v="54"/>
    <n v="1"/>
    <x v="8"/>
    <x v="1"/>
  </r>
  <r>
    <s v="SKU0348"/>
    <x v="30"/>
    <x v="3"/>
    <s v="Roll"/>
    <n v="124"/>
    <n v="29"/>
    <n v="46"/>
    <n v="34000"/>
    <x v="77"/>
    <n v="87"/>
    <n v="147"/>
    <n v="64"/>
    <x v="0"/>
    <n v="2176000"/>
    <n v="64"/>
    <n v="0"/>
    <x v="9"/>
    <x v="0"/>
  </r>
  <r>
    <s v="SKU0349"/>
    <x v="34"/>
    <x v="3"/>
    <s v="Roll"/>
    <n v="230"/>
    <n v="27"/>
    <n v="57"/>
    <n v="28000"/>
    <x v="74"/>
    <n v="148"/>
    <n v="106"/>
    <n v="272"/>
    <x v="0"/>
    <n v="7616000"/>
    <n v="274"/>
    <n v="2"/>
    <x v="8"/>
    <x v="1"/>
  </r>
  <r>
    <s v="SKU0350"/>
    <x v="35"/>
    <x v="3"/>
    <s v="Pcs"/>
    <n v="196"/>
    <n v="19"/>
    <n v="49"/>
    <n v="145000"/>
    <x v="86"/>
    <n v="150"/>
    <n v="54"/>
    <n v="292"/>
    <x v="0"/>
    <n v="42340000"/>
    <n v="289"/>
    <n v="-3"/>
    <x v="1"/>
    <x v="2"/>
  </r>
  <r>
    <s v="SKU0351"/>
    <x v="35"/>
    <x v="3"/>
    <s v="Pcs"/>
    <n v="146"/>
    <n v="29"/>
    <n v="41"/>
    <n v="297000"/>
    <x v="36"/>
    <n v="93"/>
    <n v="251"/>
    <n v="-12"/>
    <x v="2"/>
    <n v="-3564000"/>
    <n v="0"/>
    <n v="0"/>
    <x v="0"/>
    <x v="0"/>
  </r>
  <r>
    <s v="SKU0352"/>
    <x v="34"/>
    <x v="3"/>
    <s v="Roll"/>
    <n v="58"/>
    <n v="12"/>
    <n v="18"/>
    <n v="16000"/>
    <x v="38"/>
    <n v="161"/>
    <n v="77"/>
    <n v="142"/>
    <x v="0"/>
    <n v="2272000"/>
    <n v="139"/>
    <n v="-3"/>
    <x v="5"/>
    <x v="2"/>
  </r>
  <r>
    <s v="SKU0353"/>
    <x v="37"/>
    <x v="3"/>
    <s v="Roll"/>
    <n v="27"/>
    <n v="11"/>
    <n v="35"/>
    <n v="82000"/>
    <x v="29"/>
    <n v="289"/>
    <n v="295"/>
    <n v="21"/>
    <x v="1"/>
    <n v="1722000"/>
    <n v="18"/>
    <n v="-3"/>
    <x v="1"/>
    <x v="2"/>
  </r>
  <r>
    <s v="SKU0354"/>
    <x v="32"/>
    <x v="3"/>
    <s v="Pcs"/>
    <n v="199"/>
    <n v="7"/>
    <n v="49"/>
    <n v="5000"/>
    <x v="11"/>
    <n v="186"/>
    <n v="150"/>
    <n v="235"/>
    <x v="0"/>
    <n v="1175000"/>
    <n v="235"/>
    <n v="0"/>
    <x v="6"/>
    <x v="0"/>
  </r>
  <r>
    <s v="SKU0355"/>
    <x v="37"/>
    <x v="3"/>
    <s v="Roll"/>
    <n v="45"/>
    <n v="37"/>
    <n v="51"/>
    <n v="44000"/>
    <x v="22"/>
    <n v="80"/>
    <n v="53"/>
    <n v="72"/>
    <x v="0"/>
    <n v="3168000"/>
    <n v="72"/>
    <n v="0"/>
    <x v="0"/>
    <x v="0"/>
  </r>
  <r>
    <s v="SKU0356"/>
    <x v="30"/>
    <x v="3"/>
    <s v="Roll"/>
    <n v="163"/>
    <n v="48"/>
    <n v="63"/>
    <n v="46000"/>
    <x v="86"/>
    <n v="214"/>
    <n v="45"/>
    <n v="332"/>
    <x v="0"/>
    <n v="15272000"/>
    <n v="332"/>
    <n v="0"/>
    <x v="0"/>
    <x v="0"/>
  </r>
  <r>
    <s v="SKU0357"/>
    <x v="35"/>
    <x v="3"/>
    <s v="Pcs"/>
    <n v="115"/>
    <n v="24"/>
    <n v="37"/>
    <n v="193000"/>
    <x v="66"/>
    <n v="252"/>
    <n v="107"/>
    <n v="260"/>
    <x v="0"/>
    <n v="50180000"/>
    <n v="259"/>
    <n v="-1"/>
    <x v="1"/>
    <x v="2"/>
  </r>
  <r>
    <s v="SKU0358"/>
    <x v="34"/>
    <x v="3"/>
    <s v="Roll"/>
    <n v="183"/>
    <n v="32"/>
    <n v="54"/>
    <n v="28000"/>
    <x v="52"/>
    <n v="295"/>
    <n v="99"/>
    <n v="379"/>
    <x v="0"/>
    <n v="10612000"/>
    <n v="380"/>
    <n v="1"/>
    <x v="6"/>
    <x v="1"/>
  </r>
  <r>
    <s v="SKU0359"/>
    <x v="38"/>
    <x v="3"/>
    <s v="Pack"/>
    <n v="188"/>
    <n v="31"/>
    <n v="49"/>
    <n v="28000"/>
    <x v="86"/>
    <n v="370"/>
    <n v="190"/>
    <n v="368"/>
    <x v="0"/>
    <n v="10304000"/>
    <n v="370"/>
    <n v="2"/>
    <x v="8"/>
    <x v="1"/>
  </r>
  <r>
    <s v="SKU0360"/>
    <x v="34"/>
    <x v="3"/>
    <s v="Roll"/>
    <n v="147"/>
    <n v="35"/>
    <n v="47"/>
    <n v="32000"/>
    <x v="86"/>
    <n v="213"/>
    <n v="48"/>
    <n v="312"/>
    <x v="0"/>
    <n v="9984000"/>
    <n v="311"/>
    <n v="-1"/>
    <x v="0"/>
    <x v="2"/>
  </r>
  <r>
    <s v="SKU0361"/>
    <x v="33"/>
    <x v="3"/>
    <s v="Sheet"/>
    <n v="153"/>
    <n v="31"/>
    <n v="49"/>
    <n v="4000"/>
    <x v="85"/>
    <n v="152"/>
    <n v="98"/>
    <n v="207"/>
    <x v="0"/>
    <n v="828000"/>
    <n v="207"/>
    <n v="0"/>
    <x v="4"/>
    <x v="0"/>
  </r>
  <r>
    <s v="SKU0362"/>
    <x v="38"/>
    <x v="3"/>
    <s v="Pack"/>
    <n v="75"/>
    <n v="18"/>
    <n v="33"/>
    <n v="23000"/>
    <x v="29"/>
    <n v="81"/>
    <n v="75"/>
    <n v="81"/>
    <x v="0"/>
    <n v="1863000"/>
    <n v="81"/>
    <n v="0"/>
    <x v="9"/>
    <x v="0"/>
  </r>
  <r>
    <s v="SKU0363"/>
    <x v="39"/>
    <x v="3"/>
    <s v="Roll"/>
    <n v="195"/>
    <n v="17"/>
    <n v="48"/>
    <n v="93000"/>
    <x v="10"/>
    <n v="46"/>
    <n v="52"/>
    <n v="189"/>
    <x v="0"/>
    <n v="17577000"/>
    <n v="190"/>
    <n v="1"/>
    <x v="3"/>
    <x v="1"/>
  </r>
  <r>
    <s v="SKU0364"/>
    <x v="36"/>
    <x v="3"/>
    <s v="Roll"/>
    <n v="233"/>
    <n v="9"/>
    <n v="58"/>
    <n v="25000"/>
    <x v="18"/>
    <n v="242"/>
    <n v="68"/>
    <n v="407"/>
    <x v="0"/>
    <n v="10175000"/>
    <n v="407"/>
    <n v="0"/>
    <x v="7"/>
    <x v="0"/>
  </r>
  <r>
    <s v="SKU0365"/>
    <x v="37"/>
    <x v="3"/>
    <s v="Roll"/>
    <n v="63"/>
    <n v="26"/>
    <n v="40"/>
    <n v="152000"/>
    <x v="65"/>
    <n v="152"/>
    <n v="167"/>
    <n v="48"/>
    <x v="0"/>
    <n v="7296000"/>
    <n v="46"/>
    <n v="-2"/>
    <x v="1"/>
    <x v="2"/>
  </r>
  <r>
    <s v="SKU0366"/>
    <x v="39"/>
    <x v="3"/>
    <s v="Roll"/>
    <n v="203"/>
    <n v="35"/>
    <n v="50"/>
    <n v="120000"/>
    <x v="56"/>
    <n v="138"/>
    <n v="203"/>
    <n v="138"/>
    <x v="0"/>
    <n v="16560000"/>
    <n v="140"/>
    <n v="2"/>
    <x v="7"/>
    <x v="1"/>
  </r>
  <r>
    <s v="SKU0367"/>
    <x v="38"/>
    <x v="3"/>
    <s v="Pack"/>
    <n v="151"/>
    <n v="25"/>
    <n v="54"/>
    <n v="23000"/>
    <x v="10"/>
    <n v="87"/>
    <n v="70"/>
    <n v="168"/>
    <x v="0"/>
    <n v="3864000"/>
    <n v="167"/>
    <n v="-1"/>
    <x v="3"/>
    <x v="2"/>
  </r>
  <r>
    <s v="SKU0368"/>
    <x v="35"/>
    <x v="3"/>
    <s v="Pcs"/>
    <n v="88"/>
    <n v="21"/>
    <n v="37"/>
    <n v="263000"/>
    <x v="14"/>
    <n v="116"/>
    <n v="156"/>
    <n v="48"/>
    <x v="0"/>
    <n v="12624000"/>
    <n v="48"/>
    <n v="0"/>
    <x v="4"/>
    <x v="0"/>
  </r>
  <r>
    <s v="SKU0369"/>
    <x v="39"/>
    <x v="3"/>
    <s v="Roll"/>
    <n v="130"/>
    <n v="25"/>
    <n v="36"/>
    <n v="117000"/>
    <x v="55"/>
    <n v="63"/>
    <n v="114"/>
    <n v="79"/>
    <x v="0"/>
    <n v="9243000"/>
    <n v="81"/>
    <n v="2"/>
    <x v="2"/>
    <x v="1"/>
  </r>
  <r>
    <s v="SKU0370"/>
    <x v="32"/>
    <x v="3"/>
    <s v="Pcs"/>
    <n v="231"/>
    <n v="19"/>
    <n v="57"/>
    <n v="11000"/>
    <x v="80"/>
    <n v="150"/>
    <n v="28"/>
    <n v="353"/>
    <x v="0"/>
    <n v="3883000"/>
    <n v="354"/>
    <n v="1"/>
    <x v="8"/>
    <x v="1"/>
  </r>
  <r>
    <s v="SKU0371"/>
    <x v="35"/>
    <x v="3"/>
    <s v="Pcs"/>
    <n v="85"/>
    <n v="14"/>
    <n v="25"/>
    <n v="293000"/>
    <x v="11"/>
    <n v="102"/>
    <n v="303"/>
    <n v="-116"/>
    <x v="2"/>
    <n v="-33988000"/>
    <n v="0"/>
    <n v="0"/>
    <x v="2"/>
    <x v="0"/>
  </r>
  <r>
    <s v="SKU0372"/>
    <x v="36"/>
    <x v="3"/>
    <s v="Roll"/>
    <n v="137"/>
    <n v="40"/>
    <n v="65"/>
    <n v="51000"/>
    <x v="67"/>
    <n v="119"/>
    <n v="54"/>
    <n v="202"/>
    <x v="0"/>
    <n v="10302000"/>
    <n v="205"/>
    <n v="3"/>
    <x v="2"/>
    <x v="1"/>
  </r>
  <r>
    <s v="SKU0373"/>
    <x v="33"/>
    <x v="3"/>
    <s v="Sheet"/>
    <n v="53"/>
    <n v="27"/>
    <n v="37"/>
    <n v="17000"/>
    <x v="18"/>
    <n v="74"/>
    <n v="51"/>
    <n v="76"/>
    <x v="0"/>
    <n v="1292000"/>
    <n v="73"/>
    <n v="-3"/>
    <x v="8"/>
    <x v="2"/>
  </r>
  <r>
    <s v="SKU0374"/>
    <x v="33"/>
    <x v="3"/>
    <s v="Sheet"/>
    <n v="244"/>
    <n v="39"/>
    <n v="64"/>
    <n v="8000"/>
    <x v="85"/>
    <n v="87"/>
    <n v="116"/>
    <n v="215"/>
    <x v="0"/>
    <n v="1720000"/>
    <n v="218"/>
    <n v="3"/>
    <x v="1"/>
    <x v="1"/>
  </r>
  <r>
    <s v="SKU0375"/>
    <x v="39"/>
    <x v="3"/>
    <s v="Roll"/>
    <n v="22"/>
    <n v="5"/>
    <n v="23"/>
    <n v="110000"/>
    <x v="73"/>
    <n v="112"/>
    <n v="206"/>
    <n v="-72"/>
    <x v="2"/>
    <n v="-7920000"/>
    <n v="0"/>
    <n v="0"/>
    <x v="8"/>
    <x v="0"/>
  </r>
  <r>
    <s v="SKU0376"/>
    <x v="39"/>
    <x v="3"/>
    <s v="Roll"/>
    <n v="48"/>
    <n v="5"/>
    <n v="16"/>
    <n v="115000"/>
    <x v="36"/>
    <n v="214"/>
    <n v="103"/>
    <n v="159"/>
    <x v="0"/>
    <n v="18285000"/>
    <n v="156"/>
    <n v="-3"/>
    <x v="4"/>
    <x v="2"/>
  </r>
  <r>
    <s v="SKU0377"/>
    <x v="32"/>
    <x v="3"/>
    <s v="Pcs"/>
    <n v="173"/>
    <n v="47"/>
    <n v="71"/>
    <n v="11000"/>
    <x v="7"/>
    <n v="289"/>
    <n v="37"/>
    <n v="425"/>
    <x v="0"/>
    <n v="4675000"/>
    <n v="426"/>
    <n v="1"/>
    <x v="6"/>
    <x v="1"/>
  </r>
  <r>
    <s v="SKU0378"/>
    <x v="32"/>
    <x v="3"/>
    <s v="Pcs"/>
    <n v="146"/>
    <n v="40"/>
    <n v="58"/>
    <n v="2000"/>
    <x v="80"/>
    <n v="227"/>
    <n v="104"/>
    <n v="269"/>
    <x v="0"/>
    <n v="538000"/>
    <n v="269"/>
    <n v="0"/>
    <x v="1"/>
    <x v="0"/>
  </r>
  <r>
    <s v="SKU0379"/>
    <x v="31"/>
    <x v="3"/>
    <s v="Pack"/>
    <n v="14"/>
    <n v="37"/>
    <n v="64"/>
    <n v="51000"/>
    <x v="69"/>
    <n v="164"/>
    <n v="87"/>
    <n v="91"/>
    <x v="0"/>
    <n v="4641000"/>
    <n v="91"/>
    <n v="0"/>
    <x v="5"/>
    <x v="0"/>
  </r>
  <r>
    <s v="SKU0380"/>
    <x v="39"/>
    <x v="3"/>
    <s v="Roll"/>
    <n v="48"/>
    <n v="20"/>
    <n v="31"/>
    <n v="92000"/>
    <x v="85"/>
    <n v="237"/>
    <n v="167"/>
    <n v="118"/>
    <x v="0"/>
    <n v="10856000"/>
    <n v="115"/>
    <n v="-3"/>
    <x v="7"/>
    <x v="2"/>
  </r>
  <r>
    <s v="SKU0381"/>
    <x v="30"/>
    <x v="3"/>
    <s v="Roll"/>
    <n v="213"/>
    <n v="30"/>
    <n v="53"/>
    <n v="27000"/>
    <x v="34"/>
    <n v="230"/>
    <n v="63"/>
    <n v="380"/>
    <x v="0"/>
    <n v="10260000"/>
    <n v="379"/>
    <n v="-1"/>
    <x v="2"/>
    <x v="2"/>
  </r>
  <r>
    <s v="SKU0382"/>
    <x v="36"/>
    <x v="3"/>
    <s v="Roll"/>
    <n v="188"/>
    <n v="19"/>
    <n v="47"/>
    <n v="51000"/>
    <x v="82"/>
    <n v="166"/>
    <n v="47"/>
    <n v="307"/>
    <x v="0"/>
    <n v="15657000"/>
    <n v="307"/>
    <n v="0"/>
    <x v="9"/>
    <x v="0"/>
  </r>
  <r>
    <s v="SKU0383"/>
    <x v="39"/>
    <x v="3"/>
    <s v="Roll"/>
    <n v="107"/>
    <n v="29"/>
    <n v="51"/>
    <n v="76000"/>
    <x v="28"/>
    <n v="145"/>
    <n v="52"/>
    <n v="200"/>
    <x v="0"/>
    <n v="15200000"/>
    <n v="203"/>
    <n v="3"/>
    <x v="6"/>
    <x v="1"/>
  </r>
  <r>
    <s v="SKU0384"/>
    <x v="34"/>
    <x v="3"/>
    <s v="Roll"/>
    <n v="137"/>
    <n v="32"/>
    <n v="57"/>
    <n v="10000"/>
    <x v="76"/>
    <n v="86"/>
    <n v="128"/>
    <n v="95"/>
    <x v="0"/>
    <n v="950000"/>
    <n v="95"/>
    <n v="0"/>
    <x v="2"/>
    <x v="0"/>
  </r>
  <r>
    <s v="SKU0385"/>
    <x v="35"/>
    <x v="3"/>
    <s v="Pcs"/>
    <n v="68"/>
    <n v="18"/>
    <n v="45"/>
    <n v="101000"/>
    <x v="49"/>
    <n v="90"/>
    <n v="228"/>
    <n v="-70"/>
    <x v="2"/>
    <n v="-7070000"/>
    <n v="0"/>
    <n v="0"/>
    <x v="7"/>
    <x v="0"/>
  </r>
  <r>
    <s v="SKU0386"/>
    <x v="32"/>
    <x v="3"/>
    <s v="Pcs"/>
    <n v="185"/>
    <n v="22"/>
    <n v="46"/>
    <n v="3000"/>
    <x v="7"/>
    <n v="65"/>
    <n v="138"/>
    <n v="112"/>
    <x v="0"/>
    <n v="336000"/>
    <n v="112"/>
    <n v="0"/>
    <x v="7"/>
    <x v="0"/>
  </r>
  <r>
    <s v="SKU0387"/>
    <x v="34"/>
    <x v="3"/>
    <s v="Roll"/>
    <n v="90"/>
    <n v="6"/>
    <n v="22"/>
    <n v="35000"/>
    <x v="12"/>
    <n v="141"/>
    <n v="70"/>
    <n v="161"/>
    <x v="0"/>
    <n v="5635000"/>
    <n v="161"/>
    <n v="0"/>
    <x v="7"/>
    <x v="0"/>
  </r>
  <r>
    <s v="SKU0388"/>
    <x v="39"/>
    <x v="3"/>
    <s v="Roll"/>
    <n v="51"/>
    <n v="41"/>
    <n v="53"/>
    <n v="63000"/>
    <x v="45"/>
    <n v="169"/>
    <n v="154"/>
    <n v="66"/>
    <x v="0"/>
    <n v="4158000"/>
    <n v="65"/>
    <n v="-1"/>
    <x v="7"/>
    <x v="2"/>
  </r>
  <r>
    <s v="SKU0389"/>
    <x v="30"/>
    <x v="3"/>
    <s v="Roll"/>
    <n v="203"/>
    <n v="13"/>
    <n v="50"/>
    <n v="34000"/>
    <x v="39"/>
    <n v="0"/>
    <n v="25"/>
    <n v="178"/>
    <x v="0"/>
    <n v="6052000"/>
    <n v="180"/>
    <n v="2"/>
    <x v="9"/>
    <x v="1"/>
  </r>
  <r>
    <s v="SKU0390"/>
    <x v="32"/>
    <x v="3"/>
    <s v="Pcs"/>
    <n v="121"/>
    <n v="19"/>
    <n v="30"/>
    <n v="3000"/>
    <x v="48"/>
    <n v="150"/>
    <n v="85"/>
    <n v="186"/>
    <x v="0"/>
    <n v="558000"/>
    <n v="185"/>
    <n v="-1"/>
    <x v="2"/>
    <x v="2"/>
  </r>
  <r>
    <s v="SKU0391"/>
    <x v="36"/>
    <x v="3"/>
    <s v="Roll"/>
    <n v="208"/>
    <n v="25"/>
    <n v="52"/>
    <n v="70000"/>
    <x v="29"/>
    <n v="57"/>
    <n v="174"/>
    <n v="91"/>
    <x v="0"/>
    <n v="6370000"/>
    <n v="93"/>
    <n v="2"/>
    <x v="3"/>
    <x v="1"/>
  </r>
  <r>
    <s v="SKU0392"/>
    <x v="37"/>
    <x v="3"/>
    <s v="Roll"/>
    <n v="151"/>
    <n v="29"/>
    <n v="47"/>
    <n v="121000"/>
    <x v="77"/>
    <n v="209"/>
    <n v="166"/>
    <n v="194"/>
    <x v="0"/>
    <n v="23474000"/>
    <n v="193"/>
    <n v="-1"/>
    <x v="8"/>
    <x v="2"/>
  </r>
  <r>
    <s v="SKU0393"/>
    <x v="38"/>
    <x v="3"/>
    <s v="Pack"/>
    <n v="207"/>
    <n v="44"/>
    <n v="58"/>
    <n v="13000"/>
    <x v="2"/>
    <n v="122"/>
    <n v="109"/>
    <n v="220"/>
    <x v="0"/>
    <n v="2860000"/>
    <n v="223"/>
    <n v="3"/>
    <x v="0"/>
    <x v="1"/>
  </r>
  <r>
    <s v="SKU0394"/>
    <x v="39"/>
    <x v="3"/>
    <s v="Roll"/>
    <n v="49"/>
    <n v="29"/>
    <n v="56"/>
    <n v="59000"/>
    <x v="97"/>
    <n v="92"/>
    <n v="49"/>
    <n v="92"/>
    <x v="0"/>
    <n v="5428000"/>
    <n v="90"/>
    <n v="-2"/>
    <x v="8"/>
    <x v="2"/>
  </r>
  <r>
    <s v="SKU0395"/>
    <x v="30"/>
    <x v="3"/>
    <s v="Roll"/>
    <n v="37"/>
    <n v="10"/>
    <n v="15"/>
    <n v="33000"/>
    <x v="30"/>
    <n v="268"/>
    <n v="176"/>
    <n v="129"/>
    <x v="0"/>
    <n v="4257000"/>
    <n v="128"/>
    <n v="-1"/>
    <x v="3"/>
    <x v="2"/>
  </r>
  <r>
    <s v="SKU0396"/>
    <x v="31"/>
    <x v="3"/>
    <s v="Pack"/>
    <n v="43"/>
    <n v="10"/>
    <n v="20"/>
    <n v="28000"/>
    <x v="29"/>
    <n v="68"/>
    <n v="121"/>
    <n v="-10"/>
    <x v="2"/>
    <n v="-280000"/>
    <n v="0"/>
    <n v="0"/>
    <x v="5"/>
    <x v="0"/>
  </r>
  <r>
    <s v="SKU0397"/>
    <x v="35"/>
    <x v="3"/>
    <s v="Pcs"/>
    <n v="114"/>
    <n v="11"/>
    <n v="28"/>
    <n v="342000"/>
    <x v="27"/>
    <n v="228"/>
    <n v="173"/>
    <n v="169"/>
    <x v="0"/>
    <n v="57798000"/>
    <n v="170"/>
    <n v="1"/>
    <x v="9"/>
    <x v="1"/>
  </r>
  <r>
    <s v="SKU0398"/>
    <x v="39"/>
    <x v="3"/>
    <s v="Roll"/>
    <n v="163"/>
    <n v="25"/>
    <n v="42"/>
    <n v="101000"/>
    <x v="6"/>
    <n v="93"/>
    <n v="170"/>
    <n v="86"/>
    <x v="0"/>
    <n v="8686000"/>
    <n v="86"/>
    <n v="0"/>
    <x v="1"/>
    <x v="0"/>
  </r>
  <r>
    <s v="SKU0399"/>
    <x v="38"/>
    <x v="3"/>
    <s v="Pack"/>
    <n v="195"/>
    <n v="40"/>
    <n v="52"/>
    <n v="13000"/>
    <x v="23"/>
    <n v="170"/>
    <n v="252"/>
    <n v="113"/>
    <x v="0"/>
    <n v="1469000"/>
    <n v="113"/>
    <n v="0"/>
    <x v="7"/>
    <x v="0"/>
  </r>
  <r>
    <s v="SKU0400"/>
    <x v="38"/>
    <x v="3"/>
    <s v="Pack"/>
    <n v="45"/>
    <n v="22"/>
    <n v="36"/>
    <n v="18000"/>
    <x v="14"/>
    <n v="158"/>
    <n v="89"/>
    <n v="114"/>
    <x v="0"/>
    <n v="2052000"/>
    <n v="111"/>
    <n v="-3"/>
    <x v="3"/>
    <x v="2"/>
  </r>
  <r>
    <s v="SKU0401"/>
    <x v="40"/>
    <x v="4"/>
    <s v="Pcs"/>
    <n v="121"/>
    <n v="22"/>
    <n v="40"/>
    <n v="87000"/>
    <x v="96"/>
    <n v="201"/>
    <n v="122"/>
    <n v="200"/>
    <x v="0"/>
    <n v="17400000"/>
    <n v="200"/>
    <n v="0"/>
    <x v="3"/>
    <x v="0"/>
  </r>
  <r>
    <s v="SKU0402"/>
    <x v="41"/>
    <x v="4"/>
    <s v="Pack"/>
    <n v="73"/>
    <n v="45"/>
    <n v="65"/>
    <n v="16000"/>
    <x v="38"/>
    <n v="64"/>
    <n v="161"/>
    <n v="-24"/>
    <x v="2"/>
    <n v="-384000"/>
    <n v="0"/>
    <n v="0"/>
    <x v="7"/>
    <x v="0"/>
  </r>
  <r>
    <s v="SKU0403"/>
    <x v="42"/>
    <x v="4"/>
    <s v="Pcs"/>
    <n v="44"/>
    <n v="24"/>
    <n v="29"/>
    <n v="16000"/>
    <x v="50"/>
    <n v="152"/>
    <n v="177"/>
    <n v="19"/>
    <x v="3"/>
    <n v="304000"/>
    <n v="16"/>
    <n v="-3"/>
    <x v="5"/>
    <x v="2"/>
  </r>
  <r>
    <s v="SKU0404"/>
    <x v="43"/>
    <x v="4"/>
    <s v="Roll"/>
    <n v="122"/>
    <n v="26"/>
    <n v="44"/>
    <n v="15000"/>
    <x v="0"/>
    <n v="11"/>
    <n v="112"/>
    <n v="21"/>
    <x v="3"/>
    <n v="315000"/>
    <n v="20"/>
    <n v="-1"/>
    <x v="7"/>
    <x v="2"/>
  </r>
  <r>
    <s v="SKU0405"/>
    <x v="41"/>
    <x v="4"/>
    <s v="Pack"/>
    <n v="187"/>
    <n v="17"/>
    <n v="46"/>
    <n v="27000"/>
    <x v="69"/>
    <n v="224"/>
    <n v="106"/>
    <n v="305"/>
    <x v="0"/>
    <n v="8235000"/>
    <n v="306"/>
    <n v="1"/>
    <x v="2"/>
    <x v="1"/>
  </r>
  <r>
    <s v="SKU0406"/>
    <x v="41"/>
    <x v="4"/>
    <s v="Pack"/>
    <n v="198"/>
    <n v="49"/>
    <n v="74"/>
    <n v="17000"/>
    <x v="89"/>
    <n v="163"/>
    <n v="75"/>
    <n v="286"/>
    <x v="0"/>
    <n v="4862000"/>
    <n v="287"/>
    <n v="1"/>
    <x v="6"/>
    <x v="1"/>
  </r>
  <r>
    <s v="SKU0407"/>
    <x v="41"/>
    <x v="4"/>
    <s v="Pack"/>
    <n v="81"/>
    <n v="30"/>
    <n v="46"/>
    <n v="20000"/>
    <x v="76"/>
    <n v="104"/>
    <n v="21"/>
    <n v="164"/>
    <x v="0"/>
    <n v="3280000"/>
    <n v="166"/>
    <n v="2"/>
    <x v="9"/>
    <x v="1"/>
  </r>
  <r>
    <s v="SKU0408"/>
    <x v="44"/>
    <x v="4"/>
    <s v="Meter"/>
    <n v="56"/>
    <n v="48"/>
    <n v="77"/>
    <n v="12000"/>
    <x v="44"/>
    <n v="69"/>
    <n v="129"/>
    <n v="-4"/>
    <x v="2"/>
    <n v="-48000"/>
    <n v="0"/>
    <n v="0"/>
    <x v="4"/>
    <x v="0"/>
  </r>
  <r>
    <s v="SKU0409"/>
    <x v="45"/>
    <x v="4"/>
    <s v="Pack"/>
    <n v="214"/>
    <n v="23"/>
    <n v="53"/>
    <n v="43000"/>
    <x v="41"/>
    <n v="87"/>
    <n v="251"/>
    <n v="50"/>
    <x v="1"/>
    <n v="2150000"/>
    <n v="50"/>
    <n v="0"/>
    <x v="9"/>
    <x v="0"/>
  </r>
  <r>
    <s v="SKU0410"/>
    <x v="46"/>
    <x v="4"/>
    <s v="Pcs"/>
    <n v="87"/>
    <n v="20"/>
    <n v="33"/>
    <n v="116000"/>
    <x v="2"/>
    <n v="27"/>
    <n v="100"/>
    <n v="14"/>
    <x v="3"/>
    <n v="1624000"/>
    <n v="13"/>
    <n v="-1"/>
    <x v="8"/>
    <x v="2"/>
  </r>
  <r>
    <s v="SKU0411"/>
    <x v="43"/>
    <x v="4"/>
    <s v="Roll"/>
    <n v="124"/>
    <n v="43"/>
    <n v="63"/>
    <n v="7000"/>
    <x v="34"/>
    <n v="0"/>
    <n v="56"/>
    <n v="68"/>
    <x v="0"/>
    <n v="476000"/>
    <n v="70"/>
    <n v="2"/>
    <x v="7"/>
    <x v="1"/>
  </r>
  <r>
    <s v="SKU0412"/>
    <x v="47"/>
    <x v="4"/>
    <s v="Pcs"/>
    <n v="117"/>
    <n v="39"/>
    <n v="45"/>
    <n v="222000"/>
    <x v="9"/>
    <n v="43"/>
    <n v="83"/>
    <n v="77"/>
    <x v="0"/>
    <n v="17094000"/>
    <n v="76"/>
    <n v="-1"/>
    <x v="2"/>
    <x v="2"/>
  </r>
  <r>
    <s v="SKU0413"/>
    <x v="44"/>
    <x v="4"/>
    <s v="Meter"/>
    <n v="244"/>
    <n v="10"/>
    <n v="61"/>
    <n v="14000"/>
    <x v="7"/>
    <n v="137"/>
    <n v="111"/>
    <n v="270"/>
    <x v="0"/>
    <n v="3780000"/>
    <n v="273"/>
    <n v="3"/>
    <x v="0"/>
    <x v="1"/>
  </r>
  <r>
    <s v="SKU0414"/>
    <x v="46"/>
    <x v="4"/>
    <s v="Pcs"/>
    <n v="166"/>
    <n v="7"/>
    <n v="41"/>
    <n v="117000"/>
    <x v="31"/>
    <n v="236"/>
    <n v="180"/>
    <n v="222"/>
    <x v="0"/>
    <n v="25974000"/>
    <n v="222"/>
    <n v="0"/>
    <x v="5"/>
    <x v="0"/>
  </r>
  <r>
    <s v="SKU0415"/>
    <x v="43"/>
    <x v="4"/>
    <s v="Roll"/>
    <n v="12"/>
    <n v="11"/>
    <n v="24"/>
    <n v="8000"/>
    <x v="33"/>
    <n v="124"/>
    <n v="56"/>
    <n v="80"/>
    <x v="0"/>
    <n v="640000"/>
    <n v="80"/>
    <n v="0"/>
    <x v="0"/>
    <x v="0"/>
  </r>
  <r>
    <s v="SKU0416"/>
    <x v="47"/>
    <x v="4"/>
    <s v="Pcs"/>
    <n v="186"/>
    <n v="41"/>
    <n v="53"/>
    <n v="193000"/>
    <x v="84"/>
    <n v="24"/>
    <n v="179"/>
    <n v="31"/>
    <x v="3"/>
    <n v="5983000"/>
    <n v="31"/>
    <n v="0"/>
    <x v="6"/>
    <x v="0"/>
  </r>
  <r>
    <s v="SKU0417"/>
    <x v="42"/>
    <x v="4"/>
    <s v="Pcs"/>
    <n v="186"/>
    <n v="37"/>
    <n v="46"/>
    <n v="47000"/>
    <x v="44"/>
    <n v="134"/>
    <n v="72"/>
    <n v="248"/>
    <x v="0"/>
    <n v="11656000"/>
    <n v="250"/>
    <n v="2"/>
    <x v="2"/>
    <x v="1"/>
  </r>
  <r>
    <s v="SKU0418"/>
    <x v="40"/>
    <x v="4"/>
    <s v="Pcs"/>
    <n v="116"/>
    <n v="10"/>
    <n v="29"/>
    <n v="120000"/>
    <x v="63"/>
    <n v="49"/>
    <n v="148"/>
    <n v="17"/>
    <x v="1"/>
    <n v="2040000"/>
    <n v="17"/>
    <n v="0"/>
    <x v="8"/>
    <x v="0"/>
  </r>
  <r>
    <s v="SKU0419"/>
    <x v="41"/>
    <x v="4"/>
    <s v="Pack"/>
    <n v="210"/>
    <n v="18"/>
    <n v="52"/>
    <n v="22000"/>
    <x v="63"/>
    <n v="70"/>
    <n v="53"/>
    <n v="227"/>
    <x v="0"/>
    <n v="4994000"/>
    <n v="227"/>
    <n v="0"/>
    <x v="6"/>
    <x v="0"/>
  </r>
  <r>
    <s v="SKU0420"/>
    <x v="40"/>
    <x v="4"/>
    <s v="Pcs"/>
    <n v="194"/>
    <n v="49"/>
    <n v="68"/>
    <n v="157000"/>
    <x v="43"/>
    <n v="149"/>
    <n v="20"/>
    <n v="323"/>
    <x v="0"/>
    <n v="50711000"/>
    <n v="320"/>
    <n v="-3"/>
    <x v="2"/>
    <x v="2"/>
  </r>
  <r>
    <s v="SKU0421"/>
    <x v="48"/>
    <x v="4"/>
    <s v="Pcs"/>
    <n v="39"/>
    <n v="6"/>
    <n v="21"/>
    <n v="57000"/>
    <x v="81"/>
    <n v="158"/>
    <n v="36"/>
    <n v="161"/>
    <x v="0"/>
    <n v="9177000"/>
    <n v="163"/>
    <n v="2"/>
    <x v="9"/>
    <x v="1"/>
  </r>
  <r>
    <s v="SKU0422"/>
    <x v="45"/>
    <x v="4"/>
    <s v="Pack"/>
    <n v="54"/>
    <n v="40"/>
    <n v="50"/>
    <n v="48000"/>
    <x v="66"/>
    <n v="233"/>
    <n v="167"/>
    <n v="120"/>
    <x v="0"/>
    <n v="5760000"/>
    <n v="117"/>
    <n v="-3"/>
    <x v="2"/>
    <x v="2"/>
  </r>
  <r>
    <s v="SKU0423"/>
    <x v="42"/>
    <x v="4"/>
    <s v="Pcs"/>
    <n v="214"/>
    <n v="30"/>
    <n v="55"/>
    <n v="24000"/>
    <x v="59"/>
    <n v="16"/>
    <n v="56"/>
    <n v="174"/>
    <x v="0"/>
    <n v="4176000"/>
    <n v="177"/>
    <n v="3"/>
    <x v="8"/>
    <x v="1"/>
  </r>
  <r>
    <s v="SKU0424"/>
    <x v="43"/>
    <x v="4"/>
    <s v="Roll"/>
    <n v="198"/>
    <n v="44"/>
    <n v="55"/>
    <n v="5000"/>
    <x v="24"/>
    <n v="32"/>
    <n v="235"/>
    <n v="-5"/>
    <x v="2"/>
    <n v="-25000"/>
    <n v="0"/>
    <n v="0"/>
    <x v="6"/>
    <x v="0"/>
  </r>
  <r>
    <s v="SKU0425"/>
    <x v="43"/>
    <x v="4"/>
    <s v="Roll"/>
    <n v="190"/>
    <n v="18"/>
    <n v="47"/>
    <n v="5000"/>
    <x v="31"/>
    <n v="96"/>
    <n v="94"/>
    <n v="192"/>
    <x v="0"/>
    <n v="960000"/>
    <n v="193"/>
    <n v="1"/>
    <x v="3"/>
    <x v="1"/>
  </r>
  <r>
    <s v="SKU0426"/>
    <x v="44"/>
    <x v="4"/>
    <s v="Meter"/>
    <n v="214"/>
    <n v="39"/>
    <n v="53"/>
    <n v="5000"/>
    <x v="72"/>
    <n v="34"/>
    <n v="234"/>
    <n v="14"/>
    <x v="3"/>
    <n v="70000"/>
    <n v="14"/>
    <n v="0"/>
    <x v="2"/>
    <x v="0"/>
  </r>
  <r>
    <s v="SKU0427"/>
    <x v="42"/>
    <x v="4"/>
    <s v="Pcs"/>
    <n v="77"/>
    <n v="47"/>
    <n v="67"/>
    <n v="17000"/>
    <x v="19"/>
    <n v="224"/>
    <n v="233"/>
    <n v="68"/>
    <x v="0"/>
    <n v="1156000"/>
    <n v="65"/>
    <n v="-3"/>
    <x v="4"/>
    <x v="2"/>
  </r>
  <r>
    <s v="SKU0428"/>
    <x v="44"/>
    <x v="4"/>
    <s v="Meter"/>
    <n v="166"/>
    <n v="30"/>
    <n v="53"/>
    <n v="10000"/>
    <x v="63"/>
    <n v="239"/>
    <n v="117"/>
    <n v="288"/>
    <x v="0"/>
    <n v="2880000"/>
    <n v="289"/>
    <n v="1"/>
    <x v="9"/>
    <x v="1"/>
  </r>
  <r>
    <s v="SKU0429"/>
    <x v="42"/>
    <x v="4"/>
    <s v="Pcs"/>
    <n v="54"/>
    <n v="48"/>
    <n v="75"/>
    <n v="49000"/>
    <x v="38"/>
    <n v="112"/>
    <n v="145"/>
    <n v="21"/>
    <x v="3"/>
    <n v="1029000"/>
    <n v="23"/>
    <n v="2"/>
    <x v="3"/>
    <x v="1"/>
  </r>
  <r>
    <s v="SKU0430"/>
    <x v="40"/>
    <x v="4"/>
    <s v="Pcs"/>
    <n v="90"/>
    <n v="12"/>
    <n v="24"/>
    <n v="79000"/>
    <x v="83"/>
    <n v="2"/>
    <n v="183"/>
    <n v="-91"/>
    <x v="2"/>
    <n v="-7189000"/>
    <n v="0"/>
    <n v="0"/>
    <x v="3"/>
    <x v="0"/>
  </r>
  <r>
    <s v="SKU0431"/>
    <x v="41"/>
    <x v="4"/>
    <s v="Pack"/>
    <n v="46"/>
    <n v="37"/>
    <n v="54"/>
    <n v="30000"/>
    <x v="15"/>
    <n v="147"/>
    <n v="164"/>
    <n v="29"/>
    <x v="3"/>
    <n v="870000"/>
    <n v="30"/>
    <n v="1"/>
    <x v="5"/>
    <x v="1"/>
  </r>
  <r>
    <s v="SKU0432"/>
    <x v="44"/>
    <x v="4"/>
    <s v="Meter"/>
    <n v="118"/>
    <n v="16"/>
    <n v="36"/>
    <n v="10000"/>
    <x v="79"/>
    <n v="141"/>
    <n v="39"/>
    <n v="220"/>
    <x v="0"/>
    <n v="2200000"/>
    <n v="217"/>
    <n v="-3"/>
    <x v="4"/>
    <x v="2"/>
  </r>
  <r>
    <s v="SKU0433"/>
    <x v="47"/>
    <x v="4"/>
    <s v="Pcs"/>
    <n v="135"/>
    <n v="23"/>
    <n v="33"/>
    <n v="87000"/>
    <x v="55"/>
    <n v="71"/>
    <n v="155"/>
    <n v="51"/>
    <x v="0"/>
    <n v="4437000"/>
    <n v="50"/>
    <n v="-1"/>
    <x v="8"/>
    <x v="2"/>
  </r>
  <r>
    <s v="SKU0434"/>
    <x v="44"/>
    <x v="4"/>
    <s v="Meter"/>
    <n v="231"/>
    <n v="27"/>
    <n v="57"/>
    <n v="4000"/>
    <x v="0"/>
    <n v="42"/>
    <n v="133"/>
    <n v="140"/>
    <x v="0"/>
    <n v="560000"/>
    <n v="137"/>
    <n v="-3"/>
    <x v="6"/>
    <x v="2"/>
  </r>
  <r>
    <s v="SKU0435"/>
    <x v="43"/>
    <x v="4"/>
    <s v="Roll"/>
    <n v="139"/>
    <n v="46"/>
    <n v="66"/>
    <n v="22000"/>
    <x v="77"/>
    <n v="22"/>
    <n v="83"/>
    <n v="78"/>
    <x v="0"/>
    <n v="1716000"/>
    <n v="81"/>
    <n v="3"/>
    <x v="5"/>
    <x v="1"/>
  </r>
  <r>
    <s v="SKU0436"/>
    <x v="43"/>
    <x v="4"/>
    <s v="Roll"/>
    <n v="135"/>
    <n v="15"/>
    <n v="33"/>
    <n v="19000"/>
    <x v="44"/>
    <n v="52"/>
    <n v="157"/>
    <n v="30"/>
    <x v="1"/>
    <n v="570000"/>
    <n v="27"/>
    <n v="-3"/>
    <x v="7"/>
    <x v="2"/>
  </r>
  <r>
    <s v="SKU0437"/>
    <x v="49"/>
    <x v="4"/>
    <s v="Pack"/>
    <n v="80"/>
    <n v="19"/>
    <n v="41"/>
    <n v="17000"/>
    <x v="90"/>
    <n v="241"/>
    <n v="185"/>
    <n v="136"/>
    <x v="0"/>
    <n v="2312000"/>
    <n v="134"/>
    <n v="-2"/>
    <x v="3"/>
    <x v="2"/>
  </r>
  <r>
    <s v="SKU0438"/>
    <x v="44"/>
    <x v="4"/>
    <s v="Meter"/>
    <n v="207"/>
    <n v="36"/>
    <n v="58"/>
    <n v="15000"/>
    <x v="83"/>
    <n v="70"/>
    <n v="159"/>
    <n v="118"/>
    <x v="0"/>
    <n v="1770000"/>
    <n v="117"/>
    <n v="-1"/>
    <x v="4"/>
    <x v="2"/>
  </r>
  <r>
    <s v="SKU0439"/>
    <x v="40"/>
    <x v="4"/>
    <s v="Pcs"/>
    <n v="208"/>
    <n v="39"/>
    <n v="55"/>
    <n v="113000"/>
    <x v="31"/>
    <n v="191"/>
    <n v="114"/>
    <n v="285"/>
    <x v="0"/>
    <n v="32205000"/>
    <n v="282"/>
    <n v="-3"/>
    <x v="4"/>
    <x v="2"/>
  </r>
  <r>
    <s v="SKU0440"/>
    <x v="42"/>
    <x v="4"/>
    <s v="Pcs"/>
    <n v="65"/>
    <n v="32"/>
    <n v="40"/>
    <n v="44000"/>
    <x v="86"/>
    <n v="204"/>
    <n v="21"/>
    <n v="248"/>
    <x v="0"/>
    <n v="10912000"/>
    <n v="247"/>
    <n v="-1"/>
    <x v="0"/>
    <x v="2"/>
  </r>
  <r>
    <s v="SKU0441"/>
    <x v="42"/>
    <x v="4"/>
    <s v="Pcs"/>
    <n v="99"/>
    <n v="10"/>
    <n v="29"/>
    <n v="26000"/>
    <x v="51"/>
    <n v="41"/>
    <n v="54"/>
    <n v="86"/>
    <x v="0"/>
    <n v="2236000"/>
    <n v="85"/>
    <n v="-1"/>
    <x v="9"/>
    <x v="2"/>
  </r>
  <r>
    <s v="SKU0442"/>
    <x v="45"/>
    <x v="4"/>
    <s v="Pack"/>
    <n v="186"/>
    <n v="27"/>
    <n v="54"/>
    <n v="52000"/>
    <x v="73"/>
    <n v="122"/>
    <n v="82"/>
    <n v="226"/>
    <x v="0"/>
    <n v="11752000"/>
    <n v="224"/>
    <n v="-2"/>
    <x v="7"/>
    <x v="2"/>
  </r>
  <r>
    <s v="SKU0443"/>
    <x v="46"/>
    <x v="4"/>
    <s v="Pcs"/>
    <n v="45"/>
    <n v="18"/>
    <n v="29"/>
    <n v="113000"/>
    <x v="76"/>
    <n v="16"/>
    <n v="66"/>
    <n v="-5"/>
    <x v="2"/>
    <n v="-565000"/>
    <n v="0"/>
    <n v="0"/>
    <x v="1"/>
    <x v="0"/>
  </r>
  <r>
    <s v="SKU0444"/>
    <x v="47"/>
    <x v="4"/>
    <s v="Pcs"/>
    <n v="162"/>
    <n v="39"/>
    <n v="49"/>
    <n v="116000"/>
    <x v="56"/>
    <n v="198"/>
    <n v="63"/>
    <n v="297"/>
    <x v="0"/>
    <n v="34452000"/>
    <n v="297"/>
    <n v="0"/>
    <x v="2"/>
    <x v="0"/>
  </r>
  <r>
    <s v="SKU0445"/>
    <x v="49"/>
    <x v="4"/>
    <s v="Pack"/>
    <n v="78"/>
    <n v="37"/>
    <n v="63"/>
    <n v="51000"/>
    <x v="0"/>
    <n v="126"/>
    <n v="142"/>
    <n v="62"/>
    <x v="1"/>
    <n v="3162000"/>
    <n v="62"/>
    <n v="0"/>
    <x v="9"/>
    <x v="0"/>
  </r>
  <r>
    <s v="SKU0446"/>
    <x v="48"/>
    <x v="4"/>
    <s v="Pcs"/>
    <n v="231"/>
    <n v="46"/>
    <n v="57"/>
    <n v="29000"/>
    <x v="26"/>
    <n v="89"/>
    <n v="113"/>
    <n v="207"/>
    <x v="0"/>
    <n v="6003000"/>
    <n v="204"/>
    <n v="-3"/>
    <x v="8"/>
    <x v="2"/>
  </r>
  <r>
    <s v="SKU0447"/>
    <x v="41"/>
    <x v="4"/>
    <s v="Pack"/>
    <n v="73"/>
    <n v="48"/>
    <n v="65"/>
    <n v="34000"/>
    <x v="12"/>
    <n v="132"/>
    <n v="38"/>
    <n v="167"/>
    <x v="0"/>
    <n v="5678000"/>
    <n v="167"/>
    <n v="0"/>
    <x v="6"/>
    <x v="0"/>
  </r>
  <r>
    <s v="SKU0448"/>
    <x v="49"/>
    <x v="4"/>
    <s v="Pack"/>
    <n v="116"/>
    <n v="29"/>
    <n v="48"/>
    <n v="55000"/>
    <x v="19"/>
    <n v="67"/>
    <n v="303"/>
    <n v="-120"/>
    <x v="2"/>
    <n v="-6600000"/>
    <n v="0"/>
    <n v="0"/>
    <x v="9"/>
    <x v="0"/>
  </r>
  <r>
    <s v="SKU0449"/>
    <x v="43"/>
    <x v="4"/>
    <s v="Roll"/>
    <n v="201"/>
    <n v="22"/>
    <n v="50"/>
    <n v="21000"/>
    <x v="36"/>
    <n v="126"/>
    <n v="184"/>
    <n v="143"/>
    <x v="0"/>
    <n v="3003000"/>
    <n v="146"/>
    <n v="3"/>
    <x v="2"/>
    <x v="1"/>
  </r>
  <r>
    <s v="SKU0450"/>
    <x v="41"/>
    <x v="4"/>
    <s v="Pack"/>
    <n v="10"/>
    <n v="10"/>
    <n v="38"/>
    <n v="26000"/>
    <x v="19"/>
    <n v="155"/>
    <n v="105"/>
    <n v="60"/>
    <x v="0"/>
    <n v="1560000"/>
    <n v="57"/>
    <n v="-3"/>
    <x v="6"/>
    <x v="2"/>
  </r>
  <r>
    <s v="SKU0451"/>
    <x v="40"/>
    <x v="4"/>
    <s v="Pcs"/>
    <n v="65"/>
    <n v="32"/>
    <n v="43"/>
    <n v="146000"/>
    <x v="92"/>
    <n v="98"/>
    <n v="0"/>
    <n v="163"/>
    <x v="0"/>
    <n v="23798000"/>
    <n v="163"/>
    <n v="0"/>
    <x v="6"/>
    <x v="0"/>
  </r>
  <r>
    <s v="SKU0452"/>
    <x v="49"/>
    <x v="4"/>
    <s v="Pack"/>
    <n v="150"/>
    <n v="41"/>
    <n v="50"/>
    <n v="36000"/>
    <x v="58"/>
    <n v="254"/>
    <n v="11"/>
    <n v="393"/>
    <x v="0"/>
    <n v="14148000"/>
    <n v="392"/>
    <n v="-1"/>
    <x v="7"/>
    <x v="2"/>
  </r>
  <r>
    <s v="SKU0453"/>
    <x v="48"/>
    <x v="4"/>
    <s v="Pcs"/>
    <n v="35"/>
    <n v="45"/>
    <n v="75"/>
    <n v="14000"/>
    <x v="80"/>
    <n v="174"/>
    <n v="134"/>
    <n v="75"/>
    <x v="1"/>
    <n v="1050000"/>
    <n v="74"/>
    <n v="-1"/>
    <x v="6"/>
    <x v="2"/>
  </r>
  <r>
    <s v="SKU0454"/>
    <x v="46"/>
    <x v="4"/>
    <s v="Pcs"/>
    <n v="126"/>
    <n v="5"/>
    <n v="31"/>
    <n v="91000"/>
    <x v="79"/>
    <n v="81"/>
    <n v="206"/>
    <n v="1"/>
    <x v="3"/>
    <n v="91000"/>
    <n v="1"/>
    <n v="0"/>
    <x v="0"/>
    <x v="0"/>
  </r>
  <r>
    <s v="SKU0455"/>
    <x v="49"/>
    <x v="4"/>
    <s v="Pack"/>
    <n v="233"/>
    <n v="22"/>
    <n v="58"/>
    <n v="25000"/>
    <x v="67"/>
    <n v="49"/>
    <n v="167"/>
    <n v="115"/>
    <x v="0"/>
    <n v="2875000"/>
    <n v="115"/>
    <n v="0"/>
    <x v="2"/>
    <x v="0"/>
  </r>
  <r>
    <s v="SKU0456"/>
    <x v="41"/>
    <x v="4"/>
    <s v="Pack"/>
    <n v="241"/>
    <n v="46"/>
    <n v="60"/>
    <n v="29000"/>
    <x v="62"/>
    <n v="193"/>
    <n v="214"/>
    <n v="220"/>
    <x v="0"/>
    <n v="6380000"/>
    <n v="220"/>
    <n v="0"/>
    <x v="1"/>
    <x v="0"/>
  </r>
  <r>
    <s v="SKU0457"/>
    <x v="45"/>
    <x v="4"/>
    <s v="Pack"/>
    <n v="177"/>
    <n v="10"/>
    <n v="44"/>
    <n v="42000"/>
    <x v="88"/>
    <n v="277"/>
    <n v="144"/>
    <n v="310"/>
    <x v="0"/>
    <n v="13020000"/>
    <n v="310"/>
    <n v="0"/>
    <x v="9"/>
    <x v="0"/>
  </r>
  <r>
    <s v="SKU0458"/>
    <x v="42"/>
    <x v="4"/>
    <s v="Pcs"/>
    <n v="43"/>
    <n v="42"/>
    <n v="54"/>
    <n v="14000"/>
    <x v="77"/>
    <n v="171"/>
    <n v="146"/>
    <n v="68"/>
    <x v="0"/>
    <n v="952000"/>
    <n v="67"/>
    <n v="-1"/>
    <x v="4"/>
    <x v="2"/>
  </r>
  <r>
    <s v="SKU0459"/>
    <x v="48"/>
    <x v="4"/>
    <s v="Pcs"/>
    <n v="188"/>
    <n v="26"/>
    <n v="47"/>
    <n v="12000"/>
    <x v="79"/>
    <n v="69"/>
    <n v="152"/>
    <n v="105"/>
    <x v="0"/>
    <n v="1260000"/>
    <n v="102"/>
    <n v="-3"/>
    <x v="5"/>
    <x v="2"/>
  </r>
  <r>
    <s v="SKU0460"/>
    <x v="42"/>
    <x v="4"/>
    <s v="Pcs"/>
    <n v="68"/>
    <n v="29"/>
    <n v="36"/>
    <n v="14000"/>
    <x v="4"/>
    <n v="220"/>
    <n v="45"/>
    <n v="243"/>
    <x v="0"/>
    <n v="3402000"/>
    <n v="242"/>
    <n v="-1"/>
    <x v="9"/>
    <x v="2"/>
  </r>
  <r>
    <s v="SKU0461"/>
    <x v="41"/>
    <x v="4"/>
    <s v="Pack"/>
    <n v="45"/>
    <n v="29"/>
    <n v="58"/>
    <n v="17000"/>
    <x v="70"/>
    <n v="69"/>
    <n v="163"/>
    <n v="-49"/>
    <x v="2"/>
    <n v="-833000"/>
    <n v="0"/>
    <n v="0"/>
    <x v="8"/>
    <x v="0"/>
  </r>
  <r>
    <s v="SKU0462"/>
    <x v="40"/>
    <x v="4"/>
    <s v="Pcs"/>
    <n v="154"/>
    <n v="5"/>
    <n v="38"/>
    <n v="180000"/>
    <x v="30"/>
    <n v="17"/>
    <n v="114"/>
    <n v="57"/>
    <x v="0"/>
    <n v="10260000"/>
    <n v="57"/>
    <n v="0"/>
    <x v="8"/>
    <x v="0"/>
  </r>
  <r>
    <s v="SKU0463"/>
    <x v="45"/>
    <x v="4"/>
    <s v="Pack"/>
    <n v="201"/>
    <n v="14"/>
    <n v="50"/>
    <n v="55000"/>
    <x v="77"/>
    <n v="218"/>
    <n v="7"/>
    <n v="412"/>
    <x v="0"/>
    <n v="22660000"/>
    <n v="410"/>
    <n v="-2"/>
    <x v="7"/>
    <x v="2"/>
  </r>
  <r>
    <s v="SKU0464"/>
    <x v="45"/>
    <x v="4"/>
    <s v="Pack"/>
    <n v="239"/>
    <n v="11"/>
    <n v="59"/>
    <n v="20000"/>
    <x v="24"/>
    <n v="110"/>
    <n v="117"/>
    <n v="232"/>
    <x v="0"/>
    <n v="4640000"/>
    <n v="229"/>
    <n v="-3"/>
    <x v="9"/>
    <x v="2"/>
  </r>
  <r>
    <s v="SKU0465"/>
    <x v="41"/>
    <x v="4"/>
    <s v="Pack"/>
    <n v="90"/>
    <n v="13"/>
    <n v="25"/>
    <n v="21000"/>
    <x v="70"/>
    <n v="72"/>
    <n v="183"/>
    <n v="-21"/>
    <x v="2"/>
    <n v="-441000"/>
    <n v="0"/>
    <n v="0"/>
    <x v="3"/>
    <x v="0"/>
  </r>
  <r>
    <s v="SKU0466"/>
    <x v="45"/>
    <x v="4"/>
    <s v="Pack"/>
    <n v="163"/>
    <n v="43"/>
    <n v="71"/>
    <n v="50000"/>
    <x v="32"/>
    <n v="165"/>
    <n v="115"/>
    <n v="213"/>
    <x v="0"/>
    <n v="10650000"/>
    <n v="213"/>
    <n v="0"/>
    <x v="7"/>
    <x v="0"/>
  </r>
  <r>
    <s v="SKU0467"/>
    <x v="49"/>
    <x v="4"/>
    <s v="Pack"/>
    <n v="142"/>
    <n v="43"/>
    <n v="64"/>
    <n v="28000"/>
    <x v="13"/>
    <n v="201"/>
    <n v="61"/>
    <n v="282"/>
    <x v="0"/>
    <n v="7896000"/>
    <n v="282"/>
    <n v="0"/>
    <x v="0"/>
    <x v="0"/>
  </r>
  <r>
    <s v="SKU0468"/>
    <x v="49"/>
    <x v="4"/>
    <s v="Pack"/>
    <n v="210"/>
    <n v="20"/>
    <n v="52"/>
    <n v="18000"/>
    <x v="83"/>
    <n v="93"/>
    <n v="93"/>
    <n v="210"/>
    <x v="0"/>
    <n v="3780000"/>
    <n v="210"/>
    <n v="0"/>
    <x v="5"/>
    <x v="0"/>
  </r>
  <r>
    <s v="SKU0469"/>
    <x v="42"/>
    <x v="4"/>
    <s v="Pcs"/>
    <n v="162"/>
    <n v="9"/>
    <n v="40"/>
    <n v="50000"/>
    <x v="21"/>
    <n v="29"/>
    <n v="135"/>
    <n v="56"/>
    <x v="0"/>
    <n v="2800000"/>
    <n v="53"/>
    <n v="-3"/>
    <x v="1"/>
    <x v="2"/>
  </r>
  <r>
    <s v="SKU0470"/>
    <x v="46"/>
    <x v="4"/>
    <s v="Pcs"/>
    <n v="230"/>
    <n v="41"/>
    <n v="59"/>
    <n v="84000"/>
    <x v="20"/>
    <n v="70"/>
    <n v="87"/>
    <n v="213"/>
    <x v="0"/>
    <n v="17892000"/>
    <n v="211"/>
    <n v="-2"/>
    <x v="2"/>
    <x v="2"/>
  </r>
  <r>
    <s v="SKU0471"/>
    <x v="42"/>
    <x v="4"/>
    <s v="Pcs"/>
    <n v="14"/>
    <n v="42"/>
    <n v="49"/>
    <n v="14000"/>
    <x v="95"/>
    <n v="155"/>
    <n v="102"/>
    <n v="67"/>
    <x v="0"/>
    <n v="938000"/>
    <n v="67"/>
    <n v="0"/>
    <x v="1"/>
    <x v="0"/>
  </r>
  <r>
    <s v="SKU0472"/>
    <x v="48"/>
    <x v="4"/>
    <s v="Pcs"/>
    <n v="212"/>
    <n v="30"/>
    <n v="53"/>
    <n v="15000"/>
    <x v="73"/>
    <n v="248"/>
    <n v="54"/>
    <n v="406"/>
    <x v="0"/>
    <n v="6090000"/>
    <n v="406"/>
    <n v="0"/>
    <x v="3"/>
    <x v="0"/>
  </r>
  <r>
    <s v="SKU0473"/>
    <x v="43"/>
    <x v="4"/>
    <s v="Roll"/>
    <n v="189"/>
    <n v="30"/>
    <n v="47"/>
    <n v="18000"/>
    <x v="74"/>
    <n v="226"/>
    <n v="165"/>
    <n v="250"/>
    <x v="0"/>
    <n v="4500000"/>
    <n v="250"/>
    <n v="0"/>
    <x v="4"/>
    <x v="0"/>
  </r>
  <r>
    <s v="SKU0474"/>
    <x v="46"/>
    <x v="4"/>
    <s v="Pcs"/>
    <n v="31"/>
    <n v="24"/>
    <n v="31"/>
    <n v="70000"/>
    <x v="94"/>
    <n v="105"/>
    <n v="46"/>
    <n v="90"/>
    <x v="0"/>
    <n v="6300000"/>
    <n v="90"/>
    <n v="0"/>
    <x v="4"/>
    <x v="0"/>
  </r>
  <r>
    <s v="SKU0475"/>
    <x v="47"/>
    <x v="4"/>
    <s v="Pcs"/>
    <n v="110"/>
    <n v="42"/>
    <n v="67"/>
    <n v="128000"/>
    <x v="61"/>
    <n v="195"/>
    <n v="126"/>
    <n v="179"/>
    <x v="0"/>
    <n v="22912000"/>
    <n v="176"/>
    <n v="-3"/>
    <x v="9"/>
    <x v="2"/>
  </r>
  <r>
    <s v="SKU0476"/>
    <x v="45"/>
    <x v="4"/>
    <s v="Pack"/>
    <n v="72"/>
    <n v="10"/>
    <n v="28"/>
    <n v="18000"/>
    <x v="36"/>
    <n v="129"/>
    <n v="49"/>
    <n v="152"/>
    <x v="0"/>
    <n v="2736000"/>
    <n v="152"/>
    <n v="0"/>
    <x v="9"/>
    <x v="0"/>
  </r>
  <r>
    <s v="SKU0477"/>
    <x v="44"/>
    <x v="4"/>
    <s v="Meter"/>
    <n v="89"/>
    <n v="47"/>
    <n v="75"/>
    <n v="4000"/>
    <x v="91"/>
    <n v="134"/>
    <n v="202"/>
    <n v="21"/>
    <x v="3"/>
    <n v="84000"/>
    <n v="22"/>
    <n v="1"/>
    <x v="8"/>
    <x v="1"/>
  </r>
  <r>
    <s v="SKU0478"/>
    <x v="46"/>
    <x v="4"/>
    <s v="Pcs"/>
    <n v="12"/>
    <n v="15"/>
    <n v="35"/>
    <n v="124000"/>
    <x v="23"/>
    <n v="173"/>
    <n v="162"/>
    <n v="23"/>
    <x v="1"/>
    <n v="2852000"/>
    <n v="26"/>
    <n v="3"/>
    <x v="2"/>
    <x v="1"/>
  </r>
  <r>
    <s v="SKU0479"/>
    <x v="49"/>
    <x v="4"/>
    <s v="Pack"/>
    <n v="105"/>
    <n v="13"/>
    <n v="41"/>
    <n v="25000"/>
    <x v="22"/>
    <n v="61"/>
    <n v="230"/>
    <n v="-64"/>
    <x v="2"/>
    <n v="-1600000"/>
    <n v="0"/>
    <n v="0"/>
    <x v="3"/>
    <x v="0"/>
  </r>
  <r>
    <s v="SKU0480"/>
    <x v="48"/>
    <x v="4"/>
    <s v="Pcs"/>
    <n v="216"/>
    <n v="32"/>
    <n v="54"/>
    <n v="33000"/>
    <x v="43"/>
    <n v="113"/>
    <n v="145"/>
    <n v="184"/>
    <x v="0"/>
    <n v="6072000"/>
    <n v="187"/>
    <n v="3"/>
    <x v="4"/>
    <x v="1"/>
  </r>
  <r>
    <s v="SKU0481"/>
    <x v="44"/>
    <x v="4"/>
    <s v="Meter"/>
    <n v="29"/>
    <n v="36"/>
    <n v="55"/>
    <n v="14000"/>
    <x v="21"/>
    <n v="87"/>
    <n v="0"/>
    <n v="116"/>
    <x v="0"/>
    <n v="1624000"/>
    <n v="116"/>
    <n v="0"/>
    <x v="4"/>
    <x v="0"/>
  </r>
  <r>
    <s v="SKU0482"/>
    <x v="42"/>
    <x v="4"/>
    <s v="Pcs"/>
    <n v="52"/>
    <n v="28"/>
    <n v="38"/>
    <n v="46000"/>
    <x v="17"/>
    <n v="52"/>
    <n v="174"/>
    <n v="-70"/>
    <x v="2"/>
    <n v="-3220000"/>
    <n v="0"/>
    <n v="0"/>
    <x v="3"/>
    <x v="0"/>
  </r>
  <r>
    <s v="SKU0483"/>
    <x v="44"/>
    <x v="4"/>
    <s v="Meter"/>
    <n v="195"/>
    <n v="12"/>
    <n v="48"/>
    <n v="14000"/>
    <x v="88"/>
    <n v="46"/>
    <n v="86"/>
    <n v="155"/>
    <x v="0"/>
    <n v="2170000"/>
    <n v="155"/>
    <n v="0"/>
    <x v="4"/>
    <x v="0"/>
  </r>
  <r>
    <s v="SKU0484"/>
    <x v="48"/>
    <x v="4"/>
    <s v="Pcs"/>
    <n v="21"/>
    <n v="35"/>
    <n v="51"/>
    <n v="27000"/>
    <x v="98"/>
    <n v="134"/>
    <n v="24"/>
    <n v="131"/>
    <x v="0"/>
    <n v="3537000"/>
    <n v="131"/>
    <n v="0"/>
    <x v="5"/>
    <x v="0"/>
  </r>
  <r>
    <s v="SKU0485"/>
    <x v="48"/>
    <x v="4"/>
    <s v="Pcs"/>
    <n v="215"/>
    <n v="50"/>
    <n v="78"/>
    <n v="47000"/>
    <x v="68"/>
    <n v="2"/>
    <n v="204"/>
    <n v="13"/>
    <x v="3"/>
    <n v="611000"/>
    <n v="13"/>
    <n v="0"/>
    <x v="5"/>
    <x v="0"/>
  </r>
  <r>
    <s v="SKU0486"/>
    <x v="45"/>
    <x v="4"/>
    <s v="Pack"/>
    <n v="244"/>
    <n v="25"/>
    <n v="61"/>
    <n v="41000"/>
    <x v="89"/>
    <n v="150"/>
    <n v="83"/>
    <n v="311"/>
    <x v="0"/>
    <n v="12751000"/>
    <n v="310"/>
    <n v="-1"/>
    <x v="9"/>
    <x v="2"/>
  </r>
  <r>
    <s v="SKU0487"/>
    <x v="40"/>
    <x v="4"/>
    <s v="Pcs"/>
    <n v="182"/>
    <n v="8"/>
    <n v="45"/>
    <n v="173000"/>
    <x v="23"/>
    <n v="73"/>
    <n v="166"/>
    <n v="89"/>
    <x v="0"/>
    <n v="15397000"/>
    <n v="89"/>
    <n v="0"/>
    <x v="0"/>
    <x v="0"/>
  </r>
  <r>
    <s v="SKU0488"/>
    <x v="43"/>
    <x v="4"/>
    <s v="Roll"/>
    <n v="234"/>
    <n v="34"/>
    <n v="58"/>
    <n v="7000"/>
    <x v="72"/>
    <n v="187"/>
    <n v="258"/>
    <n v="163"/>
    <x v="0"/>
    <n v="1141000"/>
    <n v="163"/>
    <n v="0"/>
    <x v="3"/>
    <x v="0"/>
  </r>
  <r>
    <s v="SKU0489"/>
    <x v="47"/>
    <x v="4"/>
    <s v="Pcs"/>
    <n v="12"/>
    <n v="28"/>
    <n v="39"/>
    <n v="161000"/>
    <x v="76"/>
    <n v="63"/>
    <n v="62"/>
    <n v="13"/>
    <x v="3"/>
    <n v="2093000"/>
    <n v="14"/>
    <n v="1"/>
    <x v="3"/>
    <x v="1"/>
  </r>
  <r>
    <s v="SKU0490"/>
    <x v="44"/>
    <x v="4"/>
    <s v="Meter"/>
    <n v="128"/>
    <n v="28"/>
    <n v="51"/>
    <n v="7000"/>
    <x v="17"/>
    <n v="134"/>
    <n v="182"/>
    <n v="80"/>
    <x v="0"/>
    <n v="560000"/>
    <n v="79"/>
    <n v="-1"/>
    <x v="6"/>
    <x v="2"/>
  </r>
  <r>
    <s v="SKU0491"/>
    <x v="47"/>
    <x v="4"/>
    <s v="Pcs"/>
    <n v="213"/>
    <n v="20"/>
    <n v="53"/>
    <n v="239000"/>
    <x v="41"/>
    <n v="211"/>
    <n v="52"/>
    <n v="372"/>
    <x v="0"/>
    <n v="88908000"/>
    <n v="373"/>
    <n v="1"/>
    <x v="1"/>
    <x v="1"/>
  </r>
  <r>
    <s v="SKU0492"/>
    <x v="45"/>
    <x v="4"/>
    <s v="Pack"/>
    <n v="98"/>
    <n v="45"/>
    <n v="72"/>
    <n v="49000"/>
    <x v="50"/>
    <n v="132"/>
    <n v="115"/>
    <n v="115"/>
    <x v="0"/>
    <n v="5635000"/>
    <n v="114"/>
    <n v="-1"/>
    <x v="1"/>
    <x v="2"/>
  </r>
  <r>
    <s v="SKU0493"/>
    <x v="43"/>
    <x v="4"/>
    <s v="Roll"/>
    <n v="36"/>
    <n v="18"/>
    <n v="39"/>
    <n v="14000"/>
    <x v="57"/>
    <n v="247"/>
    <n v="9"/>
    <n v="274"/>
    <x v="0"/>
    <n v="3836000"/>
    <n v="271"/>
    <n v="-3"/>
    <x v="0"/>
    <x v="2"/>
  </r>
  <r>
    <s v="SKU0494"/>
    <x v="48"/>
    <x v="4"/>
    <s v="Pcs"/>
    <n v="192"/>
    <n v="22"/>
    <n v="48"/>
    <n v="21000"/>
    <x v="11"/>
    <n v="106"/>
    <n v="123"/>
    <n v="175"/>
    <x v="0"/>
    <n v="3675000"/>
    <n v="178"/>
    <n v="3"/>
    <x v="1"/>
    <x v="1"/>
  </r>
  <r>
    <s v="SKU0495"/>
    <x v="43"/>
    <x v="4"/>
    <s v="Roll"/>
    <n v="127"/>
    <n v="10"/>
    <n v="33"/>
    <n v="16000"/>
    <x v="39"/>
    <n v="170"/>
    <n v="70"/>
    <n v="227"/>
    <x v="0"/>
    <n v="3632000"/>
    <n v="224"/>
    <n v="-3"/>
    <x v="9"/>
    <x v="2"/>
  </r>
  <r>
    <s v="SKU0496"/>
    <x v="43"/>
    <x v="4"/>
    <s v="Roll"/>
    <n v="161"/>
    <n v="41"/>
    <n v="47"/>
    <n v="7000"/>
    <x v="7"/>
    <n v="146"/>
    <n v="91"/>
    <n v="216"/>
    <x v="0"/>
    <n v="1512000"/>
    <n v="216"/>
    <n v="0"/>
    <x v="5"/>
    <x v="0"/>
  </r>
  <r>
    <s v="SKU0497"/>
    <x v="45"/>
    <x v="4"/>
    <s v="Pack"/>
    <n v="76"/>
    <n v="25"/>
    <n v="55"/>
    <n v="33000"/>
    <x v="9"/>
    <n v="384"/>
    <n v="103"/>
    <n v="357"/>
    <x v="0"/>
    <n v="11781000"/>
    <n v="360"/>
    <n v="3"/>
    <x v="5"/>
    <x v="1"/>
  </r>
  <r>
    <s v="SKU0498"/>
    <x v="41"/>
    <x v="4"/>
    <s v="Pack"/>
    <n v="79"/>
    <n v="19"/>
    <n v="26"/>
    <n v="22000"/>
    <x v="0"/>
    <n v="149"/>
    <n v="152"/>
    <n v="76"/>
    <x v="0"/>
    <n v="1672000"/>
    <n v="76"/>
    <n v="0"/>
    <x v="0"/>
    <x v="0"/>
  </r>
  <r>
    <s v="SKU0499"/>
    <x v="40"/>
    <x v="4"/>
    <s v="Pcs"/>
    <n v="37"/>
    <n v="15"/>
    <n v="34"/>
    <n v="84000"/>
    <x v="55"/>
    <n v="63"/>
    <n v="91"/>
    <n v="9"/>
    <x v="3"/>
    <n v="756000"/>
    <n v="7"/>
    <n v="-2"/>
    <x v="6"/>
    <x v="2"/>
  </r>
  <r>
    <s v="SKU0500"/>
    <x v="40"/>
    <x v="4"/>
    <s v="Pcs"/>
    <n v="207"/>
    <n v="18"/>
    <n v="51"/>
    <n v="136000"/>
    <x v="53"/>
    <n v="367"/>
    <n v="146"/>
    <n v="428"/>
    <x v="0"/>
    <n v="58208000"/>
    <n v="427"/>
    <n v="-1"/>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EF246E-2677-4773-8BFF-9EA18F519F5C}"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1">
  <location ref="E11:F15" firstHeaderRow="1" firstDataRow="1" firstDataCol="1"/>
  <pivotFields count="17">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4"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4">
        <item x="0"/>
        <item x="1"/>
        <item x="2"/>
        <item x="3"/>
      </items>
    </pivotField>
    <pivotField compact="0" numFmtId="164" outline="0" showAll="0" defaultSubtotal="0"/>
    <pivotField compact="0" outline="0" showAll="0" defaultSubtotal="0"/>
    <pivotField compact="0" outline="0" showAll="0" defaultSubtotal="0"/>
    <pivotField compact="0" outline="0" showAll="0" defaultSubtotal="0"/>
  </pivotFields>
  <rowFields count="1">
    <field x="12"/>
  </rowFields>
  <rowItems count="4">
    <i>
      <x/>
    </i>
    <i>
      <x v="1"/>
    </i>
    <i>
      <x v="2"/>
    </i>
    <i>
      <x v="3"/>
    </i>
  </rowItems>
  <colItems count="1">
    <i/>
  </colItems>
  <dataFields count="1">
    <dataField name="Count of SKU Code" fld="0" subtotal="count" baseField="0" baseItem="0"/>
  </dataFields>
  <chartFormats count="10">
    <chartFormat chart="37" format="5" series="1">
      <pivotArea type="data" outline="0" fieldPosition="0">
        <references count="1">
          <reference field="4294967294" count="1" selected="0">
            <x v="0"/>
          </reference>
        </references>
      </pivotArea>
    </chartFormat>
    <chartFormat chart="37" format="6">
      <pivotArea type="data" outline="0" fieldPosition="0">
        <references count="2">
          <reference field="4294967294" count="1" selected="0">
            <x v="0"/>
          </reference>
          <reference field="12" count="1" selected="0">
            <x v="0"/>
          </reference>
        </references>
      </pivotArea>
    </chartFormat>
    <chartFormat chart="37" format="7">
      <pivotArea type="data" outline="0" fieldPosition="0">
        <references count="2">
          <reference field="4294967294" count="1" selected="0">
            <x v="0"/>
          </reference>
          <reference field="12" count="1" selected="0">
            <x v="1"/>
          </reference>
        </references>
      </pivotArea>
    </chartFormat>
    <chartFormat chart="37" format="8">
      <pivotArea type="data" outline="0" fieldPosition="0">
        <references count="2">
          <reference field="4294967294" count="1" selected="0">
            <x v="0"/>
          </reference>
          <reference field="12" count="1" selected="0">
            <x v="2"/>
          </reference>
        </references>
      </pivotArea>
    </chartFormat>
    <chartFormat chart="37" format="9">
      <pivotArea type="data" outline="0" fieldPosition="0">
        <references count="2">
          <reference field="4294967294" count="1" selected="0">
            <x v="0"/>
          </reference>
          <reference field="12" count="1" selected="0">
            <x v="3"/>
          </reference>
        </references>
      </pivotArea>
    </chartFormat>
    <chartFormat chart="40" format="10" series="1">
      <pivotArea type="data" outline="0" fieldPosition="0">
        <references count="1">
          <reference field="4294967294" count="1" selected="0">
            <x v="0"/>
          </reference>
        </references>
      </pivotArea>
    </chartFormat>
    <chartFormat chart="40" format="11">
      <pivotArea type="data" outline="0" fieldPosition="0">
        <references count="2">
          <reference field="4294967294" count="1" selected="0">
            <x v="0"/>
          </reference>
          <reference field="12" count="1" selected="0">
            <x v="0"/>
          </reference>
        </references>
      </pivotArea>
    </chartFormat>
    <chartFormat chart="40" format="12">
      <pivotArea type="data" outline="0" fieldPosition="0">
        <references count="2">
          <reference field="4294967294" count="1" selected="0">
            <x v="0"/>
          </reference>
          <reference field="12" count="1" selected="0">
            <x v="1"/>
          </reference>
        </references>
      </pivotArea>
    </chartFormat>
    <chartFormat chart="40" format="13">
      <pivotArea type="data" outline="0" fieldPosition="0">
        <references count="2">
          <reference field="4294967294" count="1" selected="0">
            <x v="0"/>
          </reference>
          <reference field="12" count="1" selected="0">
            <x v="2"/>
          </reference>
        </references>
      </pivotArea>
    </chartFormat>
    <chartFormat chart="40" format="14">
      <pivotArea type="data" outline="0" fieldPosition="0">
        <references count="2">
          <reference field="4294967294" count="1" selected="0">
            <x v="0"/>
          </reference>
          <reference field="12" count="1" selected="0">
            <x v="3"/>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67BF76-B322-4C03-97A3-D8428E2FEA1D}" name="PivotTable3"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8">
  <location ref="E3:H9" firstHeaderRow="1" firstDataRow="2" firstDataCol="1"/>
  <pivotFields count="18">
    <pivotField dataField="1" compact="0" outline="0" showAll="0" defaultSubtotal="0"/>
    <pivotField compact="0" outline="0" showAll="0" defaultSubtotal="0">
      <items count="50">
        <item x="20"/>
        <item x="6"/>
        <item x="26"/>
        <item x="45"/>
        <item x="49"/>
        <item x="39"/>
        <item x="41"/>
        <item x="32"/>
        <item x="47"/>
        <item x="14"/>
        <item x="43"/>
        <item x="46"/>
        <item x="33"/>
        <item x="21"/>
        <item x="10"/>
        <item x="1"/>
        <item x="5"/>
        <item x="0"/>
        <item x="30"/>
        <item x="3"/>
        <item x="48"/>
        <item x="24"/>
        <item x="13"/>
        <item x="8"/>
        <item x="4"/>
        <item x="44"/>
        <item x="28"/>
        <item x="34"/>
        <item x="35"/>
        <item x="17"/>
        <item x="42"/>
        <item x="31"/>
        <item x="40"/>
        <item x="12"/>
        <item x="29"/>
        <item x="11"/>
        <item x="15"/>
        <item x="19"/>
        <item x="18"/>
        <item x="16"/>
        <item x="27"/>
        <item x="25"/>
        <item x="23"/>
        <item x="36"/>
        <item x="37"/>
        <item x="22"/>
        <item x="9"/>
        <item x="7"/>
        <item x="2"/>
        <item x="38"/>
      </items>
    </pivotField>
    <pivotField axis="axisRow" compact="0" outline="0" showAll="0" defaultSubtotal="0">
      <items count="5">
        <item x="0"/>
        <item x="1"/>
        <item x="4"/>
        <item x="2"/>
        <item x="3"/>
      </items>
    </pivotField>
    <pivotField compact="0" outline="0" showAll="0" defaultSubtotal="0"/>
    <pivotField compact="0" outline="0" showAll="0" defaultSubtotal="0"/>
    <pivotField compact="0" outline="0" showAll="0" defaultSubtotal="0"/>
    <pivotField compact="0" outline="0" showAll="0" defaultSubtotal="0"/>
    <pivotField compact="0" numFmtId="164" outline="0" showAll="0" defaultSubtotal="0"/>
    <pivotField compact="0" outline="0" showAll="0" defaultSubtotal="0">
      <items count="99">
        <item x="88"/>
        <item x="64"/>
        <item x="80"/>
        <item x="44"/>
        <item x="42"/>
        <item x="5"/>
        <item x="52"/>
        <item x="28"/>
        <item x="43"/>
        <item x="37"/>
        <item x="35"/>
        <item x="1"/>
        <item x="75"/>
        <item x="4"/>
        <item x="83"/>
        <item x="91"/>
        <item x="87"/>
        <item x="0"/>
        <item x="12"/>
        <item x="98"/>
        <item x="78"/>
        <item x="90"/>
        <item x="69"/>
        <item x="59"/>
        <item x="47"/>
        <item x="93"/>
        <item x="94"/>
        <item x="65"/>
        <item x="68"/>
        <item x="11"/>
        <item x="40"/>
        <item x="26"/>
        <item x="67"/>
        <item x="95"/>
        <item x="92"/>
        <item x="8"/>
        <item x="32"/>
        <item x="6"/>
        <item x="86"/>
        <item x="61"/>
        <item x="55"/>
        <item x="72"/>
        <item x="50"/>
        <item x="60"/>
        <item x="63"/>
        <item x="27"/>
        <item x="21"/>
        <item x="84"/>
        <item x="10"/>
        <item x="45"/>
        <item x="62"/>
        <item x="34"/>
        <item x="41"/>
        <item x="57"/>
        <item x="54"/>
        <item x="30"/>
        <item x="29"/>
        <item x="36"/>
        <item x="53"/>
        <item x="49"/>
        <item x="96"/>
        <item x="58"/>
        <item x="14"/>
        <item x="39"/>
        <item x="33"/>
        <item x="23"/>
        <item x="85"/>
        <item x="74"/>
        <item x="20"/>
        <item x="16"/>
        <item x="66"/>
        <item x="76"/>
        <item x="89"/>
        <item x="71"/>
        <item x="24"/>
        <item x="15"/>
        <item x="48"/>
        <item x="38"/>
        <item x="46"/>
        <item x="73"/>
        <item x="19"/>
        <item x="70"/>
        <item x="82"/>
        <item x="7"/>
        <item x="25"/>
        <item x="81"/>
        <item x="77"/>
        <item x="79"/>
        <item x="9"/>
        <item x="56"/>
        <item x="2"/>
        <item x="18"/>
        <item x="22"/>
        <item x="97"/>
        <item x="13"/>
        <item x="31"/>
        <item x="3"/>
        <item x="17"/>
        <item x="51"/>
      </items>
    </pivotField>
    <pivotField compact="0" outline="0" showAll="0" defaultSubtotal="0"/>
    <pivotField compact="0" outline="0" showAll="0" defaultSubtotal="0"/>
    <pivotField compact="0" outline="0" showAll="0" defaultSubtotal="0"/>
    <pivotField compact="0" outline="0" showAll="0" defaultSubtotal="0">
      <items count="4">
        <item x="0"/>
        <item x="1"/>
        <item x="2"/>
        <item x="3"/>
      </items>
    </pivotField>
    <pivotField compact="0" numFmtId="164" outline="0" showAll="0" defaultSubtotal="0"/>
    <pivotField compact="0" outline="0" showAll="0" defaultSubtotal="0"/>
    <pivotField compact="0" outline="0" showAll="0" defaultSubtotal="0"/>
    <pivotField compact="0" outline="0" showAll="0" defaultSubtotal="0">
      <items count="10">
        <item x="2"/>
        <item x="6"/>
        <item x="9"/>
        <item x="0"/>
        <item x="3"/>
        <item x="5"/>
        <item x="4"/>
        <item x="8"/>
        <item x="7"/>
        <item x="1"/>
      </items>
    </pivotField>
    <pivotField axis="axisCol" compact="0" outline="0" showAll="0" defaultSubtotal="0">
      <items count="3">
        <item x="0"/>
        <item x="2"/>
        <item x="1"/>
      </items>
    </pivotField>
  </pivotFields>
  <rowFields count="1">
    <field x="2"/>
  </rowFields>
  <rowItems count="5">
    <i>
      <x/>
    </i>
    <i>
      <x v="1"/>
    </i>
    <i>
      <x v="2"/>
    </i>
    <i>
      <x v="3"/>
    </i>
    <i>
      <x v="4"/>
    </i>
  </rowItems>
  <colFields count="1">
    <field x="17"/>
  </colFields>
  <colItems count="3">
    <i>
      <x/>
    </i>
    <i>
      <x v="1"/>
    </i>
    <i>
      <x v="2"/>
    </i>
  </colItems>
  <dataFields count="1">
    <dataField name="Count of SKU Code" fld="0" subtotal="count" baseField="0" baseItem="0"/>
  </dataFields>
  <chartFormats count="4">
    <chartFormat chart="7" format="17" series="1">
      <pivotArea type="data" outline="0" fieldPosition="0">
        <references count="2">
          <reference field="4294967294" count="1" selected="0">
            <x v="0"/>
          </reference>
          <reference field="17" count="1" selected="0">
            <x v="0"/>
          </reference>
        </references>
      </pivotArea>
    </chartFormat>
    <chartFormat chart="7" format="18" series="1">
      <pivotArea type="data" outline="0" fieldPosition="0">
        <references count="2">
          <reference field="4294967294" count="1" selected="0">
            <x v="0"/>
          </reference>
          <reference field="17" count="1" selected="0">
            <x v="1"/>
          </reference>
        </references>
      </pivotArea>
    </chartFormat>
    <chartFormat chart="7" format="19" series="1">
      <pivotArea type="data" outline="0" fieldPosition="0">
        <references count="2">
          <reference field="4294967294" count="1" selected="0">
            <x v="0"/>
          </reference>
          <reference field="17" count="1" selected="0">
            <x v="2"/>
          </reference>
        </references>
      </pivotArea>
    </chartFormat>
    <chartFormat chart="7" format="20"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141692-E54E-4132-8D3C-D9B313BEC92A}" name="PivotTable2"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7">
  <location ref="A11:C110" firstHeaderRow="0" firstDataRow="1" firstDataCol="1"/>
  <pivotFields count="18">
    <pivotField compact="0" outline="0" showAll="0" defaultSubtotal="0"/>
    <pivotField compact="0" outline="0" showAll="0" defaultSubtotal="0">
      <items count="50">
        <item x="20"/>
        <item x="6"/>
        <item x="26"/>
        <item x="45"/>
        <item x="49"/>
        <item x="39"/>
        <item x="41"/>
        <item x="32"/>
        <item x="47"/>
        <item x="14"/>
        <item x="43"/>
        <item x="46"/>
        <item x="33"/>
        <item x="21"/>
        <item x="10"/>
        <item x="1"/>
        <item x="5"/>
        <item x="0"/>
        <item x="30"/>
        <item x="3"/>
        <item x="48"/>
        <item x="24"/>
        <item x="13"/>
        <item x="8"/>
        <item x="4"/>
        <item x="44"/>
        <item x="28"/>
        <item x="34"/>
        <item x="35"/>
        <item x="17"/>
        <item x="42"/>
        <item x="31"/>
        <item x="40"/>
        <item x="12"/>
        <item x="29"/>
        <item x="11"/>
        <item x="15"/>
        <item x="19"/>
        <item x="18"/>
        <item x="16"/>
        <item x="27"/>
        <item x="25"/>
        <item x="23"/>
        <item x="36"/>
        <item x="37"/>
        <item x="22"/>
        <item x="9"/>
        <item x="7"/>
        <item x="2"/>
        <item x="38"/>
      </items>
    </pivotField>
    <pivotField compact="0" outline="0" showAll="0" defaultSubtotal="0">
      <items count="5">
        <item x="0"/>
        <item x="1"/>
        <item x="4"/>
        <item x="2"/>
        <item x="3"/>
      </items>
    </pivotField>
    <pivotField compact="0" outline="0" showAll="0" defaultSubtotal="0"/>
    <pivotField compact="0" outline="0" showAll="0" defaultSubtotal="0"/>
    <pivotField compact="0" outline="0" showAll="0" defaultSubtotal="0"/>
    <pivotField compact="0" outline="0" showAll="0" defaultSubtotal="0"/>
    <pivotField compact="0" numFmtId="164" outline="0" showAll="0" defaultSubtotal="0"/>
    <pivotField axis="axisRow" compact="0" outline="0" showAll="0" defaultSubtotal="0">
      <items count="99">
        <item x="88"/>
        <item x="64"/>
        <item x="80"/>
        <item x="44"/>
        <item x="42"/>
        <item x="5"/>
        <item x="52"/>
        <item x="28"/>
        <item x="43"/>
        <item x="37"/>
        <item x="35"/>
        <item x="1"/>
        <item x="75"/>
        <item x="4"/>
        <item x="83"/>
        <item x="91"/>
        <item x="87"/>
        <item x="0"/>
        <item x="12"/>
        <item x="98"/>
        <item x="78"/>
        <item x="90"/>
        <item x="69"/>
        <item x="59"/>
        <item x="47"/>
        <item x="93"/>
        <item x="94"/>
        <item x="65"/>
        <item x="68"/>
        <item x="11"/>
        <item x="40"/>
        <item x="26"/>
        <item x="67"/>
        <item x="95"/>
        <item x="92"/>
        <item x="8"/>
        <item x="32"/>
        <item x="6"/>
        <item x="86"/>
        <item x="61"/>
        <item x="55"/>
        <item x="72"/>
        <item x="50"/>
        <item x="60"/>
        <item x="63"/>
        <item x="27"/>
        <item x="21"/>
        <item x="84"/>
        <item x="10"/>
        <item x="45"/>
        <item x="62"/>
        <item x="34"/>
        <item x="41"/>
        <item x="57"/>
        <item x="54"/>
        <item x="30"/>
        <item x="29"/>
        <item x="36"/>
        <item x="53"/>
        <item x="49"/>
        <item x="96"/>
        <item x="58"/>
        <item x="14"/>
        <item x="39"/>
        <item x="33"/>
        <item x="23"/>
        <item x="85"/>
        <item x="74"/>
        <item x="20"/>
        <item x="16"/>
        <item x="66"/>
        <item x="76"/>
        <item x="89"/>
        <item x="71"/>
        <item x="24"/>
        <item x="15"/>
        <item x="48"/>
        <item x="38"/>
        <item x="46"/>
        <item x="73"/>
        <item x="19"/>
        <item x="70"/>
        <item x="82"/>
        <item x="7"/>
        <item x="25"/>
        <item x="81"/>
        <item x="77"/>
        <item x="79"/>
        <item x="9"/>
        <item x="56"/>
        <item x="2"/>
        <item x="18"/>
        <item x="22"/>
        <item x="97"/>
        <item x="13"/>
        <item x="31"/>
        <item x="3"/>
        <item x="17"/>
        <item x="51"/>
      </items>
    </pivotField>
    <pivotField dataField="1" compact="0" outline="0" showAll="0" defaultSubtotal="0"/>
    <pivotField dataField="1" compact="0" outline="0" showAll="0" defaultSubtotal="0"/>
    <pivotField compact="0" outline="0" showAll="0" defaultSubtotal="0"/>
    <pivotField compact="0" outline="0" showAll="0" defaultSubtotal="0">
      <items count="4">
        <item x="0"/>
        <item x="1"/>
        <item x="2"/>
        <item x="3"/>
      </items>
    </pivotField>
    <pivotField compact="0" numFmtId="164" outline="0" showAll="0" defaultSubtotal="0"/>
    <pivotField compact="0" outline="0" showAll="0" defaultSubtotal="0"/>
    <pivotField compact="0" outline="0" showAll="0" defaultSubtotal="0"/>
    <pivotField compact="0" outline="0" subtotalTop="0" showAll="0" defaultSubtotal="0">
      <items count="10">
        <item x="2"/>
        <item x="6"/>
        <item x="9"/>
        <item x="0"/>
        <item x="3"/>
        <item x="5"/>
        <item x="4"/>
        <item x="8"/>
        <item x="7"/>
        <item x="1"/>
      </items>
    </pivotField>
    <pivotField compact="0" outline="0" subtotalTop="0" showAll="0" defaultSubtotal="0"/>
  </pivotFields>
  <rowFields count="1">
    <field x="8"/>
  </rowFields>
  <rowItems count="9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rowItems>
  <colFields count="1">
    <field x="-2"/>
  </colFields>
  <colItems count="2">
    <i>
      <x/>
    </i>
    <i i="1">
      <x v="1"/>
    </i>
  </colItems>
  <dataFields count="2">
    <dataField name="Sum of Total Stock In" fld="9" baseField="0" baseItem="0"/>
    <dataField name="Sum of Total Stock Out" fld="10" baseField="0" baseItem="0"/>
  </dataField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0D2215-BA4F-4178-B5DB-60BFCD82AC83}"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2">
  <location ref="A3:B8" firstHeaderRow="1" firstDataRow="1" firstDataCol="1" rowPageCount="1" colPageCount="1"/>
  <pivotFields count="16">
    <pivotField compact="0" outline="0" showAll="0" defaultSubtotal="0"/>
    <pivotField axis="axisRow" compact="0" outline="0" showAll="0" measureFilter="1" sortType="ascending" defaultSubtotal="0">
      <items count="50">
        <item x="20"/>
        <item x="6"/>
        <item x="26"/>
        <item x="45"/>
        <item x="49"/>
        <item x="39"/>
        <item x="41"/>
        <item x="32"/>
        <item x="47"/>
        <item x="14"/>
        <item x="43"/>
        <item x="46"/>
        <item x="33"/>
        <item x="21"/>
        <item x="10"/>
        <item x="1"/>
        <item x="5"/>
        <item x="0"/>
        <item x="30"/>
        <item x="3"/>
        <item x="48"/>
        <item x="24"/>
        <item x="13"/>
        <item x="8"/>
        <item x="4"/>
        <item x="44"/>
        <item x="28"/>
        <item x="34"/>
        <item x="35"/>
        <item x="17"/>
        <item x="42"/>
        <item x="31"/>
        <item x="40"/>
        <item x="12"/>
        <item x="29"/>
        <item x="11"/>
        <item x="15"/>
        <item x="19"/>
        <item x="18"/>
        <item x="16"/>
        <item x="27"/>
        <item x="25"/>
        <item x="23"/>
        <item x="36"/>
        <item x="37"/>
        <item x="22"/>
        <item x="9"/>
        <item x="7"/>
        <item x="2"/>
        <item x="38"/>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4" outline="0" showAll="0" defaultSubtotal="0"/>
    <pivotField compact="0" outline="0" showAll="0" defaultSubtotal="0"/>
    <pivotField compact="0" outline="0" showAll="0" defaultSubtotal="0"/>
    <pivotField compact="0" outline="0" showAll="0" defaultSubtotal="0"/>
    <pivotField compact="0" outline="0" showAll="0" defaultSubtotal="0"/>
    <pivotField axis="axisPage" compact="0" outline="0" multipleItemSelectionAllowed="1" showAll="0" defaultSubtotal="0">
      <items count="4">
        <item h="1" x="0"/>
        <item h="1" x="1"/>
        <item x="2"/>
        <item x="3"/>
      </items>
    </pivotField>
    <pivotField dataField="1" compact="0" numFmtId="164" outline="0" showAll="0" defaultSubtotal="0"/>
    <pivotField compact="0" outline="0" showAll="0" defaultSubtotal="0"/>
    <pivotField compact="0" outline="0" showAll="0" defaultSubtotal="0"/>
  </pivotFields>
  <rowFields count="1">
    <field x="1"/>
  </rowFields>
  <rowItems count="5">
    <i>
      <x v="11"/>
    </i>
    <i>
      <x v="21"/>
    </i>
    <i>
      <x v="8"/>
    </i>
    <i>
      <x v="38"/>
    </i>
    <i>
      <x v="35"/>
    </i>
  </rowItems>
  <colItems count="1">
    <i/>
  </colItems>
  <pageFields count="1">
    <pageField fld="12" hier="-1"/>
  </pageFields>
  <dataFields count="1">
    <dataField name="Sum of Inventory Value (IDR)" fld="13" baseField="0" baseItem="0" numFmtId="164"/>
  </dataFields>
  <chartFormats count="1">
    <chartFormat chart="11" format="2"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259087F-E3EF-4EA6-ADB1-1DD5FAA82950}" sourceName="Category">
  <pivotTables>
    <pivotTable tabId="8" name="PivotTable2"/>
    <pivotTable tabId="8" name="PivotTable3"/>
  </pivotTables>
  <data>
    <tabular pivotCacheId="2114824910">
      <items count="5">
        <i x="0" s="1"/>
        <i x="1" s="1"/>
        <i x="4"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_Location" xr10:uid="{F355267B-B4E8-4B1F-98CA-FFF6D4407C8A}" sourceName="Warehouse Location">
  <pivotTables>
    <pivotTable tabId="8" name="PivotTable2"/>
    <pivotTable tabId="8" name="PivotTable3"/>
  </pivotTables>
  <data>
    <tabular pivotCacheId="2114824910">
      <items count="99">
        <i x="88" s="1"/>
        <i x="64" s="1"/>
        <i x="80" s="1"/>
        <i x="44" s="1"/>
        <i x="42" s="1"/>
        <i x="5" s="1"/>
        <i x="52" s="1"/>
        <i x="28" s="1"/>
        <i x="43" s="1"/>
        <i x="37" s="1"/>
        <i x="35" s="1"/>
        <i x="1" s="1"/>
        <i x="75" s="1"/>
        <i x="4" s="1"/>
        <i x="83" s="1"/>
        <i x="91" s="1"/>
        <i x="87" s="1"/>
        <i x="0" s="1"/>
        <i x="12" s="1"/>
        <i x="98" s="1"/>
        <i x="78" s="1"/>
        <i x="90" s="1"/>
        <i x="69" s="1"/>
        <i x="59" s="1"/>
        <i x="47" s="1"/>
        <i x="93" s="1"/>
        <i x="94" s="1"/>
        <i x="65" s="1"/>
        <i x="68" s="1"/>
        <i x="11" s="1"/>
        <i x="40" s="1"/>
        <i x="26" s="1"/>
        <i x="67" s="1"/>
        <i x="95" s="1"/>
        <i x="92" s="1"/>
        <i x="8" s="1"/>
        <i x="32" s="1"/>
        <i x="6" s="1"/>
        <i x="86" s="1"/>
        <i x="61" s="1"/>
        <i x="55" s="1"/>
        <i x="72" s="1"/>
        <i x="50" s="1"/>
        <i x="60" s="1"/>
        <i x="63" s="1"/>
        <i x="27" s="1"/>
        <i x="21" s="1"/>
        <i x="84" s="1"/>
        <i x="10" s="1"/>
        <i x="45" s="1"/>
        <i x="62" s="1"/>
        <i x="34" s="1"/>
        <i x="41" s="1"/>
        <i x="57" s="1"/>
        <i x="54" s="1"/>
        <i x="30" s="1"/>
        <i x="29" s="1"/>
        <i x="36" s="1"/>
        <i x="53" s="1"/>
        <i x="49" s="1"/>
        <i x="96" s="1"/>
        <i x="58" s="1"/>
        <i x="14" s="1"/>
        <i x="39" s="1"/>
        <i x="33" s="1"/>
        <i x="23" s="1"/>
        <i x="85" s="1"/>
        <i x="74" s="1"/>
        <i x="20" s="1"/>
        <i x="16" s="1"/>
        <i x="66" s="1"/>
        <i x="76" s="1"/>
        <i x="89" s="1"/>
        <i x="71" s="1"/>
        <i x="24" s="1"/>
        <i x="15" s="1"/>
        <i x="48" s="1"/>
        <i x="38" s="1"/>
        <i x="46" s="1"/>
        <i x="73" s="1"/>
        <i x="19" s="1"/>
        <i x="70" s="1"/>
        <i x="82" s="1"/>
        <i x="7" s="1"/>
        <i x="25" s="1"/>
        <i x="81" s="1"/>
        <i x="77" s="1"/>
        <i x="79" s="1"/>
        <i x="9" s="1"/>
        <i x="56" s="1"/>
        <i x="2" s="1"/>
        <i x="18" s="1"/>
        <i x="22" s="1"/>
        <i x="97" s="1"/>
        <i x="13" s="1"/>
        <i x="31" s="1"/>
        <i x="3" s="1"/>
        <i x="17" s="1"/>
        <i x="5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ck_Status" xr10:uid="{C1A034FB-1B22-4744-A3A7-8A315693B6A7}" sourceName="Stock Status">
  <pivotTables>
    <pivotTable tabId="8" name="PivotTable2"/>
    <pivotTable tabId="8" name="PivotTable3"/>
  </pivotTables>
  <data>
    <tabular pivotCacheId="2114824910">
      <items count="4">
        <i x="0"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Name" xr10:uid="{9039C3FD-621F-49A5-98F1-4192DC3FD66C}" sourceName="Supplier Name">
  <pivotTables>
    <pivotTable tabId="8" name="PivotTable2"/>
    <pivotTable tabId="8" name="PivotTable3"/>
  </pivotTables>
  <data>
    <tabular pivotCacheId="2114824910">
      <items count="10">
        <i x="2" s="1"/>
        <i x="6" s="1"/>
        <i x="9" s="1"/>
        <i x="0" s="1"/>
        <i x="3" s="1"/>
        <i x="5" s="1"/>
        <i x="4" s="1"/>
        <i x="8" s="1"/>
        <i x="7"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Name" xr10:uid="{062A1FD2-17E0-4FF9-8D54-6F42C5BB198E}" sourceName="Item Name">
  <pivotTables>
    <pivotTable tabId="8" name="PivotTable2"/>
    <pivotTable tabId="8" name="PivotTable3"/>
  </pivotTables>
  <data>
    <tabular pivotCacheId="2114824910">
      <items count="50">
        <i x="20" s="1"/>
        <i x="6" s="1"/>
        <i x="26" s="1"/>
        <i x="45" s="1"/>
        <i x="49" s="1"/>
        <i x="39" s="1"/>
        <i x="41" s="1"/>
        <i x="32" s="1"/>
        <i x="47" s="1"/>
        <i x="14" s="1"/>
        <i x="43" s="1"/>
        <i x="46" s="1"/>
        <i x="33" s="1"/>
        <i x="21" s="1"/>
        <i x="10" s="1"/>
        <i x="1" s="1"/>
        <i x="5" s="1"/>
        <i x="0" s="1"/>
        <i x="30" s="1"/>
        <i x="3" s="1"/>
        <i x="48" s="1"/>
        <i x="24" s="1"/>
        <i x="13" s="1"/>
        <i x="8" s="1"/>
        <i x="4" s="1"/>
        <i x="44" s="1"/>
        <i x="28" s="1"/>
        <i x="34" s="1"/>
        <i x="35" s="1"/>
        <i x="17" s="1"/>
        <i x="42" s="1"/>
        <i x="31" s="1"/>
        <i x="40" s="1"/>
        <i x="12" s="1"/>
        <i x="29" s="1"/>
        <i x="11" s="1"/>
        <i x="15" s="1"/>
        <i x="19" s="1"/>
        <i x="18" s="1"/>
        <i x="16" s="1"/>
        <i x="27" s="1"/>
        <i x="25" s="1"/>
        <i x="23" s="1"/>
        <i x="36" s="1"/>
        <i x="37" s="1"/>
        <i x="22" s="1"/>
        <i x="9" s="1"/>
        <i x="7" s="1"/>
        <i x="2" s="1"/>
        <i x="3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493C286-BD4B-4FD0-851A-32EA2A0C9834}" cache="Slicer_Category" caption="Category" style="purple" rowHeight="241300"/>
  <slicer name="Warehouse Location" xr10:uid="{7F5603DA-5039-4F5E-A688-6DCE0D4A14A0}" cache="Slicer_Warehouse_Location" caption="Warehouse Location" style="purple" rowHeight="241300"/>
  <slicer name="Stock Status" xr10:uid="{C87F6D29-AED1-4C81-8F26-2274FDC4DA45}" cache="Slicer_Stock_Status" caption="Stock Status" style="purple" rowHeight="241300"/>
  <slicer name="Supplier Name" xr10:uid="{54584758-042E-41F7-A94D-B8FA1E26C3E8}" cache="Slicer_Supplier_Name" caption="Supplier Name" style="purple" rowHeight="241300"/>
  <slicer name="Item Name" xr10:uid="{6EC72884-A0B4-44D9-97C0-B9323A0C19BC}" cache="Slicer_Item_Name" caption="Item Name" style="purpl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6.bin"/><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B99B0-0156-454F-97D6-A37BBE79302B}">
  <sheetPr>
    <pageSetUpPr fitToPage="1"/>
  </sheetPr>
  <dimension ref="A1:AI63"/>
  <sheetViews>
    <sheetView tabSelected="1" topLeftCell="B1" zoomScale="40" zoomScaleNormal="40" workbookViewId="0">
      <selection activeCell="AQ25" sqref="A1:XFD1048576"/>
    </sheetView>
  </sheetViews>
  <sheetFormatPr defaultRowHeight="15" x14ac:dyDescent="0.25"/>
  <cols>
    <col min="13" max="13" width="7" customWidth="1"/>
    <col min="21" max="22" width="7.5703125" customWidth="1"/>
  </cols>
  <sheetData>
    <row r="1" spans="1:35" x14ac:dyDescent="0.25">
      <c r="A1" s="8"/>
      <c r="B1" s="8"/>
      <c r="C1" s="8"/>
      <c r="D1" s="8"/>
      <c r="AE1" s="8"/>
      <c r="AF1" s="8"/>
      <c r="AG1" s="8"/>
      <c r="AH1" s="7"/>
    </row>
    <row r="5" spans="1:35" s="8" customFormat="1" x14ac:dyDescent="0.25"/>
    <row r="6" spans="1:35" x14ac:dyDescent="0.25">
      <c r="A6" s="7"/>
      <c r="B6" s="7"/>
      <c r="C6" s="7"/>
      <c r="D6" s="7"/>
      <c r="E6" s="10" t="s">
        <v>8514</v>
      </c>
      <c r="F6" s="10"/>
      <c r="G6" s="10"/>
      <c r="H6" s="10"/>
      <c r="I6" s="10"/>
      <c r="J6" s="10"/>
      <c r="K6" s="8"/>
      <c r="L6" s="10" t="s">
        <v>8515</v>
      </c>
      <c r="M6" s="10"/>
      <c r="N6" s="10"/>
      <c r="O6" s="10"/>
      <c r="P6" s="10"/>
      <c r="Q6" s="10"/>
      <c r="R6" s="8"/>
      <c r="S6" s="11" t="s">
        <v>8507</v>
      </c>
      <c r="T6" s="12"/>
      <c r="U6" s="12"/>
      <c r="V6" s="12"/>
      <c r="W6" s="12"/>
      <c r="X6" s="12"/>
      <c r="Y6" s="8"/>
      <c r="Z6" s="10" t="s">
        <v>8516</v>
      </c>
      <c r="AA6" s="13"/>
      <c r="AB6" s="13"/>
      <c r="AC6" s="13"/>
      <c r="AD6" s="13"/>
      <c r="AE6" s="13"/>
      <c r="AF6" s="7"/>
      <c r="AG6" s="7"/>
      <c r="AH6" s="7"/>
      <c r="AI6" s="7"/>
    </row>
    <row r="7" spans="1:35" x14ac:dyDescent="0.25">
      <c r="A7" s="7"/>
      <c r="B7" s="7"/>
      <c r="C7" s="7"/>
      <c r="D7" s="7"/>
      <c r="E7" s="10"/>
      <c r="F7" s="10"/>
      <c r="G7" s="10"/>
      <c r="H7" s="10"/>
      <c r="I7" s="10"/>
      <c r="J7" s="10"/>
      <c r="K7" s="8"/>
      <c r="L7" s="10"/>
      <c r="M7" s="10"/>
      <c r="N7" s="10"/>
      <c r="O7" s="10"/>
      <c r="P7" s="10"/>
      <c r="Q7" s="10"/>
      <c r="R7" s="8"/>
      <c r="S7" s="12"/>
      <c r="T7" s="12"/>
      <c r="U7" s="12"/>
      <c r="V7" s="12"/>
      <c r="W7" s="12"/>
      <c r="X7" s="12"/>
      <c r="Y7" s="8"/>
      <c r="Z7" s="13"/>
      <c r="AA7" s="13"/>
      <c r="AB7" s="13"/>
      <c r="AC7" s="13"/>
      <c r="AD7" s="13"/>
      <c r="AE7" s="13"/>
      <c r="AF7" s="7"/>
      <c r="AG7" s="7"/>
      <c r="AH7" s="7"/>
      <c r="AI7" s="7"/>
    </row>
    <row r="8" spans="1:35" x14ac:dyDescent="0.25">
      <c r="A8" s="7"/>
      <c r="B8" s="7"/>
      <c r="C8" s="7"/>
      <c r="D8" s="7"/>
      <c r="E8" s="14">
        <f>COUNTA('CURRENT STOCK'!A2:A501)</f>
        <v>500</v>
      </c>
      <c r="F8" s="14"/>
      <c r="G8" s="14"/>
      <c r="H8" s="14"/>
      <c r="I8" s="14"/>
      <c r="J8" s="14"/>
      <c r="K8" s="8"/>
      <c r="L8" s="15">
        <f>SUM('CURRENT STOCK'!N2:N501)</f>
        <v>28425028000</v>
      </c>
      <c r="M8" s="15"/>
      <c r="N8" s="15"/>
      <c r="O8" s="15"/>
      <c r="P8" s="15"/>
      <c r="Q8" s="15"/>
      <c r="R8" s="8"/>
      <c r="S8" s="14">
        <f>COUNTIF('CURRENT STOCK'!M2:M501, "OUT OF STOCK")</f>
        <v>58</v>
      </c>
      <c r="T8" s="14"/>
      <c r="U8" s="14"/>
      <c r="V8" s="14"/>
      <c r="W8" s="14"/>
      <c r="X8" s="14"/>
      <c r="Y8" s="8"/>
      <c r="Z8" s="14">
        <f>COUNTIF('CURRENT STOCK'!M2:M501, "REORDER")</f>
        <v>28</v>
      </c>
      <c r="AA8" s="14"/>
      <c r="AB8" s="14"/>
      <c r="AC8" s="14"/>
      <c r="AD8" s="14"/>
      <c r="AE8" s="14"/>
      <c r="AF8" s="7"/>
      <c r="AG8" s="7"/>
      <c r="AH8" s="7"/>
      <c r="AI8" s="7"/>
    </row>
    <row r="9" spans="1:35" x14ac:dyDescent="0.25">
      <c r="A9" s="7"/>
      <c r="B9" s="7"/>
      <c r="C9" s="7"/>
      <c r="D9" s="7"/>
      <c r="E9" s="14"/>
      <c r="F9" s="14"/>
      <c r="G9" s="14"/>
      <c r="H9" s="14"/>
      <c r="I9" s="14"/>
      <c r="J9" s="14"/>
      <c r="K9" s="8"/>
      <c r="L9" s="15"/>
      <c r="M9" s="15"/>
      <c r="N9" s="15"/>
      <c r="O9" s="15"/>
      <c r="P9" s="15"/>
      <c r="Q9" s="15"/>
      <c r="R9" s="8"/>
      <c r="S9" s="14"/>
      <c r="T9" s="14"/>
      <c r="U9" s="14"/>
      <c r="V9" s="14"/>
      <c r="W9" s="14"/>
      <c r="X9" s="14"/>
      <c r="Y9" s="8"/>
      <c r="Z9" s="14"/>
      <c r="AA9" s="14"/>
      <c r="AB9" s="14"/>
      <c r="AC9" s="14"/>
      <c r="AD9" s="14"/>
      <c r="AE9" s="14"/>
      <c r="AF9" s="7"/>
      <c r="AG9" s="7"/>
      <c r="AH9" s="7"/>
      <c r="AI9" s="7"/>
    </row>
    <row r="10" spans="1:35" x14ac:dyDescent="0.25">
      <c r="A10" s="7"/>
      <c r="B10" s="7"/>
      <c r="C10" s="7"/>
      <c r="D10" s="7"/>
      <c r="E10" s="14"/>
      <c r="F10" s="14"/>
      <c r="G10" s="14"/>
      <c r="H10" s="14"/>
      <c r="I10" s="14"/>
      <c r="J10" s="14"/>
      <c r="K10" s="8"/>
      <c r="L10" s="15"/>
      <c r="M10" s="15"/>
      <c r="N10" s="15"/>
      <c r="O10" s="15"/>
      <c r="P10" s="15"/>
      <c r="Q10" s="15"/>
      <c r="R10" s="8"/>
      <c r="S10" s="14"/>
      <c r="T10" s="14"/>
      <c r="U10" s="14"/>
      <c r="V10" s="14"/>
      <c r="W10" s="14"/>
      <c r="X10" s="14"/>
      <c r="Y10" s="8"/>
      <c r="Z10" s="14"/>
      <c r="AA10" s="14"/>
      <c r="AB10" s="14"/>
      <c r="AC10" s="14"/>
      <c r="AD10" s="14"/>
      <c r="AE10" s="14"/>
      <c r="AF10" s="7"/>
      <c r="AG10" s="7"/>
      <c r="AH10" s="7"/>
      <c r="AI10" s="7"/>
    </row>
    <row r="11" spans="1:35" x14ac:dyDescent="0.25">
      <c r="A11" s="7"/>
      <c r="B11" s="7"/>
      <c r="C11" s="7"/>
      <c r="D11" s="7"/>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7"/>
      <c r="AG11" s="7"/>
      <c r="AH11" s="7"/>
      <c r="AI11" s="7"/>
    </row>
    <row r="12" spans="1:35" x14ac:dyDescent="0.25">
      <c r="A12" s="7"/>
      <c r="B12" s="7"/>
      <c r="C12" s="7"/>
      <c r="D12" s="7"/>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7"/>
      <c r="AG12" s="7"/>
      <c r="AH12" s="7"/>
      <c r="AI12" s="7"/>
    </row>
    <row r="13" spans="1:35" x14ac:dyDescent="0.25">
      <c r="A13" s="7"/>
      <c r="B13" s="7"/>
      <c r="C13" s="7"/>
      <c r="D13" s="7"/>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7"/>
      <c r="AG13" s="7"/>
      <c r="AH13" s="7"/>
      <c r="AI13" s="7"/>
    </row>
    <row r="14" spans="1:35" x14ac:dyDescent="0.25">
      <c r="A14" s="7"/>
      <c r="B14" s="7"/>
      <c r="C14" s="7"/>
      <c r="D14" s="7"/>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7"/>
      <c r="AG14" s="7"/>
      <c r="AH14" s="7"/>
      <c r="AI14" s="7"/>
    </row>
    <row r="15" spans="1:35" x14ac:dyDescent="0.25">
      <c r="A15" s="7"/>
      <c r="B15" s="7"/>
      <c r="C15" s="7"/>
      <c r="D15" s="7"/>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7"/>
      <c r="AG15" s="7"/>
      <c r="AH15" s="7"/>
      <c r="AI15" s="7"/>
    </row>
    <row r="16" spans="1:35" x14ac:dyDescent="0.25">
      <c r="A16" s="7"/>
      <c r="B16" s="7"/>
      <c r="C16" s="7"/>
      <c r="D16" s="7"/>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7"/>
      <c r="AG16" s="7"/>
      <c r="AH16" s="7"/>
      <c r="AI16" s="7"/>
    </row>
    <row r="17" spans="1:35" x14ac:dyDescent="0.25">
      <c r="A17" s="7"/>
      <c r="B17" s="7"/>
      <c r="C17" s="7"/>
      <c r="D17" s="7"/>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7"/>
      <c r="AG17" s="7"/>
      <c r="AH17" s="7"/>
      <c r="AI17" s="7"/>
    </row>
    <row r="18" spans="1:35" x14ac:dyDescent="0.25">
      <c r="A18" s="7"/>
      <c r="B18" s="7"/>
      <c r="C18" s="7"/>
      <c r="D18" s="7"/>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7"/>
      <c r="AG18" s="7"/>
      <c r="AH18" s="7"/>
      <c r="AI18" s="7"/>
    </row>
    <row r="19" spans="1:35" x14ac:dyDescent="0.25">
      <c r="A19" s="7"/>
      <c r="B19" s="7"/>
      <c r="C19" s="7"/>
      <c r="D19" s="7"/>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7"/>
      <c r="AG19" s="7"/>
      <c r="AH19" s="7"/>
      <c r="AI19" s="7"/>
    </row>
    <row r="20" spans="1:35" x14ac:dyDescent="0.25">
      <c r="A20" s="7"/>
      <c r="B20" s="7"/>
      <c r="C20" s="7"/>
      <c r="D20" s="7"/>
      <c r="N20" s="8"/>
      <c r="O20" s="8"/>
      <c r="P20" s="8"/>
      <c r="Q20" s="8"/>
      <c r="R20" s="8"/>
      <c r="S20" s="8"/>
      <c r="T20" s="8"/>
      <c r="U20" s="8"/>
      <c r="V20" s="8"/>
      <c r="W20" s="8"/>
      <c r="X20" s="8"/>
      <c r="Y20" s="8"/>
      <c r="Z20" s="8"/>
      <c r="AA20" s="8"/>
      <c r="AB20" s="8"/>
      <c r="AC20" s="8"/>
      <c r="AD20" s="8"/>
      <c r="AE20" s="8"/>
      <c r="AF20" s="7"/>
      <c r="AG20" s="7"/>
      <c r="AH20" s="7"/>
      <c r="AI20" s="7"/>
    </row>
    <row r="21" spans="1:35" x14ac:dyDescent="0.25">
      <c r="A21" s="7"/>
      <c r="B21" s="7"/>
      <c r="C21" s="7"/>
      <c r="D21" s="7"/>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7"/>
      <c r="AG21" s="7"/>
      <c r="AH21" s="7"/>
      <c r="AI21" s="7"/>
    </row>
    <row r="22" spans="1:35" x14ac:dyDescent="0.25">
      <c r="A22" s="7"/>
      <c r="B22" s="7"/>
      <c r="C22" s="7"/>
      <c r="D22" s="7"/>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7"/>
      <c r="AG22" s="7"/>
      <c r="AH22" s="7"/>
      <c r="AI22" s="7"/>
    </row>
    <row r="23" spans="1:35" x14ac:dyDescent="0.25">
      <c r="A23" s="7"/>
      <c r="B23" s="7"/>
      <c r="C23" s="7"/>
      <c r="D23" s="7"/>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7"/>
      <c r="AG23" s="7"/>
      <c r="AH23" s="7"/>
      <c r="AI23" s="7"/>
    </row>
    <row r="24" spans="1:35" x14ac:dyDescent="0.25">
      <c r="A24" s="7"/>
      <c r="B24" s="7"/>
      <c r="C24" s="7"/>
      <c r="D24" s="7"/>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7"/>
      <c r="AG24" s="7"/>
      <c r="AH24" s="7"/>
      <c r="AI24" s="7"/>
    </row>
    <row r="25" spans="1:35" x14ac:dyDescent="0.25">
      <c r="A25" s="7"/>
      <c r="B25" s="7"/>
      <c r="C25" s="7"/>
      <c r="D25" s="7"/>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7"/>
      <c r="AG25" s="7"/>
      <c r="AH25" s="7"/>
      <c r="AI25" s="7"/>
    </row>
    <row r="26" spans="1:35" x14ac:dyDescent="0.25">
      <c r="A26" s="7"/>
      <c r="B26" s="7"/>
      <c r="C26" s="7"/>
      <c r="D26" s="7"/>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7"/>
      <c r="AG26" s="7"/>
      <c r="AH26" s="7"/>
      <c r="AI26" s="7"/>
    </row>
    <row r="27" spans="1:35" x14ac:dyDescent="0.25">
      <c r="A27" s="7"/>
      <c r="B27" s="7"/>
      <c r="C27" s="7"/>
      <c r="D27" s="7"/>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7"/>
      <c r="AG27" s="7"/>
      <c r="AH27" s="7"/>
      <c r="AI27" s="7"/>
    </row>
    <row r="28" spans="1:35" x14ac:dyDescent="0.25">
      <c r="A28" s="7"/>
      <c r="B28" s="7"/>
      <c r="C28" s="7"/>
      <c r="D28" s="7"/>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7"/>
      <c r="AG28" s="7"/>
      <c r="AH28" s="7"/>
      <c r="AI28" s="7"/>
    </row>
    <row r="29" spans="1:35" x14ac:dyDescent="0.25">
      <c r="A29" s="7"/>
      <c r="B29" s="7"/>
      <c r="C29" s="7"/>
      <c r="D29" s="7"/>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7"/>
      <c r="AG29" s="7"/>
      <c r="AH29" s="7"/>
      <c r="AI29" s="7"/>
    </row>
    <row r="30" spans="1:35" x14ac:dyDescent="0.25">
      <c r="A30" s="7"/>
      <c r="B30" s="7"/>
      <c r="C30" s="7"/>
      <c r="D30" s="7"/>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7"/>
      <c r="AG30" s="7"/>
      <c r="AH30" s="7"/>
      <c r="AI30" s="7"/>
    </row>
    <row r="31" spans="1:35" x14ac:dyDescent="0.25">
      <c r="A31" s="7"/>
      <c r="B31" s="7"/>
      <c r="C31" s="7"/>
      <c r="D31" s="7"/>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7"/>
      <c r="AG31" s="7"/>
      <c r="AH31" s="7"/>
      <c r="AI31" s="7"/>
    </row>
    <row r="32" spans="1:35" x14ac:dyDescent="0.25">
      <c r="A32" s="7"/>
      <c r="B32" s="7"/>
      <c r="C32" s="7"/>
      <c r="D32" s="7"/>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7"/>
      <c r="AG32" s="7"/>
      <c r="AH32" s="7"/>
      <c r="AI32" s="7"/>
    </row>
    <row r="33" spans="1:35" x14ac:dyDescent="0.25">
      <c r="A33" s="7"/>
      <c r="B33" s="7"/>
      <c r="C33" s="7"/>
      <c r="D33" s="7"/>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7"/>
      <c r="AG33" s="7"/>
      <c r="AH33" s="7"/>
      <c r="AI33" s="7"/>
    </row>
    <row r="34" spans="1:35" x14ac:dyDescent="0.25">
      <c r="A34" s="7"/>
      <c r="B34" s="7"/>
      <c r="C34" s="7"/>
      <c r="D34" s="7"/>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7"/>
      <c r="AG34" s="7"/>
      <c r="AH34" s="7"/>
      <c r="AI34" s="7"/>
    </row>
    <row r="35" spans="1:35" x14ac:dyDescent="0.25">
      <c r="A35" s="7"/>
      <c r="B35" s="7"/>
      <c r="C35" s="7"/>
      <c r="D35" s="7"/>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7"/>
      <c r="AG35" s="7"/>
      <c r="AH35" s="7"/>
      <c r="AI35" s="7"/>
    </row>
    <row r="36" spans="1:35" x14ac:dyDescent="0.25">
      <c r="A36" s="7"/>
      <c r="B36" s="7"/>
      <c r="C36" s="7"/>
      <c r="D36" s="7"/>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7"/>
      <c r="AG36" s="7"/>
      <c r="AH36" s="7"/>
      <c r="AI36" s="7"/>
    </row>
    <row r="37" spans="1:35" x14ac:dyDescent="0.25">
      <c r="A37" s="7"/>
      <c r="B37" s="7"/>
      <c r="C37" s="7"/>
      <c r="D37" s="7"/>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7"/>
      <c r="AG37" s="7"/>
      <c r="AH37" s="7"/>
      <c r="AI37" s="7"/>
    </row>
    <row r="38" spans="1:35" x14ac:dyDescent="0.25">
      <c r="A38" s="7"/>
      <c r="B38" s="7"/>
      <c r="C38" s="7"/>
      <c r="D38" s="7"/>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7"/>
      <c r="AG38" s="7"/>
      <c r="AH38" s="7"/>
      <c r="AI38" s="7"/>
    </row>
    <row r="39" spans="1:35" x14ac:dyDescent="0.25">
      <c r="A39" s="7"/>
      <c r="B39" s="7"/>
      <c r="C39" s="7"/>
      <c r="D39" s="7"/>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7"/>
      <c r="AG39" s="7"/>
      <c r="AH39" s="7"/>
      <c r="AI39" s="7"/>
    </row>
    <row r="40" spans="1:35" x14ac:dyDescent="0.25">
      <c r="A40" s="7"/>
      <c r="B40" s="7"/>
      <c r="C40" s="7"/>
      <c r="D40" s="7"/>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7"/>
      <c r="AG40" s="7"/>
      <c r="AH40" s="7"/>
      <c r="AI40" s="7"/>
    </row>
    <row r="41" spans="1:35" x14ac:dyDescent="0.25">
      <c r="A41" s="7"/>
      <c r="B41" s="7"/>
      <c r="C41" s="7"/>
      <c r="D41" s="7"/>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7"/>
      <c r="AG41" s="7"/>
      <c r="AH41" s="7"/>
      <c r="AI41" s="7"/>
    </row>
    <row r="42" spans="1:35" x14ac:dyDescent="0.25">
      <c r="A42" s="7"/>
      <c r="B42" s="7"/>
      <c r="C42" s="7"/>
      <c r="D42" s="7"/>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7"/>
      <c r="AG42" s="7"/>
      <c r="AH42" s="7"/>
      <c r="AI42" s="7"/>
    </row>
    <row r="43" spans="1:35" x14ac:dyDescent="0.25">
      <c r="A43" s="7"/>
      <c r="B43" s="7"/>
      <c r="C43" s="7"/>
      <c r="D43" s="7"/>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7"/>
      <c r="AG43" s="7"/>
      <c r="AH43" s="7"/>
      <c r="AI43" s="7"/>
    </row>
    <row r="44" spans="1:35" x14ac:dyDescent="0.25">
      <c r="A44" s="7"/>
      <c r="B44" s="7"/>
      <c r="C44" s="7"/>
      <c r="D44" s="7"/>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7"/>
      <c r="AG44" s="7"/>
      <c r="AH44" s="7"/>
      <c r="AI44" s="7"/>
    </row>
    <row r="45" spans="1:35" x14ac:dyDescent="0.25">
      <c r="A45" s="7"/>
      <c r="B45" s="7"/>
      <c r="C45" s="7"/>
      <c r="D45" s="7"/>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7"/>
      <c r="AG45" s="7"/>
      <c r="AH45" s="7"/>
      <c r="AI45" s="7"/>
    </row>
    <row r="46" spans="1:35" x14ac:dyDescent="0.25">
      <c r="A46" s="7"/>
      <c r="B46" s="7"/>
      <c r="C46" s="7"/>
      <c r="D46" s="7"/>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7"/>
      <c r="AG46" s="7"/>
      <c r="AH46" s="7"/>
      <c r="AI46" s="7"/>
    </row>
    <row r="47" spans="1:35" x14ac:dyDescent="0.25">
      <c r="A47" s="7"/>
      <c r="B47" s="7"/>
      <c r="C47" s="7"/>
      <c r="D47" s="7"/>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7"/>
      <c r="AG47" s="7"/>
      <c r="AH47" s="7"/>
      <c r="AI47" s="7"/>
    </row>
    <row r="48" spans="1:35" x14ac:dyDescent="0.25">
      <c r="A48" s="7"/>
      <c r="B48" s="7"/>
      <c r="C48" s="7"/>
      <c r="D48" s="7"/>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7"/>
      <c r="AG48" s="7"/>
      <c r="AH48" s="7"/>
      <c r="AI48" s="7"/>
    </row>
    <row r="49" spans="1:35" x14ac:dyDescent="0.25">
      <c r="A49" s="7"/>
      <c r="B49" s="7"/>
      <c r="C49" s="7"/>
      <c r="D49" s="7"/>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7"/>
      <c r="AG49" s="7"/>
      <c r="AH49" s="7"/>
      <c r="AI49" s="7"/>
    </row>
    <row r="50" spans="1:35" x14ac:dyDescent="0.25">
      <c r="A50" s="7"/>
      <c r="B50" s="7"/>
      <c r="C50" s="7"/>
      <c r="D50" s="7"/>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7"/>
      <c r="AG50" s="7"/>
      <c r="AH50" s="7"/>
      <c r="AI50" s="7"/>
    </row>
    <row r="51" spans="1:35" x14ac:dyDescent="0.25">
      <c r="A51" s="7"/>
      <c r="B51" s="7"/>
      <c r="C51" s="7"/>
      <c r="D51" s="7"/>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7"/>
      <c r="AG51" s="7"/>
      <c r="AH51" s="7"/>
      <c r="AI51" s="7"/>
    </row>
    <row r="52" spans="1:35" x14ac:dyDescent="0.25">
      <c r="A52" s="7"/>
      <c r="B52" s="7"/>
      <c r="C52" s="7"/>
      <c r="D52" s="7"/>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7"/>
      <c r="AG52" s="7"/>
      <c r="AH52" s="7"/>
      <c r="AI52" s="7"/>
    </row>
    <row r="53" spans="1:35" x14ac:dyDescent="0.25">
      <c r="A53" s="7"/>
      <c r="B53" s="7"/>
      <c r="C53" s="7"/>
      <c r="D53" s="7"/>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7"/>
      <c r="AG53" s="7"/>
      <c r="AH53" s="7"/>
      <c r="AI53" s="7"/>
    </row>
    <row r="54" spans="1:35" x14ac:dyDescent="0.25">
      <c r="A54" s="7"/>
      <c r="B54" s="7"/>
      <c r="C54" s="7"/>
      <c r="D54" s="7"/>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7"/>
      <c r="AG54" s="7"/>
      <c r="AH54" s="7"/>
      <c r="AI54" s="7"/>
    </row>
    <row r="55" spans="1:35" x14ac:dyDescent="0.25">
      <c r="A55" s="7"/>
      <c r="B55" s="7"/>
      <c r="C55" s="7"/>
      <c r="D55" s="7"/>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7"/>
      <c r="AG55" s="7"/>
      <c r="AH55" s="7"/>
      <c r="AI55" s="7"/>
    </row>
    <row r="56" spans="1:35" x14ac:dyDescent="0.25">
      <c r="A56" s="7"/>
      <c r="B56" s="7"/>
      <c r="C56" s="7"/>
      <c r="D56" s="7"/>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7"/>
      <c r="AG56" s="7"/>
      <c r="AH56" s="7"/>
      <c r="AI56" s="7"/>
    </row>
    <row r="57" spans="1:35" x14ac:dyDescent="0.25">
      <c r="A57" s="7"/>
      <c r="B57" s="7"/>
      <c r="C57" s="7"/>
      <c r="D57" s="7"/>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7"/>
      <c r="AG57" s="7"/>
      <c r="AH57" s="7"/>
      <c r="AI57" s="7"/>
    </row>
    <row r="58" spans="1:35" x14ac:dyDescent="0.25">
      <c r="A58" s="7"/>
      <c r="B58" s="7"/>
      <c r="C58" s="7"/>
      <c r="D58" s="7"/>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7"/>
      <c r="AG58" s="7"/>
      <c r="AH58" s="7"/>
      <c r="AI58" s="7"/>
    </row>
    <row r="59" spans="1:35" x14ac:dyDescent="0.25">
      <c r="A59" s="7"/>
      <c r="B59" s="7"/>
      <c r="C59" s="7"/>
      <c r="D59" s="7"/>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7"/>
      <c r="AG59" s="7"/>
      <c r="AH59" s="7"/>
      <c r="AI59" s="7"/>
    </row>
    <row r="60" spans="1:35" x14ac:dyDescent="0.25">
      <c r="A60" s="7"/>
      <c r="B60" s="7"/>
      <c r="C60" s="7"/>
      <c r="D60" s="7"/>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7"/>
      <c r="AG60" s="7"/>
      <c r="AH60" s="7"/>
      <c r="AI60" s="7"/>
    </row>
    <row r="61" spans="1:35" x14ac:dyDescent="0.25">
      <c r="A61" s="7"/>
      <c r="B61" s="7"/>
      <c r="C61" s="7"/>
      <c r="D61" s="7"/>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7"/>
      <c r="AG61" s="7"/>
      <c r="AH61" s="7"/>
      <c r="AI61" s="7"/>
    </row>
    <row r="62" spans="1:35" x14ac:dyDescent="0.25">
      <c r="A62" s="7"/>
      <c r="B62" s="7"/>
      <c r="C62" s="7"/>
      <c r="D62" s="7"/>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7"/>
      <c r="AG62" s="7"/>
      <c r="AH62" s="7"/>
      <c r="AI62" s="7"/>
    </row>
    <row r="63" spans="1:35" x14ac:dyDescent="0.25">
      <c r="A63" s="9" t="s">
        <v>8517</v>
      </c>
      <c r="B63" s="9"/>
      <c r="C63" s="9"/>
      <c r="D63" s="9"/>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row>
  </sheetData>
  <mergeCells count="9">
    <mergeCell ref="A63:D63"/>
    <mergeCell ref="E6:J7"/>
    <mergeCell ref="L6:Q7"/>
    <mergeCell ref="S6:X7"/>
    <mergeCell ref="Z6:AE7"/>
    <mergeCell ref="E8:J10"/>
    <mergeCell ref="L8:Q10"/>
    <mergeCell ref="S8:X10"/>
    <mergeCell ref="Z8:AE10"/>
  </mergeCells>
  <pageMargins left="0.7" right="0.7" top="0.75" bottom="0.75" header="0.3" footer="0.3"/>
  <pageSetup scale="37"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6F0D4-1FC1-414C-B383-C2F2ED041E64}">
  <dimension ref="A1:K1801"/>
  <sheetViews>
    <sheetView workbookViewId="0">
      <selection activeCell="E2" sqref="E2"/>
    </sheetView>
  </sheetViews>
  <sheetFormatPr defaultRowHeight="15" x14ac:dyDescent="0.25"/>
  <cols>
    <col min="1" max="1" width="16" customWidth="1"/>
    <col min="2" max="2" width="21" customWidth="1"/>
    <col min="3" max="3" width="12" customWidth="1"/>
    <col min="4" max="4" width="17" customWidth="1"/>
    <col min="5" max="5" width="13" customWidth="1"/>
    <col min="6" max="6" width="12" customWidth="1"/>
    <col min="7" max="7" width="13" customWidth="1"/>
    <col min="8" max="8" width="20" customWidth="1"/>
    <col min="9" max="9" width="17" customWidth="1"/>
    <col min="10" max="10" width="20" customWidth="1"/>
    <col min="11" max="11" width="13" customWidth="1"/>
  </cols>
  <sheetData>
    <row r="1" spans="1:11" ht="30" customHeight="1" x14ac:dyDescent="0.25">
      <c r="A1" s="1" t="s">
        <v>694</v>
      </c>
      <c r="B1" s="1" t="s">
        <v>695</v>
      </c>
      <c r="C1" s="1" t="s">
        <v>0</v>
      </c>
      <c r="D1" s="1" t="s">
        <v>3</v>
      </c>
      <c r="E1" s="1" t="s">
        <v>696</v>
      </c>
      <c r="F1" s="1" t="s">
        <v>5</v>
      </c>
      <c r="G1" s="1" t="s">
        <v>6</v>
      </c>
      <c r="H1" s="1" t="s">
        <v>2497</v>
      </c>
      <c r="I1" s="1" t="s">
        <v>8</v>
      </c>
      <c r="J1" s="1" t="s">
        <v>12</v>
      </c>
      <c r="K1" s="1" t="s">
        <v>2498</v>
      </c>
    </row>
    <row r="2" spans="1:11" x14ac:dyDescent="0.25">
      <c r="A2" t="s">
        <v>697</v>
      </c>
      <c r="B2" s="3">
        <v>46266</v>
      </c>
      <c r="C2" t="s">
        <v>604</v>
      </c>
      <c r="D2" t="s">
        <v>599</v>
      </c>
      <c r="E2">
        <v>67</v>
      </c>
      <c r="F2" t="s">
        <v>2</v>
      </c>
      <c r="G2" t="s">
        <v>48</v>
      </c>
      <c r="H2" t="s">
        <v>2499</v>
      </c>
      <c r="I2" s="2">
        <v>117000</v>
      </c>
      <c r="J2" t="s">
        <v>110</v>
      </c>
      <c r="K2" t="s">
        <v>2500</v>
      </c>
    </row>
    <row r="3" spans="1:11" x14ac:dyDescent="0.25">
      <c r="A3" t="s">
        <v>698</v>
      </c>
      <c r="B3" s="3">
        <v>46266</v>
      </c>
      <c r="C3" t="s">
        <v>107</v>
      </c>
      <c r="D3" t="s">
        <v>29</v>
      </c>
      <c r="E3">
        <v>20</v>
      </c>
      <c r="F3" t="s">
        <v>2</v>
      </c>
      <c r="G3" t="s">
        <v>85</v>
      </c>
      <c r="H3" t="s">
        <v>2501</v>
      </c>
      <c r="I3" s="2">
        <v>173000</v>
      </c>
      <c r="J3" t="s">
        <v>108</v>
      </c>
      <c r="K3" t="s">
        <v>2500</v>
      </c>
    </row>
    <row r="4" spans="1:11" x14ac:dyDescent="0.25">
      <c r="A4" t="s">
        <v>699</v>
      </c>
      <c r="B4" s="3">
        <v>46266</v>
      </c>
      <c r="C4" t="s">
        <v>174</v>
      </c>
      <c r="D4" t="s">
        <v>26</v>
      </c>
      <c r="E4">
        <v>64</v>
      </c>
      <c r="F4" t="s">
        <v>2</v>
      </c>
      <c r="G4" t="s">
        <v>81</v>
      </c>
      <c r="H4" t="s">
        <v>2502</v>
      </c>
      <c r="I4" s="2">
        <v>649000</v>
      </c>
      <c r="J4" t="s">
        <v>175</v>
      </c>
      <c r="K4" t="s">
        <v>2503</v>
      </c>
    </row>
    <row r="5" spans="1:11" x14ac:dyDescent="0.25">
      <c r="A5" t="s">
        <v>700</v>
      </c>
      <c r="B5" s="3">
        <v>46266</v>
      </c>
      <c r="C5" t="s">
        <v>548</v>
      </c>
      <c r="D5" t="s">
        <v>502</v>
      </c>
      <c r="E5">
        <v>63</v>
      </c>
      <c r="F5" t="s">
        <v>469</v>
      </c>
      <c r="G5" t="s">
        <v>32</v>
      </c>
      <c r="H5" t="s">
        <v>2504</v>
      </c>
      <c r="I5" s="2">
        <v>117000</v>
      </c>
      <c r="J5" t="s">
        <v>181</v>
      </c>
      <c r="K5" t="s">
        <v>2500</v>
      </c>
    </row>
    <row r="6" spans="1:11" x14ac:dyDescent="0.25">
      <c r="A6" t="s">
        <v>701</v>
      </c>
      <c r="B6" s="3">
        <v>46266</v>
      </c>
      <c r="C6" t="s">
        <v>283</v>
      </c>
      <c r="D6" t="s">
        <v>234</v>
      </c>
      <c r="E6">
        <v>23</v>
      </c>
      <c r="F6" t="s">
        <v>2</v>
      </c>
      <c r="G6" t="s">
        <v>36</v>
      </c>
      <c r="H6" t="s">
        <v>2505</v>
      </c>
      <c r="I6" s="2">
        <v>490000</v>
      </c>
      <c r="J6" t="s">
        <v>59</v>
      </c>
      <c r="K6" t="s">
        <v>2500</v>
      </c>
    </row>
    <row r="7" spans="1:11" x14ac:dyDescent="0.25">
      <c r="A7" t="s">
        <v>702</v>
      </c>
      <c r="B7" s="3">
        <v>46266</v>
      </c>
      <c r="C7" t="s">
        <v>515</v>
      </c>
      <c r="D7" t="s">
        <v>488</v>
      </c>
      <c r="E7">
        <v>21</v>
      </c>
      <c r="F7" t="s">
        <v>469</v>
      </c>
      <c r="G7" t="s">
        <v>36</v>
      </c>
      <c r="H7" t="s">
        <v>2506</v>
      </c>
      <c r="I7" s="2">
        <v>45000</v>
      </c>
      <c r="J7" t="s">
        <v>292</v>
      </c>
      <c r="K7" t="s">
        <v>2503</v>
      </c>
    </row>
    <row r="8" spans="1:11" x14ac:dyDescent="0.25">
      <c r="A8" t="s">
        <v>703</v>
      </c>
      <c r="B8" s="3">
        <v>46266</v>
      </c>
      <c r="C8" t="s">
        <v>243</v>
      </c>
      <c r="D8" t="s">
        <v>213</v>
      </c>
      <c r="E8">
        <v>2</v>
      </c>
      <c r="F8" t="s">
        <v>2</v>
      </c>
      <c r="G8" t="s">
        <v>61</v>
      </c>
      <c r="H8" t="s">
        <v>2507</v>
      </c>
      <c r="I8" s="2">
        <v>4890000</v>
      </c>
      <c r="J8" t="s">
        <v>177</v>
      </c>
      <c r="K8" t="s">
        <v>2500</v>
      </c>
    </row>
    <row r="9" spans="1:11" x14ac:dyDescent="0.25">
      <c r="A9" t="s">
        <v>704</v>
      </c>
      <c r="B9" s="3">
        <v>46266</v>
      </c>
      <c r="C9" t="s">
        <v>555</v>
      </c>
      <c r="D9" t="s">
        <v>502</v>
      </c>
      <c r="E9">
        <v>13</v>
      </c>
      <c r="F9" t="s">
        <v>469</v>
      </c>
      <c r="G9" t="s">
        <v>40</v>
      </c>
      <c r="H9" t="s">
        <v>2508</v>
      </c>
      <c r="I9" s="2">
        <v>115000</v>
      </c>
      <c r="J9" t="s">
        <v>124</v>
      </c>
      <c r="K9" t="s">
        <v>2509</v>
      </c>
    </row>
    <row r="10" spans="1:11" x14ac:dyDescent="0.25">
      <c r="A10" t="s">
        <v>705</v>
      </c>
      <c r="B10" s="3">
        <v>46266</v>
      </c>
      <c r="C10" t="s">
        <v>331</v>
      </c>
      <c r="D10" t="s">
        <v>234</v>
      </c>
      <c r="E10">
        <v>16</v>
      </c>
      <c r="F10" t="s">
        <v>2</v>
      </c>
      <c r="G10" t="s">
        <v>32</v>
      </c>
      <c r="H10" t="s">
        <v>2510</v>
      </c>
      <c r="I10" s="2">
        <v>1646000</v>
      </c>
      <c r="J10" t="s">
        <v>57</v>
      </c>
      <c r="K10" t="s">
        <v>2500</v>
      </c>
    </row>
    <row r="11" spans="1:11" x14ac:dyDescent="0.25">
      <c r="A11" t="s">
        <v>706</v>
      </c>
      <c r="B11" s="3">
        <v>46266</v>
      </c>
      <c r="C11" t="s">
        <v>492</v>
      </c>
      <c r="D11" t="s">
        <v>467</v>
      </c>
      <c r="E11">
        <v>70</v>
      </c>
      <c r="F11" t="s">
        <v>469</v>
      </c>
      <c r="G11" t="s">
        <v>40</v>
      </c>
      <c r="H11" t="s">
        <v>2511</v>
      </c>
      <c r="I11" s="2">
        <v>21000</v>
      </c>
      <c r="J11" t="s">
        <v>102</v>
      </c>
      <c r="K11" t="s">
        <v>2509</v>
      </c>
    </row>
    <row r="12" spans="1:11" x14ac:dyDescent="0.25">
      <c r="A12" t="s">
        <v>707</v>
      </c>
      <c r="B12" s="3">
        <v>46266</v>
      </c>
      <c r="C12" t="s">
        <v>553</v>
      </c>
      <c r="D12" t="s">
        <v>476</v>
      </c>
      <c r="E12">
        <v>51</v>
      </c>
      <c r="F12" t="s">
        <v>477</v>
      </c>
      <c r="G12" t="s">
        <v>22</v>
      </c>
      <c r="H12" t="s">
        <v>2512</v>
      </c>
      <c r="I12" s="2">
        <v>8000</v>
      </c>
      <c r="J12" t="s">
        <v>324</v>
      </c>
      <c r="K12" t="s">
        <v>2513</v>
      </c>
    </row>
    <row r="13" spans="1:11" x14ac:dyDescent="0.25">
      <c r="A13" t="s">
        <v>708</v>
      </c>
      <c r="B13" s="3">
        <v>46266</v>
      </c>
      <c r="C13" t="s">
        <v>90</v>
      </c>
      <c r="D13" t="s">
        <v>15</v>
      </c>
      <c r="E13">
        <v>18</v>
      </c>
      <c r="F13" t="s">
        <v>2</v>
      </c>
      <c r="G13" t="s">
        <v>55</v>
      </c>
      <c r="H13" t="s">
        <v>2514</v>
      </c>
      <c r="I13" s="2">
        <v>279000</v>
      </c>
      <c r="J13" t="s">
        <v>73</v>
      </c>
      <c r="K13" t="s">
        <v>2503</v>
      </c>
    </row>
    <row r="14" spans="1:11" x14ac:dyDescent="0.25">
      <c r="A14" t="s">
        <v>709</v>
      </c>
      <c r="B14" s="3">
        <v>46266</v>
      </c>
      <c r="C14" t="s">
        <v>288</v>
      </c>
      <c r="D14" t="s">
        <v>261</v>
      </c>
      <c r="E14">
        <v>56</v>
      </c>
      <c r="F14" t="s">
        <v>2</v>
      </c>
      <c r="G14" t="s">
        <v>61</v>
      </c>
      <c r="H14" t="s">
        <v>2515</v>
      </c>
      <c r="I14" s="2">
        <v>339000</v>
      </c>
      <c r="J14" t="s">
        <v>289</v>
      </c>
      <c r="K14" t="s">
        <v>2500</v>
      </c>
    </row>
    <row r="15" spans="1:11" x14ac:dyDescent="0.25">
      <c r="A15" t="s">
        <v>710</v>
      </c>
      <c r="B15" s="3">
        <v>46266</v>
      </c>
      <c r="C15" t="s">
        <v>498</v>
      </c>
      <c r="D15" t="s">
        <v>488</v>
      </c>
      <c r="E15">
        <v>46</v>
      </c>
      <c r="F15" t="s">
        <v>469</v>
      </c>
      <c r="G15" t="s">
        <v>40</v>
      </c>
      <c r="H15" t="s">
        <v>2516</v>
      </c>
      <c r="I15" s="2">
        <v>81000</v>
      </c>
      <c r="J15" t="s">
        <v>52</v>
      </c>
      <c r="K15" t="s">
        <v>2503</v>
      </c>
    </row>
    <row r="16" spans="1:11" x14ac:dyDescent="0.25">
      <c r="A16" t="s">
        <v>711</v>
      </c>
      <c r="B16" s="3">
        <v>46266</v>
      </c>
      <c r="C16" t="s">
        <v>532</v>
      </c>
      <c r="D16" t="s">
        <v>488</v>
      </c>
      <c r="E16">
        <v>43</v>
      </c>
      <c r="F16" t="s">
        <v>469</v>
      </c>
      <c r="G16" t="s">
        <v>22</v>
      </c>
      <c r="H16" t="s">
        <v>2517</v>
      </c>
      <c r="I16" s="2">
        <v>82000</v>
      </c>
      <c r="J16" t="s">
        <v>106</v>
      </c>
      <c r="K16" t="s">
        <v>2509</v>
      </c>
    </row>
    <row r="17" spans="1:11" x14ac:dyDescent="0.25">
      <c r="A17" t="s">
        <v>712</v>
      </c>
      <c r="B17" s="3">
        <v>46266</v>
      </c>
      <c r="C17" t="s">
        <v>684</v>
      </c>
      <c r="D17" t="s">
        <v>602</v>
      </c>
      <c r="E17">
        <v>19</v>
      </c>
      <c r="F17" t="s">
        <v>2</v>
      </c>
      <c r="G17" t="s">
        <v>22</v>
      </c>
      <c r="H17" t="s">
        <v>2518</v>
      </c>
      <c r="I17" s="2">
        <v>239000</v>
      </c>
      <c r="J17" t="s">
        <v>142</v>
      </c>
      <c r="K17" t="s">
        <v>2500</v>
      </c>
    </row>
    <row r="18" spans="1:11" x14ac:dyDescent="0.25">
      <c r="A18" t="s">
        <v>713</v>
      </c>
      <c r="B18" s="3">
        <v>46266</v>
      </c>
      <c r="C18" t="s">
        <v>690</v>
      </c>
      <c r="D18" t="s">
        <v>597</v>
      </c>
      <c r="E18">
        <v>64</v>
      </c>
      <c r="F18" t="s">
        <v>355</v>
      </c>
      <c r="G18" t="s">
        <v>48</v>
      </c>
      <c r="H18" t="s">
        <v>2519</v>
      </c>
      <c r="I18" s="2">
        <v>33000</v>
      </c>
      <c r="J18" t="s">
        <v>52</v>
      </c>
      <c r="K18" t="s">
        <v>2509</v>
      </c>
    </row>
    <row r="19" spans="1:11" x14ac:dyDescent="0.25">
      <c r="A19" t="s">
        <v>714</v>
      </c>
      <c r="B19" s="3">
        <v>46266</v>
      </c>
      <c r="C19" t="s">
        <v>419</v>
      </c>
      <c r="D19" t="s">
        <v>354</v>
      </c>
      <c r="E19">
        <v>31</v>
      </c>
      <c r="F19" t="s">
        <v>355</v>
      </c>
      <c r="G19" t="s">
        <v>81</v>
      </c>
      <c r="H19" t="s">
        <v>2520</v>
      </c>
      <c r="I19" s="2">
        <v>30000</v>
      </c>
      <c r="J19" t="s">
        <v>147</v>
      </c>
      <c r="K19" t="s">
        <v>2513</v>
      </c>
    </row>
    <row r="20" spans="1:11" x14ac:dyDescent="0.25">
      <c r="A20" t="s">
        <v>715</v>
      </c>
      <c r="B20" s="3">
        <v>46266</v>
      </c>
      <c r="C20" t="s">
        <v>384</v>
      </c>
      <c r="D20" t="s">
        <v>366</v>
      </c>
      <c r="E20">
        <v>26</v>
      </c>
      <c r="F20" t="s">
        <v>2</v>
      </c>
      <c r="G20" t="s">
        <v>81</v>
      </c>
      <c r="H20" t="s">
        <v>2521</v>
      </c>
      <c r="I20" s="2">
        <v>56000</v>
      </c>
      <c r="J20" t="s">
        <v>104</v>
      </c>
      <c r="K20" t="s">
        <v>2503</v>
      </c>
    </row>
    <row r="21" spans="1:11" x14ac:dyDescent="0.25">
      <c r="A21" t="s">
        <v>716</v>
      </c>
      <c r="B21" s="3">
        <v>46266</v>
      </c>
      <c r="C21" t="s">
        <v>131</v>
      </c>
      <c r="D21" t="s">
        <v>15</v>
      </c>
      <c r="E21">
        <v>19</v>
      </c>
      <c r="F21" t="s">
        <v>2</v>
      </c>
      <c r="G21" t="s">
        <v>36</v>
      </c>
      <c r="H21" t="s">
        <v>2522</v>
      </c>
      <c r="I21" s="2">
        <v>112000</v>
      </c>
      <c r="J21" t="s">
        <v>113</v>
      </c>
      <c r="K21" t="s">
        <v>2500</v>
      </c>
    </row>
    <row r="22" spans="1:11" x14ac:dyDescent="0.25">
      <c r="A22" t="s">
        <v>717</v>
      </c>
      <c r="B22" s="3">
        <v>46266</v>
      </c>
      <c r="C22" t="s">
        <v>296</v>
      </c>
      <c r="D22" t="s">
        <v>234</v>
      </c>
      <c r="E22">
        <v>51</v>
      </c>
      <c r="F22" t="s">
        <v>2</v>
      </c>
      <c r="G22" t="s">
        <v>36</v>
      </c>
      <c r="H22" t="s">
        <v>2523</v>
      </c>
      <c r="I22" s="2">
        <v>1085000</v>
      </c>
      <c r="J22" t="s">
        <v>297</v>
      </c>
      <c r="K22" t="s">
        <v>2503</v>
      </c>
    </row>
    <row r="23" spans="1:11" x14ac:dyDescent="0.25">
      <c r="A23" t="s">
        <v>718</v>
      </c>
      <c r="B23" s="3">
        <v>46266</v>
      </c>
      <c r="C23" t="s">
        <v>403</v>
      </c>
      <c r="D23" t="s">
        <v>364</v>
      </c>
      <c r="E23">
        <v>23</v>
      </c>
      <c r="F23" t="s">
        <v>358</v>
      </c>
      <c r="G23" t="s">
        <v>55</v>
      </c>
      <c r="H23" t="s">
        <v>2524</v>
      </c>
      <c r="I23" s="2">
        <v>27000</v>
      </c>
      <c r="J23" t="s">
        <v>117</v>
      </c>
      <c r="K23" t="s">
        <v>2509</v>
      </c>
    </row>
    <row r="24" spans="1:11" x14ac:dyDescent="0.25">
      <c r="A24" t="s">
        <v>719</v>
      </c>
      <c r="B24" s="3">
        <v>46266</v>
      </c>
      <c r="C24" t="s">
        <v>135</v>
      </c>
      <c r="D24" t="s">
        <v>44</v>
      </c>
      <c r="E24">
        <v>9</v>
      </c>
      <c r="F24" t="s">
        <v>2</v>
      </c>
      <c r="G24" t="s">
        <v>55</v>
      </c>
      <c r="H24" t="s">
        <v>2525</v>
      </c>
      <c r="I24" s="2">
        <v>31000</v>
      </c>
      <c r="J24" t="s">
        <v>73</v>
      </c>
      <c r="K24" t="s">
        <v>2513</v>
      </c>
    </row>
    <row r="25" spans="1:11" x14ac:dyDescent="0.25">
      <c r="A25" t="s">
        <v>720</v>
      </c>
      <c r="B25" s="3">
        <v>46266</v>
      </c>
      <c r="C25" t="s">
        <v>429</v>
      </c>
      <c r="D25" t="s">
        <v>351</v>
      </c>
      <c r="E25">
        <v>49</v>
      </c>
      <c r="F25" t="s">
        <v>2</v>
      </c>
      <c r="G25" t="s">
        <v>22</v>
      </c>
      <c r="H25" t="s">
        <v>2526</v>
      </c>
      <c r="I25" s="2">
        <v>625000</v>
      </c>
      <c r="J25" t="s">
        <v>126</v>
      </c>
      <c r="K25" t="s">
        <v>2503</v>
      </c>
    </row>
    <row r="26" spans="1:11" x14ac:dyDescent="0.25">
      <c r="A26" t="s">
        <v>721</v>
      </c>
      <c r="B26" s="3">
        <v>46266</v>
      </c>
      <c r="C26" t="s">
        <v>325</v>
      </c>
      <c r="D26" t="s">
        <v>227</v>
      </c>
      <c r="E26">
        <v>55</v>
      </c>
      <c r="F26" t="s">
        <v>2</v>
      </c>
      <c r="G26" t="s">
        <v>61</v>
      </c>
      <c r="H26" t="s">
        <v>2527</v>
      </c>
      <c r="I26" s="2">
        <v>1037000</v>
      </c>
      <c r="J26" t="s">
        <v>34</v>
      </c>
      <c r="K26" t="s">
        <v>2503</v>
      </c>
    </row>
    <row r="27" spans="1:11" x14ac:dyDescent="0.25">
      <c r="A27" t="s">
        <v>722</v>
      </c>
      <c r="B27" s="3">
        <v>46266</v>
      </c>
      <c r="C27" t="s">
        <v>521</v>
      </c>
      <c r="D27" t="s">
        <v>479</v>
      </c>
      <c r="E27">
        <v>13</v>
      </c>
      <c r="F27" t="s">
        <v>469</v>
      </c>
      <c r="G27" t="s">
        <v>85</v>
      </c>
      <c r="H27" t="s">
        <v>2528</v>
      </c>
      <c r="I27" s="2">
        <v>13000</v>
      </c>
      <c r="J27" t="s">
        <v>289</v>
      </c>
      <c r="K27" t="s">
        <v>2513</v>
      </c>
    </row>
    <row r="28" spans="1:11" x14ac:dyDescent="0.25">
      <c r="A28" t="s">
        <v>723</v>
      </c>
      <c r="B28" s="3">
        <v>46266</v>
      </c>
      <c r="C28" t="s">
        <v>509</v>
      </c>
      <c r="D28" t="s">
        <v>471</v>
      </c>
      <c r="E28">
        <v>61</v>
      </c>
      <c r="F28" t="s">
        <v>355</v>
      </c>
      <c r="G28" t="s">
        <v>36</v>
      </c>
      <c r="H28" t="s">
        <v>2529</v>
      </c>
      <c r="I28" s="2">
        <v>38000</v>
      </c>
      <c r="J28" t="s">
        <v>287</v>
      </c>
      <c r="K28" t="s">
        <v>2500</v>
      </c>
    </row>
    <row r="29" spans="1:11" x14ac:dyDescent="0.25">
      <c r="A29" t="s">
        <v>724</v>
      </c>
      <c r="B29" s="3">
        <v>46266</v>
      </c>
      <c r="C29" t="s">
        <v>613</v>
      </c>
      <c r="D29" t="s">
        <v>597</v>
      </c>
      <c r="E29">
        <v>26</v>
      </c>
      <c r="F29" t="s">
        <v>355</v>
      </c>
      <c r="G29" t="s">
        <v>32</v>
      </c>
      <c r="H29" t="s">
        <v>2530</v>
      </c>
      <c r="I29" s="2">
        <v>48000</v>
      </c>
      <c r="J29" t="s">
        <v>221</v>
      </c>
      <c r="K29" t="s">
        <v>2513</v>
      </c>
    </row>
    <row r="30" spans="1:11" x14ac:dyDescent="0.25">
      <c r="A30" t="s">
        <v>725</v>
      </c>
      <c r="B30" s="3">
        <v>46266</v>
      </c>
      <c r="C30" t="s">
        <v>284</v>
      </c>
      <c r="D30" t="s">
        <v>213</v>
      </c>
      <c r="E30">
        <v>56</v>
      </c>
      <c r="F30" t="s">
        <v>2</v>
      </c>
      <c r="G30" t="s">
        <v>85</v>
      </c>
      <c r="H30" t="s">
        <v>2531</v>
      </c>
      <c r="I30" s="2">
        <v>2006000</v>
      </c>
      <c r="J30" t="s">
        <v>108</v>
      </c>
      <c r="K30" t="s">
        <v>2513</v>
      </c>
    </row>
    <row r="31" spans="1:11" x14ac:dyDescent="0.25">
      <c r="A31" t="s">
        <v>726</v>
      </c>
      <c r="B31" s="3">
        <v>46266</v>
      </c>
      <c r="C31" t="s">
        <v>593</v>
      </c>
      <c r="D31" t="s">
        <v>594</v>
      </c>
      <c r="E31">
        <v>48</v>
      </c>
      <c r="F31" t="s">
        <v>595</v>
      </c>
      <c r="G31" t="s">
        <v>40</v>
      </c>
      <c r="H31" t="s">
        <v>2532</v>
      </c>
      <c r="I31" s="2">
        <v>12000</v>
      </c>
      <c r="J31" t="s">
        <v>149</v>
      </c>
      <c r="K31" t="s">
        <v>2509</v>
      </c>
    </row>
    <row r="32" spans="1:11" x14ac:dyDescent="0.25">
      <c r="A32" t="s">
        <v>727</v>
      </c>
      <c r="B32" s="3">
        <v>46266</v>
      </c>
      <c r="C32" t="s">
        <v>524</v>
      </c>
      <c r="D32" t="s">
        <v>474</v>
      </c>
      <c r="E32">
        <v>9</v>
      </c>
      <c r="F32" t="s">
        <v>2</v>
      </c>
      <c r="G32" t="s">
        <v>17</v>
      </c>
      <c r="H32" t="s">
        <v>2533</v>
      </c>
      <c r="I32" s="2">
        <v>8000</v>
      </c>
      <c r="J32" t="s">
        <v>257</v>
      </c>
      <c r="K32" t="s">
        <v>2509</v>
      </c>
    </row>
    <row r="33" spans="1:11" x14ac:dyDescent="0.25">
      <c r="A33" t="s">
        <v>728</v>
      </c>
      <c r="B33" s="3">
        <v>46266</v>
      </c>
      <c r="C33" t="s">
        <v>690</v>
      </c>
      <c r="D33" t="s">
        <v>597</v>
      </c>
      <c r="E33">
        <v>67</v>
      </c>
      <c r="F33" t="s">
        <v>355</v>
      </c>
      <c r="G33" t="s">
        <v>48</v>
      </c>
      <c r="H33" t="s">
        <v>2534</v>
      </c>
      <c r="I33" s="2">
        <v>33000</v>
      </c>
      <c r="J33" t="s">
        <v>52</v>
      </c>
      <c r="K33" t="s">
        <v>2500</v>
      </c>
    </row>
    <row r="34" spans="1:11" x14ac:dyDescent="0.25">
      <c r="A34" t="s">
        <v>729</v>
      </c>
      <c r="B34" s="3">
        <v>46266</v>
      </c>
      <c r="C34" t="s">
        <v>76</v>
      </c>
      <c r="D34" t="s">
        <v>15</v>
      </c>
      <c r="E34">
        <v>33</v>
      </c>
      <c r="F34" t="s">
        <v>2</v>
      </c>
      <c r="G34" t="s">
        <v>22</v>
      </c>
      <c r="H34" t="s">
        <v>2535</v>
      </c>
      <c r="I34" s="2">
        <v>160000</v>
      </c>
      <c r="J34" t="s">
        <v>77</v>
      </c>
      <c r="K34" t="s">
        <v>2513</v>
      </c>
    </row>
    <row r="35" spans="1:11" x14ac:dyDescent="0.25">
      <c r="A35" t="s">
        <v>730</v>
      </c>
      <c r="B35" s="3">
        <v>46267</v>
      </c>
      <c r="C35" t="s">
        <v>581</v>
      </c>
      <c r="D35" t="s">
        <v>582</v>
      </c>
      <c r="E35">
        <v>8</v>
      </c>
      <c r="F35" t="s">
        <v>2</v>
      </c>
      <c r="G35" t="s">
        <v>36</v>
      </c>
      <c r="H35" t="s">
        <v>2536</v>
      </c>
      <c r="I35" s="2">
        <v>87000</v>
      </c>
      <c r="J35" t="s">
        <v>512</v>
      </c>
      <c r="K35" t="s">
        <v>2503</v>
      </c>
    </row>
    <row r="36" spans="1:11" x14ac:dyDescent="0.25">
      <c r="A36" t="s">
        <v>731</v>
      </c>
      <c r="B36" s="3">
        <v>46267</v>
      </c>
      <c r="C36" t="s">
        <v>264</v>
      </c>
      <c r="D36" t="s">
        <v>240</v>
      </c>
      <c r="E36">
        <v>61</v>
      </c>
      <c r="F36" t="s">
        <v>2</v>
      </c>
      <c r="G36" t="s">
        <v>55</v>
      </c>
      <c r="H36" t="s">
        <v>2537</v>
      </c>
      <c r="I36" s="2">
        <v>446000</v>
      </c>
      <c r="J36" t="s">
        <v>265</v>
      </c>
      <c r="K36" t="s">
        <v>2503</v>
      </c>
    </row>
    <row r="37" spans="1:11" x14ac:dyDescent="0.25">
      <c r="A37" t="s">
        <v>732</v>
      </c>
      <c r="B37" s="3">
        <v>46267</v>
      </c>
      <c r="C37" t="s">
        <v>509</v>
      </c>
      <c r="D37" t="s">
        <v>471</v>
      </c>
      <c r="E37">
        <v>9</v>
      </c>
      <c r="F37" t="s">
        <v>355</v>
      </c>
      <c r="G37" t="s">
        <v>36</v>
      </c>
      <c r="H37" t="s">
        <v>2538</v>
      </c>
      <c r="I37" s="2">
        <v>38000</v>
      </c>
      <c r="J37" t="s">
        <v>287</v>
      </c>
      <c r="K37" t="s">
        <v>2500</v>
      </c>
    </row>
    <row r="38" spans="1:11" x14ac:dyDescent="0.25">
      <c r="A38" t="s">
        <v>733</v>
      </c>
      <c r="B38" s="3">
        <v>46267</v>
      </c>
      <c r="C38" t="s">
        <v>560</v>
      </c>
      <c r="D38" t="s">
        <v>467</v>
      </c>
      <c r="E38">
        <v>36</v>
      </c>
      <c r="F38" t="s">
        <v>469</v>
      </c>
      <c r="G38" t="s">
        <v>32</v>
      </c>
      <c r="H38" t="s">
        <v>2539</v>
      </c>
      <c r="I38" s="2">
        <v>27000</v>
      </c>
      <c r="J38" t="s">
        <v>119</v>
      </c>
      <c r="K38" t="s">
        <v>2513</v>
      </c>
    </row>
    <row r="39" spans="1:11" x14ac:dyDescent="0.25">
      <c r="A39" t="s">
        <v>734</v>
      </c>
      <c r="B39" s="3">
        <v>46267</v>
      </c>
      <c r="C39" t="s">
        <v>514</v>
      </c>
      <c r="D39" t="s">
        <v>467</v>
      </c>
      <c r="E39">
        <v>7</v>
      </c>
      <c r="F39" t="s">
        <v>469</v>
      </c>
      <c r="G39" t="s">
        <v>36</v>
      </c>
      <c r="H39" t="s">
        <v>2540</v>
      </c>
      <c r="I39" s="2">
        <v>29000</v>
      </c>
      <c r="J39" t="s">
        <v>310</v>
      </c>
      <c r="K39" t="s">
        <v>2509</v>
      </c>
    </row>
    <row r="40" spans="1:11" x14ac:dyDescent="0.25">
      <c r="A40" t="s">
        <v>735</v>
      </c>
      <c r="B40" s="3">
        <v>46267</v>
      </c>
      <c r="C40" t="s">
        <v>527</v>
      </c>
      <c r="D40" t="s">
        <v>467</v>
      </c>
      <c r="E40">
        <v>23</v>
      </c>
      <c r="F40" t="s">
        <v>469</v>
      </c>
      <c r="G40" t="s">
        <v>85</v>
      </c>
      <c r="H40" t="s">
        <v>2541</v>
      </c>
      <c r="I40" s="2">
        <v>34000</v>
      </c>
      <c r="J40" t="s">
        <v>289</v>
      </c>
      <c r="K40" t="s">
        <v>2503</v>
      </c>
    </row>
    <row r="41" spans="1:11" x14ac:dyDescent="0.25">
      <c r="A41" t="s">
        <v>736</v>
      </c>
      <c r="B41" s="3">
        <v>46267</v>
      </c>
      <c r="C41" t="s">
        <v>555</v>
      </c>
      <c r="D41" t="s">
        <v>502</v>
      </c>
      <c r="E41">
        <v>65</v>
      </c>
      <c r="F41" t="s">
        <v>469</v>
      </c>
      <c r="G41" t="s">
        <v>40</v>
      </c>
      <c r="H41" t="s">
        <v>2542</v>
      </c>
      <c r="I41" s="2">
        <v>115000</v>
      </c>
      <c r="J41" t="s">
        <v>124</v>
      </c>
      <c r="K41" t="s">
        <v>2500</v>
      </c>
    </row>
    <row r="42" spans="1:11" x14ac:dyDescent="0.25">
      <c r="A42" t="s">
        <v>737</v>
      </c>
      <c r="B42" s="3">
        <v>46267</v>
      </c>
      <c r="C42" t="s">
        <v>486</v>
      </c>
      <c r="D42" t="s">
        <v>479</v>
      </c>
      <c r="E42">
        <v>69</v>
      </c>
      <c r="F42" t="s">
        <v>469</v>
      </c>
      <c r="G42" t="s">
        <v>61</v>
      </c>
      <c r="H42" t="s">
        <v>2543</v>
      </c>
      <c r="I42" s="2">
        <v>34000</v>
      </c>
      <c r="J42" t="s">
        <v>52</v>
      </c>
      <c r="K42" t="s">
        <v>2513</v>
      </c>
    </row>
    <row r="43" spans="1:11" x14ac:dyDescent="0.25">
      <c r="A43" t="s">
        <v>738</v>
      </c>
      <c r="B43" s="3">
        <v>46267</v>
      </c>
      <c r="C43" t="s">
        <v>413</v>
      </c>
      <c r="D43" t="s">
        <v>360</v>
      </c>
      <c r="E43">
        <v>53</v>
      </c>
      <c r="F43" t="s">
        <v>358</v>
      </c>
      <c r="G43" t="s">
        <v>17</v>
      </c>
      <c r="H43" t="s">
        <v>2544</v>
      </c>
      <c r="I43" s="2">
        <v>18000</v>
      </c>
      <c r="J43" t="s">
        <v>368</v>
      </c>
      <c r="K43" t="s">
        <v>2509</v>
      </c>
    </row>
    <row r="44" spans="1:11" x14ac:dyDescent="0.25">
      <c r="A44" t="s">
        <v>739</v>
      </c>
      <c r="B44" s="3">
        <v>46267</v>
      </c>
      <c r="C44" t="s">
        <v>217</v>
      </c>
      <c r="D44" t="s">
        <v>218</v>
      </c>
      <c r="E44">
        <v>47</v>
      </c>
      <c r="F44" t="s">
        <v>2</v>
      </c>
      <c r="G44" t="s">
        <v>55</v>
      </c>
      <c r="H44" t="s">
        <v>2545</v>
      </c>
      <c r="I44" s="2">
        <v>908000</v>
      </c>
      <c r="J44" t="s">
        <v>219</v>
      </c>
      <c r="K44" t="s">
        <v>2513</v>
      </c>
    </row>
    <row r="45" spans="1:11" x14ac:dyDescent="0.25">
      <c r="A45" t="s">
        <v>740</v>
      </c>
      <c r="B45" s="3">
        <v>46267</v>
      </c>
      <c r="C45" t="s">
        <v>43</v>
      </c>
      <c r="D45" t="s">
        <v>44</v>
      </c>
      <c r="E45">
        <v>20</v>
      </c>
      <c r="F45" t="s">
        <v>2</v>
      </c>
      <c r="G45" t="s">
        <v>22</v>
      </c>
      <c r="H45" t="s">
        <v>2546</v>
      </c>
      <c r="I45" s="2">
        <v>88000</v>
      </c>
      <c r="J45" t="s">
        <v>45</v>
      </c>
      <c r="K45" t="s">
        <v>2503</v>
      </c>
    </row>
    <row r="46" spans="1:11" x14ac:dyDescent="0.25">
      <c r="A46" t="s">
        <v>741</v>
      </c>
      <c r="B46" s="3">
        <v>46267</v>
      </c>
      <c r="C46" t="s">
        <v>665</v>
      </c>
      <c r="D46" t="s">
        <v>589</v>
      </c>
      <c r="E46">
        <v>62</v>
      </c>
      <c r="F46" t="s">
        <v>469</v>
      </c>
      <c r="G46" t="s">
        <v>40</v>
      </c>
      <c r="H46" t="s">
        <v>2547</v>
      </c>
      <c r="I46" s="2">
        <v>18000</v>
      </c>
      <c r="J46" t="s">
        <v>274</v>
      </c>
      <c r="K46" t="s">
        <v>2503</v>
      </c>
    </row>
    <row r="47" spans="1:11" x14ac:dyDescent="0.25">
      <c r="A47" t="s">
        <v>742</v>
      </c>
      <c r="B47" s="3">
        <v>46267</v>
      </c>
      <c r="C47" t="s">
        <v>586</v>
      </c>
      <c r="D47" t="s">
        <v>587</v>
      </c>
      <c r="E47">
        <v>63</v>
      </c>
      <c r="F47" t="s">
        <v>2</v>
      </c>
      <c r="G47" t="s">
        <v>48</v>
      </c>
      <c r="H47" t="s">
        <v>2548</v>
      </c>
      <c r="I47" s="2">
        <v>16000</v>
      </c>
      <c r="J47" t="s">
        <v>166</v>
      </c>
      <c r="K47" t="s">
        <v>2500</v>
      </c>
    </row>
    <row r="48" spans="1:11" x14ac:dyDescent="0.25">
      <c r="A48" t="s">
        <v>743</v>
      </c>
      <c r="B48" s="3">
        <v>46267</v>
      </c>
      <c r="C48" t="s">
        <v>645</v>
      </c>
      <c r="D48" t="s">
        <v>612</v>
      </c>
      <c r="E48">
        <v>47</v>
      </c>
      <c r="F48" t="s">
        <v>2</v>
      </c>
      <c r="G48" t="s">
        <v>55</v>
      </c>
      <c r="H48" t="s">
        <v>2549</v>
      </c>
      <c r="I48" s="2">
        <v>14000</v>
      </c>
      <c r="J48" t="s">
        <v>297</v>
      </c>
      <c r="K48" t="s">
        <v>2503</v>
      </c>
    </row>
    <row r="49" spans="1:11" x14ac:dyDescent="0.25">
      <c r="A49" t="s">
        <v>744</v>
      </c>
      <c r="B49" s="3">
        <v>46267</v>
      </c>
      <c r="C49" t="s">
        <v>235</v>
      </c>
      <c r="D49" t="s">
        <v>216</v>
      </c>
      <c r="E49">
        <v>1</v>
      </c>
      <c r="F49" t="s">
        <v>2</v>
      </c>
      <c r="G49" t="s">
        <v>36</v>
      </c>
      <c r="H49" t="s">
        <v>2550</v>
      </c>
      <c r="I49" s="2">
        <v>314000</v>
      </c>
      <c r="J49" t="s">
        <v>38</v>
      </c>
      <c r="K49" t="s">
        <v>2503</v>
      </c>
    </row>
    <row r="50" spans="1:11" x14ac:dyDescent="0.25">
      <c r="A50" t="s">
        <v>745</v>
      </c>
      <c r="B50" s="3">
        <v>46267</v>
      </c>
      <c r="C50" t="s">
        <v>150</v>
      </c>
      <c r="D50" t="s">
        <v>47</v>
      </c>
      <c r="E50">
        <v>52</v>
      </c>
      <c r="F50" t="s">
        <v>2</v>
      </c>
      <c r="G50" t="s">
        <v>85</v>
      </c>
      <c r="H50" t="s">
        <v>2551</v>
      </c>
      <c r="I50" s="2">
        <v>181000</v>
      </c>
      <c r="J50" t="s">
        <v>71</v>
      </c>
      <c r="K50" t="s">
        <v>2513</v>
      </c>
    </row>
    <row r="51" spans="1:11" x14ac:dyDescent="0.25">
      <c r="A51" t="s">
        <v>746</v>
      </c>
      <c r="B51" s="3">
        <v>46267</v>
      </c>
      <c r="C51" t="s">
        <v>528</v>
      </c>
      <c r="D51" t="s">
        <v>479</v>
      </c>
      <c r="E51">
        <v>31</v>
      </c>
      <c r="F51" t="s">
        <v>469</v>
      </c>
      <c r="G51" t="s">
        <v>81</v>
      </c>
      <c r="H51" t="s">
        <v>2552</v>
      </c>
      <c r="I51" s="2">
        <v>28000</v>
      </c>
      <c r="J51" t="s">
        <v>274</v>
      </c>
      <c r="K51" t="s">
        <v>2509</v>
      </c>
    </row>
    <row r="52" spans="1:11" x14ac:dyDescent="0.25">
      <c r="A52" t="s">
        <v>747</v>
      </c>
      <c r="B52" s="3">
        <v>46267</v>
      </c>
      <c r="C52" t="s">
        <v>460</v>
      </c>
      <c r="D52" t="s">
        <v>366</v>
      </c>
      <c r="E52">
        <v>37</v>
      </c>
      <c r="F52" t="s">
        <v>2</v>
      </c>
      <c r="G52" t="s">
        <v>55</v>
      </c>
      <c r="H52" t="s">
        <v>2553</v>
      </c>
      <c r="I52" s="2">
        <v>35000</v>
      </c>
      <c r="J52" t="s">
        <v>201</v>
      </c>
      <c r="K52" t="s">
        <v>2500</v>
      </c>
    </row>
    <row r="53" spans="1:11" x14ac:dyDescent="0.25">
      <c r="A53" t="s">
        <v>748</v>
      </c>
      <c r="B53" s="3">
        <v>46267</v>
      </c>
      <c r="C53" t="s">
        <v>339</v>
      </c>
      <c r="D53" t="s">
        <v>223</v>
      </c>
      <c r="E53">
        <v>15</v>
      </c>
      <c r="F53" t="s">
        <v>2</v>
      </c>
      <c r="G53" t="s">
        <v>17</v>
      </c>
      <c r="H53" t="s">
        <v>2554</v>
      </c>
      <c r="I53" s="2">
        <v>397000</v>
      </c>
      <c r="J53" t="s">
        <v>34</v>
      </c>
      <c r="K53" t="s">
        <v>2500</v>
      </c>
    </row>
    <row r="54" spans="1:11" x14ac:dyDescent="0.25">
      <c r="A54" t="s">
        <v>749</v>
      </c>
      <c r="B54" s="3">
        <v>46267</v>
      </c>
      <c r="C54" t="s">
        <v>226</v>
      </c>
      <c r="D54" t="s">
        <v>227</v>
      </c>
      <c r="E54">
        <v>55</v>
      </c>
      <c r="F54" t="s">
        <v>2</v>
      </c>
      <c r="G54" t="s">
        <v>17</v>
      </c>
      <c r="H54" t="s">
        <v>2555</v>
      </c>
      <c r="I54" s="2">
        <v>851000</v>
      </c>
      <c r="J54" t="s">
        <v>201</v>
      </c>
      <c r="K54" t="s">
        <v>2503</v>
      </c>
    </row>
    <row r="55" spans="1:11" x14ac:dyDescent="0.25">
      <c r="A55" t="s">
        <v>750</v>
      </c>
      <c r="B55" s="3">
        <v>46267</v>
      </c>
      <c r="C55" t="s">
        <v>396</v>
      </c>
      <c r="D55" t="s">
        <v>357</v>
      </c>
      <c r="E55">
        <v>10</v>
      </c>
      <c r="F55" t="s">
        <v>358</v>
      </c>
      <c r="G55" t="s">
        <v>61</v>
      </c>
      <c r="H55" t="s">
        <v>2556</v>
      </c>
      <c r="I55" s="2">
        <v>29000</v>
      </c>
      <c r="J55" t="s">
        <v>397</v>
      </c>
      <c r="K55" t="s">
        <v>2509</v>
      </c>
    </row>
    <row r="56" spans="1:11" x14ac:dyDescent="0.25">
      <c r="A56" t="s">
        <v>751</v>
      </c>
      <c r="B56" s="3">
        <v>46267</v>
      </c>
      <c r="C56" t="s">
        <v>504</v>
      </c>
      <c r="D56" t="s">
        <v>474</v>
      </c>
      <c r="E56">
        <v>24</v>
      </c>
      <c r="F56" t="s">
        <v>2</v>
      </c>
      <c r="G56" t="s">
        <v>17</v>
      </c>
      <c r="H56" t="s">
        <v>2557</v>
      </c>
      <c r="I56" s="2">
        <v>14000</v>
      </c>
      <c r="J56" t="s">
        <v>274</v>
      </c>
      <c r="K56" t="s">
        <v>2513</v>
      </c>
    </row>
    <row r="57" spans="1:11" x14ac:dyDescent="0.25">
      <c r="A57" t="s">
        <v>752</v>
      </c>
      <c r="B57" s="3">
        <v>46267</v>
      </c>
      <c r="C57" t="s">
        <v>199</v>
      </c>
      <c r="D57" t="s">
        <v>163</v>
      </c>
      <c r="E57">
        <v>35</v>
      </c>
      <c r="F57" t="s">
        <v>2</v>
      </c>
      <c r="G57" t="s">
        <v>36</v>
      </c>
      <c r="H57" t="s">
        <v>2558</v>
      </c>
      <c r="I57" s="2">
        <v>24000</v>
      </c>
      <c r="J57" t="s">
        <v>75</v>
      </c>
      <c r="K57" t="s">
        <v>2513</v>
      </c>
    </row>
    <row r="58" spans="1:11" x14ac:dyDescent="0.25">
      <c r="A58" t="s">
        <v>753</v>
      </c>
      <c r="B58" s="3">
        <v>46267</v>
      </c>
      <c r="C58" t="s">
        <v>419</v>
      </c>
      <c r="D58" t="s">
        <v>354</v>
      </c>
      <c r="E58">
        <v>16</v>
      </c>
      <c r="F58" t="s">
        <v>355</v>
      </c>
      <c r="G58" t="s">
        <v>81</v>
      </c>
      <c r="H58" t="s">
        <v>2559</v>
      </c>
      <c r="I58" s="2">
        <v>30000</v>
      </c>
      <c r="J58" t="s">
        <v>147</v>
      </c>
      <c r="K58" t="s">
        <v>2513</v>
      </c>
    </row>
    <row r="59" spans="1:11" x14ac:dyDescent="0.25">
      <c r="A59" t="s">
        <v>754</v>
      </c>
      <c r="B59" s="3">
        <v>46267</v>
      </c>
      <c r="C59" t="s">
        <v>396</v>
      </c>
      <c r="D59" t="s">
        <v>357</v>
      </c>
      <c r="E59">
        <v>4</v>
      </c>
      <c r="F59" t="s">
        <v>358</v>
      </c>
      <c r="G59" t="s">
        <v>61</v>
      </c>
      <c r="H59" t="s">
        <v>2560</v>
      </c>
      <c r="I59" s="2">
        <v>29000</v>
      </c>
      <c r="J59" t="s">
        <v>397</v>
      </c>
      <c r="K59" t="s">
        <v>2500</v>
      </c>
    </row>
    <row r="60" spans="1:11" x14ac:dyDescent="0.25">
      <c r="A60" t="s">
        <v>755</v>
      </c>
      <c r="B60" s="3">
        <v>46267</v>
      </c>
      <c r="C60" t="s">
        <v>170</v>
      </c>
      <c r="D60" t="s">
        <v>66</v>
      </c>
      <c r="E60">
        <v>37</v>
      </c>
      <c r="F60" t="s">
        <v>2</v>
      </c>
      <c r="G60" t="s">
        <v>85</v>
      </c>
      <c r="H60" t="s">
        <v>2561</v>
      </c>
      <c r="I60" s="2">
        <v>237000</v>
      </c>
      <c r="J60" t="s">
        <v>171</v>
      </c>
      <c r="K60" t="s">
        <v>2500</v>
      </c>
    </row>
    <row r="61" spans="1:11" x14ac:dyDescent="0.25">
      <c r="A61" t="s">
        <v>756</v>
      </c>
      <c r="B61" s="3">
        <v>46267</v>
      </c>
      <c r="C61" t="s">
        <v>686</v>
      </c>
      <c r="D61" t="s">
        <v>589</v>
      </c>
      <c r="E61">
        <v>36</v>
      </c>
      <c r="F61" t="s">
        <v>469</v>
      </c>
      <c r="G61" t="s">
        <v>17</v>
      </c>
      <c r="H61" t="s">
        <v>2562</v>
      </c>
      <c r="I61" s="2">
        <v>14000</v>
      </c>
      <c r="J61" t="s">
        <v>185</v>
      </c>
      <c r="K61" t="s">
        <v>2513</v>
      </c>
    </row>
    <row r="62" spans="1:11" x14ac:dyDescent="0.25">
      <c r="A62" t="s">
        <v>757</v>
      </c>
      <c r="B62" s="3">
        <v>46267</v>
      </c>
      <c r="C62" t="s">
        <v>648</v>
      </c>
      <c r="D62" t="s">
        <v>585</v>
      </c>
      <c r="E62">
        <v>36</v>
      </c>
      <c r="F62" t="s">
        <v>355</v>
      </c>
      <c r="G62" t="s">
        <v>22</v>
      </c>
      <c r="H62" t="s">
        <v>2563</v>
      </c>
      <c r="I62" s="2">
        <v>29000</v>
      </c>
      <c r="J62" t="s">
        <v>203</v>
      </c>
      <c r="K62" t="s">
        <v>2513</v>
      </c>
    </row>
    <row r="63" spans="1:11" x14ac:dyDescent="0.25">
      <c r="A63" t="s">
        <v>758</v>
      </c>
      <c r="B63" s="3">
        <v>46267</v>
      </c>
      <c r="C63" t="s">
        <v>411</v>
      </c>
      <c r="D63" t="s">
        <v>366</v>
      </c>
      <c r="E63">
        <v>9</v>
      </c>
      <c r="F63" t="s">
        <v>2</v>
      </c>
      <c r="G63" t="s">
        <v>85</v>
      </c>
      <c r="H63" t="s">
        <v>2564</v>
      </c>
      <c r="I63" s="2">
        <v>68000</v>
      </c>
      <c r="J63" t="s">
        <v>312</v>
      </c>
      <c r="K63" t="s">
        <v>2500</v>
      </c>
    </row>
    <row r="64" spans="1:11" x14ac:dyDescent="0.25">
      <c r="A64" t="s">
        <v>759</v>
      </c>
      <c r="B64" s="3">
        <v>46267</v>
      </c>
      <c r="C64" t="s">
        <v>693</v>
      </c>
      <c r="D64" t="s">
        <v>582</v>
      </c>
      <c r="E64">
        <v>26</v>
      </c>
      <c r="F64" t="s">
        <v>2</v>
      </c>
      <c r="G64" t="s">
        <v>36</v>
      </c>
      <c r="H64" t="s">
        <v>2565</v>
      </c>
      <c r="I64" s="2">
        <v>136000</v>
      </c>
      <c r="J64" t="s">
        <v>175</v>
      </c>
      <c r="K64" t="s">
        <v>2503</v>
      </c>
    </row>
    <row r="65" spans="1:11" x14ac:dyDescent="0.25">
      <c r="A65" t="s">
        <v>760</v>
      </c>
      <c r="B65" s="3">
        <v>46267</v>
      </c>
      <c r="C65" t="s">
        <v>660</v>
      </c>
      <c r="D65" t="s">
        <v>629</v>
      </c>
      <c r="E65">
        <v>35</v>
      </c>
      <c r="F65" t="s">
        <v>355</v>
      </c>
      <c r="G65" t="s">
        <v>48</v>
      </c>
      <c r="H65" t="s">
        <v>2566</v>
      </c>
      <c r="I65" s="2">
        <v>18000</v>
      </c>
      <c r="J65" t="s">
        <v>312</v>
      </c>
      <c r="K65" t="s">
        <v>2513</v>
      </c>
    </row>
    <row r="66" spans="1:11" x14ac:dyDescent="0.25">
      <c r="A66" t="s">
        <v>761</v>
      </c>
      <c r="B66" s="3">
        <v>46267</v>
      </c>
      <c r="C66" t="s">
        <v>421</v>
      </c>
      <c r="D66" t="s">
        <v>360</v>
      </c>
      <c r="E66">
        <v>62</v>
      </c>
      <c r="F66" t="s">
        <v>358</v>
      </c>
      <c r="G66" t="s">
        <v>36</v>
      </c>
      <c r="H66" t="s">
        <v>2567</v>
      </c>
      <c r="I66" s="2">
        <v>17000</v>
      </c>
      <c r="J66" t="s">
        <v>144</v>
      </c>
      <c r="K66" t="s">
        <v>2513</v>
      </c>
    </row>
    <row r="67" spans="1:11" x14ac:dyDescent="0.25">
      <c r="A67" t="s">
        <v>762</v>
      </c>
      <c r="B67" s="3">
        <v>46267</v>
      </c>
      <c r="C67" t="s">
        <v>308</v>
      </c>
      <c r="D67" t="s">
        <v>227</v>
      </c>
      <c r="E67">
        <v>58</v>
      </c>
      <c r="F67" t="s">
        <v>2</v>
      </c>
      <c r="G67" t="s">
        <v>40</v>
      </c>
      <c r="H67" t="s">
        <v>2568</v>
      </c>
      <c r="I67" s="2">
        <v>789000</v>
      </c>
      <c r="J67" t="s">
        <v>259</v>
      </c>
      <c r="K67" t="s">
        <v>2513</v>
      </c>
    </row>
    <row r="68" spans="1:11" x14ac:dyDescent="0.25">
      <c r="A68" t="s">
        <v>763</v>
      </c>
      <c r="B68" s="3">
        <v>46267</v>
      </c>
      <c r="C68" t="s">
        <v>373</v>
      </c>
      <c r="D68" t="s">
        <v>364</v>
      </c>
      <c r="E68">
        <v>15</v>
      </c>
      <c r="F68" t="s">
        <v>358</v>
      </c>
      <c r="G68" t="s">
        <v>32</v>
      </c>
      <c r="H68" t="s">
        <v>2569</v>
      </c>
      <c r="I68" s="2">
        <v>34000</v>
      </c>
      <c r="J68" t="s">
        <v>206</v>
      </c>
      <c r="K68" t="s">
        <v>2513</v>
      </c>
    </row>
    <row r="69" spans="1:11" x14ac:dyDescent="0.25">
      <c r="A69" t="s">
        <v>764</v>
      </c>
      <c r="B69" s="3">
        <v>46267</v>
      </c>
      <c r="C69" t="s">
        <v>608</v>
      </c>
      <c r="D69" t="s">
        <v>582</v>
      </c>
      <c r="E69">
        <v>25</v>
      </c>
      <c r="F69" t="s">
        <v>2</v>
      </c>
      <c r="G69" t="s">
        <v>81</v>
      </c>
      <c r="H69" t="s">
        <v>2570</v>
      </c>
      <c r="I69" s="2">
        <v>120000</v>
      </c>
      <c r="J69" t="s">
        <v>206</v>
      </c>
      <c r="K69" t="s">
        <v>2513</v>
      </c>
    </row>
    <row r="70" spans="1:11" x14ac:dyDescent="0.25">
      <c r="A70" t="s">
        <v>765</v>
      </c>
      <c r="B70" s="3">
        <v>46267</v>
      </c>
      <c r="C70" t="s">
        <v>72</v>
      </c>
      <c r="D70" t="s">
        <v>29</v>
      </c>
      <c r="E70">
        <v>12</v>
      </c>
      <c r="F70" t="s">
        <v>2</v>
      </c>
      <c r="G70" t="s">
        <v>36</v>
      </c>
      <c r="H70" t="s">
        <v>2571</v>
      </c>
      <c r="I70" s="2">
        <v>275000</v>
      </c>
      <c r="J70" t="s">
        <v>73</v>
      </c>
      <c r="K70" t="s">
        <v>2513</v>
      </c>
    </row>
    <row r="71" spans="1:11" x14ac:dyDescent="0.25">
      <c r="A71" t="s">
        <v>766</v>
      </c>
      <c r="B71" s="3">
        <v>46267</v>
      </c>
      <c r="C71" t="s">
        <v>436</v>
      </c>
      <c r="D71" t="s">
        <v>366</v>
      </c>
      <c r="E71">
        <v>1</v>
      </c>
      <c r="F71" t="s">
        <v>2</v>
      </c>
      <c r="G71" t="s">
        <v>85</v>
      </c>
      <c r="H71" t="s">
        <v>2572</v>
      </c>
      <c r="I71" s="2">
        <v>51000</v>
      </c>
      <c r="J71" t="s">
        <v>19</v>
      </c>
      <c r="K71" t="s">
        <v>2500</v>
      </c>
    </row>
    <row r="72" spans="1:11" x14ac:dyDescent="0.25">
      <c r="A72" t="s">
        <v>767</v>
      </c>
      <c r="B72" s="3">
        <v>46267</v>
      </c>
      <c r="C72" t="s">
        <v>372</v>
      </c>
      <c r="D72" t="s">
        <v>360</v>
      </c>
      <c r="E72">
        <v>2</v>
      </c>
      <c r="F72" t="s">
        <v>358</v>
      </c>
      <c r="G72" t="s">
        <v>81</v>
      </c>
      <c r="H72" t="s">
        <v>2573</v>
      </c>
      <c r="I72" s="2">
        <v>15000</v>
      </c>
      <c r="J72" t="s">
        <v>126</v>
      </c>
      <c r="K72" t="s">
        <v>2513</v>
      </c>
    </row>
    <row r="73" spans="1:11" x14ac:dyDescent="0.25">
      <c r="A73" t="s">
        <v>768</v>
      </c>
      <c r="B73" s="3">
        <v>46268</v>
      </c>
      <c r="C73" t="s">
        <v>664</v>
      </c>
      <c r="D73" t="s">
        <v>612</v>
      </c>
      <c r="E73">
        <v>25</v>
      </c>
      <c r="F73" t="s">
        <v>2</v>
      </c>
      <c r="G73" t="s">
        <v>36</v>
      </c>
      <c r="H73" t="s">
        <v>2574</v>
      </c>
      <c r="I73" s="2">
        <v>15000</v>
      </c>
      <c r="J73" t="s">
        <v>265</v>
      </c>
      <c r="K73" t="s">
        <v>2503</v>
      </c>
    </row>
    <row r="74" spans="1:11" x14ac:dyDescent="0.25">
      <c r="A74" t="s">
        <v>769</v>
      </c>
      <c r="B74" s="3">
        <v>46268</v>
      </c>
      <c r="C74" t="s">
        <v>557</v>
      </c>
      <c r="D74" t="s">
        <v>474</v>
      </c>
      <c r="E74">
        <v>25</v>
      </c>
      <c r="F74" t="s">
        <v>2</v>
      </c>
      <c r="G74" t="s">
        <v>22</v>
      </c>
      <c r="H74" t="s">
        <v>2575</v>
      </c>
      <c r="I74" s="2">
        <v>2000</v>
      </c>
      <c r="J74" t="s">
        <v>297</v>
      </c>
      <c r="K74" t="s">
        <v>2513</v>
      </c>
    </row>
    <row r="75" spans="1:11" x14ac:dyDescent="0.25">
      <c r="A75" t="s">
        <v>770</v>
      </c>
      <c r="B75" s="3">
        <v>46268</v>
      </c>
      <c r="C75" t="s">
        <v>196</v>
      </c>
      <c r="D75" t="s">
        <v>47</v>
      </c>
      <c r="E75">
        <v>26</v>
      </c>
      <c r="F75" t="s">
        <v>2</v>
      </c>
      <c r="G75" t="s">
        <v>85</v>
      </c>
      <c r="H75" t="s">
        <v>2576</v>
      </c>
      <c r="I75" s="2">
        <v>475000</v>
      </c>
      <c r="J75" t="s">
        <v>164</v>
      </c>
      <c r="K75" t="s">
        <v>2509</v>
      </c>
    </row>
    <row r="76" spans="1:11" x14ac:dyDescent="0.25">
      <c r="A76" t="s">
        <v>771</v>
      </c>
      <c r="B76" s="3">
        <v>46268</v>
      </c>
      <c r="C76" t="s">
        <v>162</v>
      </c>
      <c r="D76" t="s">
        <v>163</v>
      </c>
      <c r="E76">
        <v>8</v>
      </c>
      <c r="F76" t="s">
        <v>2</v>
      </c>
      <c r="G76" t="s">
        <v>40</v>
      </c>
      <c r="H76" t="s">
        <v>2577</v>
      </c>
      <c r="I76" s="2">
        <v>66000</v>
      </c>
      <c r="J76" t="s">
        <v>164</v>
      </c>
      <c r="K76" t="s">
        <v>2503</v>
      </c>
    </row>
    <row r="77" spans="1:11" x14ac:dyDescent="0.25">
      <c r="A77" t="s">
        <v>772</v>
      </c>
      <c r="B77" s="3">
        <v>46268</v>
      </c>
      <c r="C77" t="s">
        <v>145</v>
      </c>
      <c r="D77" t="s">
        <v>26</v>
      </c>
      <c r="E77">
        <v>41</v>
      </c>
      <c r="F77" t="s">
        <v>2</v>
      </c>
      <c r="G77" t="s">
        <v>36</v>
      </c>
      <c r="H77" t="s">
        <v>2578</v>
      </c>
      <c r="I77" s="2">
        <v>282000</v>
      </c>
      <c r="J77" t="s">
        <v>59</v>
      </c>
      <c r="K77" t="s">
        <v>2509</v>
      </c>
    </row>
    <row r="78" spans="1:11" x14ac:dyDescent="0.25">
      <c r="A78" t="s">
        <v>773</v>
      </c>
      <c r="B78" s="3">
        <v>46268</v>
      </c>
      <c r="C78" t="s">
        <v>248</v>
      </c>
      <c r="D78" t="s">
        <v>240</v>
      </c>
      <c r="E78">
        <v>17</v>
      </c>
      <c r="F78" t="s">
        <v>2</v>
      </c>
      <c r="G78" t="s">
        <v>55</v>
      </c>
      <c r="H78" t="s">
        <v>2579</v>
      </c>
      <c r="I78" s="2">
        <v>468000</v>
      </c>
      <c r="J78" t="s">
        <v>126</v>
      </c>
      <c r="K78" t="s">
        <v>2513</v>
      </c>
    </row>
    <row r="79" spans="1:11" x14ac:dyDescent="0.25">
      <c r="A79" t="s">
        <v>774</v>
      </c>
      <c r="B79" s="3">
        <v>46268</v>
      </c>
      <c r="C79" t="s">
        <v>138</v>
      </c>
      <c r="D79" t="s">
        <v>44</v>
      </c>
      <c r="E79">
        <v>66</v>
      </c>
      <c r="F79" t="s">
        <v>2</v>
      </c>
      <c r="G79" t="s">
        <v>17</v>
      </c>
      <c r="H79" t="s">
        <v>2580</v>
      </c>
      <c r="I79" s="2">
        <v>20000</v>
      </c>
      <c r="J79" t="s">
        <v>98</v>
      </c>
      <c r="K79" t="s">
        <v>2509</v>
      </c>
    </row>
    <row r="80" spans="1:11" x14ac:dyDescent="0.25">
      <c r="A80" t="s">
        <v>775</v>
      </c>
      <c r="B80" s="3">
        <v>46268</v>
      </c>
      <c r="C80" t="s">
        <v>332</v>
      </c>
      <c r="D80" t="s">
        <v>223</v>
      </c>
      <c r="E80">
        <v>68</v>
      </c>
      <c r="F80" t="s">
        <v>2</v>
      </c>
      <c r="G80" t="s">
        <v>48</v>
      </c>
      <c r="H80" t="s">
        <v>2581</v>
      </c>
      <c r="I80" s="2">
        <v>481000</v>
      </c>
      <c r="J80" t="s">
        <v>279</v>
      </c>
      <c r="K80" t="s">
        <v>2513</v>
      </c>
    </row>
    <row r="81" spans="1:11" x14ac:dyDescent="0.25">
      <c r="A81" t="s">
        <v>776</v>
      </c>
      <c r="B81" s="3">
        <v>46268</v>
      </c>
      <c r="C81" t="s">
        <v>662</v>
      </c>
      <c r="D81" t="s">
        <v>599</v>
      </c>
      <c r="E81">
        <v>66</v>
      </c>
      <c r="F81" t="s">
        <v>2</v>
      </c>
      <c r="G81" t="s">
        <v>32</v>
      </c>
      <c r="H81" t="s">
        <v>2582</v>
      </c>
      <c r="I81" s="2">
        <v>84000</v>
      </c>
      <c r="J81" t="s">
        <v>83</v>
      </c>
      <c r="K81" t="s">
        <v>2509</v>
      </c>
    </row>
    <row r="82" spans="1:11" x14ac:dyDescent="0.25">
      <c r="A82" t="s">
        <v>777</v>
      </c>
      <c r="B82" s="3">
        <v>46268</v>
      </c>
      <c r="C82" t="s">
        <v>122</v>
      </c>
      <c r="D82" t="s">
        <v>54</v>
      </c>
      <c r="E82">
        <v>69</v>
      </c>
      <c r="F82" t="s">
        <v>2</v>
      </c>
      <c r="G82" t="s">
        <v>17</v>
      </c>
      <c r="H82" t="s">
        <v>2583</v>
      </c>
      <c r="I82" s="2">
        <v>169000</v>
      </c>
      <c r="J82" t="s">
        <v>98</v>
      </c>
      <c r="K82" t="s">
        <v>2509</v>
      </c>
    </row>
    <row r="83" spans="1:11" x14ac:dyDescent="0.25">
      <c r="A83" t="s">
        <v>778</v>
      </c>
      <c r="B83" s="3">
        <v>46268</v>
      </c>
      <c r="C83" t="s">
        <v>657</v>
      </c>
      <c r="D83" t="s">
        <v>585</v>
      </c>
      <c r="E83">
        <v>34</v>
      </c>
      <c r="F83" t="s">
        <v>355</v>
      </c>
      <c r="G83" t="s">
        <v>36</v>
      </c>
      <c r="H83" t="s">
        <v>2584</v>
      </c>
      <c r="I83" s="2">
        <v>21000</v>
      </c>
      <c r="J83" t="s">
        <v>250</v>
      </c>
      <c r="K83" t="s">
        <v>2509</v>
      </c>
    </row>
    <row r="84" spans="1:11" x14ac:dyDescent="0.25">
      <c r="A84" t="s">
        <v>779</v>
      </c>
      <c r="B84" s="3">
        <v>46268</v>
      </c>
      <c r="C84" t="s">
        <v>31</v>
      </c>
      <c r="D84" t="s">
        <v>29</v>
      </c>
      <c r="E84">
        <v>61</v>
      </c>
      <c r="F84" t="s">
        <v>2</v>
      </c>
      <c r="G84" t="s">
        <v>32</v>
      </c>
      <c r="H84" t="s">
        <v>2585</v>
      </c>
      <c r="I84" s="2">
        <v>254000</v>
      </c>
      <c r="J84" t="s">
        <v>34</v>
      </c>
      <c r="K84" t="s">
        <v>2503</v>
      </c>
    </row>
    <row r="85" spans="1:11" x14ac:dyDescent="0.25">
      <c r="A85" t="s">
        <v>780</v>
      </c>
      <c r="B85" s="3">
        <v>46268</v>
      </c>
      <c r="C85" t="s">
        <v>53</v>
      </c>
      <c r="D85" t="s">
        <v>54</v>
      </c>
      <c r="E85">
        <v>14</v>
      </c>
      <c r="F85" t="s">
        <v>2</v>
      </c>
      <c r="G85" t="s">
        <v>55</v>
      </c>
      <c r="H85" t="s">
        <v>2586</v>
      </c>
      <c r="I85" s="2">
        <v>68000</v>
      </c>
      <c r="J85" t="s">
        <v>57</v>
      </c>
      <c r="K85" t="s">
        <v>2503</v>
      </c>
    </row>
    <row r="86" spans="1:11" x14ac:dyDescent="0.25">
      <c r="A86" t="s">
        <v>781</v>
      </c>
      <c r="B86" s="3">
        <v>46268</v>
      </c>
      <c r="C86" t="s">
        <v>128</v>
      </c>
      <c r="D86" t="s">
        <v>47</v>
      </c>
      <c r="E86">
        <v>66</v>
      </c>
      <c r="F86" t="s">
        <v>2</v>
      </c>
      <c r="G86" t="s">
        <v>36</v>
      </c>
      <c r="H86" t="s">
        <v>2587</v>
      </c>
      <c r="I86" s="2">
        <v>170000</v>
      </c>
      <c r="J86" t="s">
        <v>129</v>
      </c>
      <c r="K86" t="s">
        <v>2509</v>
      </c>
    </row>
    <row r="87" spans="1:11" x14ac:dyDescent="0.25">
      <c r="A87" t="s">
        <v>782</v>
      </c>
      <c r="B87" s="3">
        <v>46268</v>
      </c>
      <c r="C87" t="s">
        <v>459</v>
      </c>
      <c r="D87" t="s">
        <v>351</v>
      </c>
      <c r="E87">
        <v>12</v>
      </c>
      <c r="F87" t="s">
        <v>2</v>
      </c>
      <c r="G87" t="s">
        <v>61</v>
      </c>
      <c r="H87" t="s">
        <v>2588</v>
      </c>
      <c r="I87" s="2">
        <v>608000</v>
      </c>
      <c r="J87" t="s">
        <v>77</v>
      </c>
      <c r="K87" t="s">
        <v>2509</v>
      </c>
    </row>
    <row r="88" spans="1:11" x14ac:dyDescent="0.25">
      <c r="A88" t="s">
        <v>783</v>
      </c>
      <c r="B88" s="3">
        <v>46268</v>
      </c>
      <c r="C88" t="s">
        <v>537</v>
      </c>
      <c r="D88" t="s">
        <v>479</v>
      </c>
      <c r="E88">
        <v>31</v>
      </c>
      <c r="F88" t="s">
        <v>469</v>
      </c>
      <c r="G88" t="s">
        <v>55</v>
      </c>
      <c r="H88" t="s">
        <v>2589</v>
      </c>
      <c r="I88" s="2">
        <v>28000</v>
      </c>
      <c r="J88" t="s">
        <v>173</v>
      </c>
      <c r="K88" t="s">
        <v>2503</v>
      </c>
    </row>
    <row r="89" spans="1:11" x14ac:dyDescent="0.25">
      <c r="A89" t="s">
        <v>784</v>
      </c>
      <c r="B89" s="3">
        <v>46268</v>
      </c>
      <c r="C89" t="s">
        <v>280</v>
      </c>
      <c r="D89" t="s">
        <v>210</v>
      </c>
      <c r="E89">
        <v>19</v>
      </c>
      <c r="F89" t="s">
        <v>2</v>
      </c>
      <c r="G89" t="s">
        <v>81</v>
      </c>
      <c r="H89" t="s">
        <v>2590</v>
      </c>
      <c r="I89" s="2">
        <v>2751000</v>
      </c>
      <c r="J89" t="s">
        <v>126</v>
      </c>
      <c r="K89" t="s">
        <v>2513</v>
      </c>
    </row>
    <row r="90" spans="1:11" x14ac:dyDescent="0.25">
      <c r="A90" t="s">
        <v>785</v>
      </c>
      <c r="B90" s="3">
        <v>46268</v>
      </c>
      <c r="C90" t="s">
        <v>472</v>
      </c>
      <c r="D90" t="s">
        <v>467</v>
      </c>
      <c r="E90">
        <v>17</v>
      </c>
      <c r="F90" t="s">
        <v>469</v>
      </c>
      <c r="G90" t="s">
        <v>40</v>
      </c>
      <c r="H90" t="s">
        <v>2591</v>
      </c>
      <c r="I90" s="2">
        <v>58000</v>
      </c>
      <c r="J90" t="s">
        <v>119</v>
      </c>
      <c r="K90" t="s">
        <v>2503</v>
      </c>
    </row>
    <row r="91" spans="1:11" x14ac:dyDescent="0.25">
      <c r="A91" t="s">
        <v>786</v>
      </c>
      <c r="B91" s="3">
        <v>46268</v>
      </c>
      <c r="C91" t="s">
        <v>411</v>
      </c>
      <c r="D91" t="s">
        <v>366</v>
      </c>
      <c r="E91">
        <v>38</v>
      </c>
      <c r="F91" t="s">
        <v>2</v>
      </c>
      <c r="G91" t="s">
        <v>85</v>
      </c>
      <c r="H91" t="s">
        <v>2592</v>
      </c>
      <c r="I91" s="2">
        <v>68000</v>
      </c>
      <c r="J91" t="s">
        <v>312</v>
      </c>
      <c r="K91" t="s">
        <v>2503</v>
      </c>
    </row>
    <row r="92" spans="1:11" x14ac:dyDescent="0.25">
      <c r="A92" t="s">
        <v>787</v>
      </c>
      <c r="B92" s="3">
        <v>46268</v>
      </c>
      <c r="C92" t="s">
        <v>275</v>
      </c>
      <c r="D92" t="s">
        <v>218</v>
      </c>
      <c r="E92">
        <v>18</v>
      </c>
      <c r="F92" t="s">
        <v>2</v>
      </c>
      <c r="G92" t="s">
        <v>55</v>
      </c>
      <c r="H92" t="s">
        <v>2593</v>
      </c>
      <c r="I92" s="2">
        <v>1530000</v>
      </c>
      <c r="J92" t="s">
        <v>259</v>
      </c>
      <c r="K92" t="s">
        <v>2509</v>
      </c>
    </row>
    <row r="93" spans="1:11" x14ac:dyDescent="0.25">
      <c r="A93" t="s">
        <v>788</v>
      </c>
      <c r="B93" s="3">
        <v>46268</v>
      </c>
      <c r="C93" t="s">
        <v>646</v>
      </c>
      <c r="D93" t="s">
        <v>599</v>
      </c>
      <c r="E93">
        <v>16</v>
      </c>
      <c r="F93" t="s">
        <v>2</v>
      </c>
      <c r="G93" t="s">
        <v>17</v>
      </c>
      <c r="H93" t="s">
        <v>2594</v>
      </c>
      <c r="I93" s="2">
        <v>91000</v>
      </c>
      <c r="J93" t="s">
        <v>294</v>
      </c>
      <c r="K93" t="s">
        <v>2513</v>
      </c>
    </row>
    <row r="94" spans="1:11" x14ac:dyDescent="0.25">
      <c r="A94" t="s">
        <v>789</v>
      </c>
      <c r="B94" s="3">
        <v>46268</v>
      </c>
      <c r="C94" t="s">
        <v>454</v>
      </c>
      <c r="D94" t="s">
        <v>344</v>
      </c>
      <c r="E94">
        <v>49</v>
      </c>
      <c r="F94" t="s">
        <v>346</v>
      </c>
      <c r="G94" t="s">
        <v>55</v>
      </c>
      <c r="H94" t="s">
        <v>2595</v>
      </c>
      <c r="I94" s="2">
        <v>50000</v>
      </c>
      <c r="J94" t="s">
        <v>455</v>
      </c>
      <c r="K94" t="s">
        <v>2503</v>
      </c>
    </row>
    <row r="95" spans="1:11" x14ac:dyDescent="0.25">
      <c r="A95" t="s">
        <v>790</v>
      </c>
      <c r="B95" s="3">
        <v>46268</v>
      </c>
      <c r="C95" t="s">
        <v>367</v>
      </c>
      <c r="D95" t="s">
        <v>344</v>
      </c>
      <c r="E95">
        <v>1</v>
      </c>
      <c r="F95" t="s">
        <v>346</v>
      </c>
      <c r="G95" t="s">
        <v>32</v>
      </c>
      <c r="H95" t="s">
        <v>2596</v>
      </c>
      <c r="I95" s="2">
        <v>67000</v>
      </c>
      <c r="J95" t="s">
        <v>368</v>
      </c>
      <c r="K95" t="s">
        <v>2503</v>
      </c>
    </row>
    <row r="96" spans="1:11" x14ac:dyDescent="0.25">
      <c r="A96" t="s">
        <v>791</v>
      </c>
      <c r="B96" s="3">
        <v>46268</v>
      </c>
      <c r="C96" t="s">
        <v>519</v>
      </c>
      <c r="D96" t="s">
        <v>488</v>
      </c>
      <c r="E96">
        <v>31</v>
      </c>
      <c r="F96" t="s">
        <v>469</v>
      </c>
      <c r="G96" t="s">
        <v>32</v>
      </c>
      <c r="H96" t="s">
        <v>2597</v>
      </c>
      <c r="I96" s="2">
        <v>50000</v>
      </c>
      <c r="J96" t="s">
        <v>126</v>
      </c>
      <c r="K96" t="s">
        <v>2513</v>
      </c>
    </row>
    <row r="97" spans="1:11" x14ac:dyDescent="0.25">
      <c r="A97" t="s">
        <v>792</v>
      </c>
      <c r="B97" s="3">
        <v>46268</v>
      </c>
      <c r="C97" t="s">
        <v>207</v>
      </c>
      <c r="D97" t="s">
        <v>29</v>
      </c>
      <c r="E97">
        <v>66</v>
      </c>
      <c r="F97" t="s">
        <v>2</v>
      </c>
      <c r="G97" t="s">
        <v>32</v>
      </c>
      <c r="H97" t="s">
        <v>2598</v>
      </c>
      <c r="I97" s="2">
        <v>269000</v>
      </c>
      <c r="J97" t="s">
        <v>208</v>
      </c>
      <c r="K97" t="s">
        <v>2513</v>
      </c>
    </row>
    <row r="98" spans="1:11" x14ac:dyDescent="0.25">
      <c r="A98" t="s">
        <v>793</v>
      </c>
      <c r="B98" s="3">
        <v>46268</v>
      </c>
      <c r="C98" t="s">
        <v>405</v>
      </c>
      <c r="D98" t="s">
        <v>344</v>
      </c>
      <c r="E98">
        <v>47</v>
      </c>
      <c r="F98" t="s">
        <v>346</v>
      </c>
      <c r="G98" t="s">
        <v>48</v>
      </c>
      <c r="H98" t="s">
        <v>2599</v>
      </c>
      <c r="I98" s="2">
        <v>65000</v>
      </c>
      <c r="J98" t="s">
        <v>121</v>
      </c>
      <c r="K98" t="s">
        <v>2513</v>
      </c>
    </row>
    <row r="99" spans="1:11" x14ac:dyDescent="0.25">
      <c r="A99" t="s">
        <v>794</v>
      </c>
      <c r="B99" s="3">
        <v>46268</v>
      </c>
      <c r="C99" t="s">
        <v>556</v>
      </c>
      <c r="D99" t="s">
        <v>474</v>
      </c>
      <c r="E99">
        <v>50</v>
      </c>
      <c r="F99" t="s">
        <v>2</v>
      </c>
      <c r="G99" t="s">
        <v>55</v>
      </c>
      <c r="H99" t="s">
        <v>2600</v>
      </c>
      <c r="I99" s="2">
        <v>11000</v>
      </c>
      <c r="J99" t="s">
        <v>45</v>
      </c>
      <c r="K99" t="s">
        <v>2500</v>
      </c>
    </row>
    <row r="100" spans="1:11" x14ac:dyDescent="0.25">
      <c r="A100" t="s">
        <v>795</v>
      </c>
      <c r="B100" s="3">
        <v>46268</v>
      </c>
      <c r="C100" t="s">
        <v>536</v>
      </c>
      <c r="D100" t="s">
        <v>481</v>
      </c>
      <c r="E100">
        <v>43</v>
      </c>
      <c r="F100" t="s">
        <v>2</v>
      </c>
      <c r="G100" t="s">
        <v>22</v>
      </c>
      <c r="H100" t="s">
        <v>2601</v>
      </c>
      <c r="I100" s="2">
        <v>193000</v>
      </c>
      <c r="J100" t="s">
        <v>221</v>
      </c>
      <c r="K100" t="s">
        <v>2513</v>
      </c>
    </row>
    <row r="101" spans="1:11" x14ac:dyDescent="0.25">
      <c r="A101" t="s">
        <v>796</v>
      </c>
      <c r="B101" s="3">
        <v>46268</v>
      </c>
      <c r="C101" t="s">
        <v>388</v>
      </c>
      <c r="D101" t="s">
        <v>351</v>
      </c>
      <c r="E101">
        <v>34</v>
      </c>
      <c r="F101" t="s">
        <v>2</v>
      </c>
      <c r="G101" t="s">
        <v>32</v>
      </c>
      <c r="H101" t="s">
        <v>2602</v>
      </c>
      <c r="I101" s="2">
        <v>233000</v>
      </c>
      <c r="J101" t="s">
        <v>147</v>
      </c>
      <c r="K101" t="s">
        <v>2509</v>
      </c>
    </row>
    <row r="102" spans="1:11" x14ac:dyDescent="0.25">
      <c r="A102" t="s">
        <v>797</v>
      </c>
      <c r="B102" s="3">
        <v>46268</v>
      </c>
      <c r="C102" t="s">
        <v>112</v>
      </c>
      <c r="D102" t="s">
        <v>29</v>
      </c>
      <c r="E102">
        <v>38</v>
      </c>
      <c r="F102" t="s">
        <v>2</v>
      </c>
      <c r="G102" t="s">
        <v>55</v>
      </c>
      <c r="H102" t="s">
        <v>2603</v>
      </c>
      <c r="I102" s="2">
        <v>81000</v>
      </c>
      <c r="J102" t="s">
        <v>113</v>
      </c>
      <c r="K102" t="s">
        <v>2503</v>
      </c>
    </row>
    <row r="103" spans="1:11" x14ac:dyDescent="0.25">
      <c r="A103" t="s">
        <v>798</v>
      </c>
      <c r="B103" s="3">
        <v>46268</v>
      </c>
      <c r="C103" t="s">
        <v>648</v>
      </c>
      <c r="D103" t="s">
        <v>585</v>
      </c>
      <c r="E103">
        <v>66</v>
      </c>
      <c r="F103" t="s">
        <v>355</v>
      </c>
      <c r="G103" t="s">
        <v>22</v>
      </c>
      <c r="H103" t="s">
        <v>2604</v>
      </c>
      <c r="I103" s="2">
        <v>29000</v>
      </c>
      <c r="J103" t="s">
        <v>203</v>
      </c>
      <c r="K103" t="s">
        <v>2509</v>
      </c>
    </row>
    <row r="104" spans="1:11" x14ac:dyDescent="0.25">
      <c r="A104" t="s">
        <v>799</v>
      </c>
      <c r="B104" s="3">
        <v>46268</v>
      </c>
      <c r="C104" t="s">
        <v>447</v>
      </c>
      <c r="D104" t="s">
        <v>349</v>
      </c>
      <c r="E104">
        <v>50</v>
      </c>
      <c r="F104" t="s">
        <v>2</v>
      </c>
      <c r="G104" t="s">
        <v>36</v>
      </c>
      <c r="H104" t="s">
        <v>2605</v>
      </c>
      <c r="I104" s="2">
        <v>10000</v>
      </c>
      <c r="J104" t="s">
        <v>440</v>
      </c>
      <c r="K104" t="s">
        <v>2503</v>
      </c>
    </row>
    <row r="105" spans="1:11" x14ac:dyDescent="0.25">
      <c r="A105" t="s">
        <v>800</v>
      </c>
      <c r="B105" s="3">
        <v>46268</v>
      </c>
      <c r="C105" t="s">
        <v>130</v>
      </c>
      <c r="D105" t="s">
        <v>1</v>
      </c>
      <c r="E105">
        <v>59</v>
      </c>
      <c r="F105" t="s">
        <v>2</v>
      </c>
      <c r="G105" t="s">
        <v>85</v>
      </c>
      <c r="H105" t="s">
        <v>2606</v>
      </c>
      <c r="I105" s="2">
        <v>130000</v>
      </c>
      <c r="J105" t="s">
        <v>19</v>
      </c>
      <c r="K105" t="s">
        <v>2513</v>
      </c>
    </row>
    <row r="106" spans="1:11" x14ac:dyDescent="0.25">
      <c r="A106" t="s">
        <v>801</v>
      </c>
      <c r="B106" s="3">
        <v>46268</v>
      </c>
      <c r="C106" t="s">
        <v>648</v>
      </c>
      <c r="D106" t="s">
        <v>585</v>
      </c>
      <c r="E106">
        <v>14</v>
      </c>
      <c r="F106" t="s">
        <v>355</v>
      </c>
      <c r="G106" t="s">
        <v>22</v>
      </c>
      <c r="H106" t="s">
        <v>2607</v>
      </c>
      <c r="I106" s="2">
        <v>29000</v>
      </c>
      <c r="J106" t="s">
        <v>203</v>
      </c>
      <c r="K106" t="s">
        <v>2503</v>
      </c>
    </row>
    <row r="107" spans="1:11" x14ac:dyDescent="0.25">
      <c r="A107" t="s">
        <v>802</v>
      </c>
      <c r="B107" s="3">
        <v>46268</v>
      </c>
      <c r="C107" t="s">
        <v>670</v>
      </c>
      <c r="D107" t="s">
        <v>599</v>
      </c>
      <c r="E107">
        <v>12</v>
      </c>
      <c r="F107" t="s">
        <v>2</v>
      </c>
      <c r="G107" t="s">
        <v>32</v>
      </c>
      <c r="H107" t="s">
        <v>2608</v>
      </c>
      <c r="I107" s="2">
        <v>124000</v>
      </c>
      <c r="J107" t="s">
        <v>93</v>
      </c>
      <c r="K107" t="s">
        <v>2509</v>
      </c>
    </row>
    <row r="108" spans="1:11" x14ac:dyDescent="0.25">
      <c r="A108" t="s">
        <v>803</v>
      </c>
      <c r="B108" s="3">
        <v>46268</v>
      </c>
      <c r="C108" t="s">
        <v>334</v>
      </c>
      <c r="D108" t="s">
        <v>218</v>
      </c>
      <c r="E108">
        <v>26</v>
      </c>
      <c r="F108" t="s">
        <v>2</v>
      </c>
      <c r="G108" t="s">
        <v>85</v>
      </c>
      <c r="H108" t="s">
        <v>2609</v>
      </c>
      <c r="I108" s="2">
        <v>2544000</v>
      </c>
      <c r="J108" t="s">
        <v>181</v>
      </c>
      <c r="K108" t="s">
        <v>2509</v>
      </c>
    </row>
    <row r="109" spans="1:11" x14ac:dyDescent="0.25">
      <c r="A109" t="s">
        <v>804</v>
      </c>
      <c r="B109" s="3">
        <v>46268</v>
      </c>
      <c r="C109" t="s">
        <v>543</v>
      </c>
      <c r="D109" t="s">
        <v>484</v>
      </c>
      <c r="E109">
        <v>35</v>
      </c>
      <c r="F109" t="s">
        <v>469</v>
      </c>
      <c r="G109" t="s">
        <v>61</v>
      </c>
      <c r="H109" t="s">
        <v>2610</v>
      </c>
      <c r="I109" s="2">
        <v>25000</v>
      </c>
      <c r="J109" t="s">
        <v>77</v>
      </c>
      <c r="K109" t="s">
        <v>2500</v>
      </c>
    </row>
    <row r="110" spans="1:11" x14ac:dyDescent="0.25">
      <c r="A110" t="s">
        <v>805</v>
      </c>
      <c r="B110" s="3">
        <v>46268</v>
      </c>
      <c r="C110" t="s">
        <v>551</v>
      </c>
      <c r="D110" t="s">
        <v>484</v>
      </c>
      <c r="E110">
        <v>37</v>
      </c>
      <c r="F110" t="s">
        <v>469</v>
      </c>
      <c r="G110" t="s">
        <v>32</v>
      </c>
      <c r="H110" t="s">
        <v>2611</v>
      </c>
      <c r="I110" s="2">
        <v>51000</v>
      </c>
      <c r="J110" t="s">
        <v>230</v>
      </c>
      <c r="K110" t="s">
        <v>2513</v>
      </c>
    </row>
    <row r="111" spans="1:11" x14ac:dyDescent="0.25">
      <c r="A111" t="s">
        <v>806</v>
      </c>
      <c r="B111" s="3">
        <v>46268</v>
      </c>
      <c r="C111" t="s">
        <v>669</v>
      </c>
      <c r="D111" t="s">
        <v>594</v>
      </c>
      <c r="E111">
        <v>12</v>
      </c>
      <c r="F111" t="s">
        <v>595</v>
      </c>
      <c r="G111" t="s">
        <v>81</v>
      </c>
      <c r="H111" t="s">
        <v>2612</v>
      </c>
      <c r="I111" s="2">
        <v>4000</v>
      </c>
      <c r="J111" t="s">
        <v>410</v>
      </c>
      <c r="K111" t="s">
        <v>2503</v>
      </c>
    </row>
    <row r="112" spans="1:11" x14ac:dyDescent="0.25">
      <c r="A112" t="s">
        <v>807</v>
      </c>
      <c r="B112" s="3">
        <v>46268</v>
      </c>
      <c r="C112" t="s">
        <v>236</v>
      </c>
      <c r="D112" t="s">
        <v>223</v>
      </c>
      <c r="E112">
        <v>53</v>
      </c>
      <c r="F112" t="s">
        <v>2</v>
      </c>
      <c r="G112" t="s">
        <v>55</v>
      </c>
      <c r="H112" t="s">
        <v>2613</v>
      </c>
      <c r="I112" s="2">
        <v>479000</v>
      </c>
      <c r="J112" t="s">
        <v>34</v>
      </c>
      <c r="K112" t="s">
        <v>2503</v>
      </c>
    </row>
    <row r="113" spans="1:11" x14ac:dyDescent="0.25">
      <c r="A113" t="s">
        <v>808</v>
      </c>
      <c r="B113" s="3">
        <v>46268</v>
      </c>
      <c r="C113" t="s">
        <v>413</v>
      </c>
      <c r="D113" t="s">
        <v>360</v>
      </c>
      <c r="E113">
        <v>12</v>
      </c>
      <c r="F113" t="s">
        <v>358</v>
      </c>
      <c r="G113" t="s">
        <v>17</v>
      </c>
      <c r="H113" t="s">
        <v>2614</v>
      </c>
      <c r="I113" s="2">
        <v>18000</v>
      </c>
      <c r="J113" t="s">
        <v>368</v>
      </c>
      <c r="K113" t="s">
        <v>2513</v>
      </c>
    </row>
    <row r="114" spans="1:11" x14ac:dyDescent="0.25">
      <c r="A114" t="s">
        <v>809</v>
      </c>
      <c r="B114" s="3">
        <v>46268</v>
      </c>
      <c r="C114" t="s">
        <v>84</v>
      </c>
      <c r="D114" t="s">
        <v>1</v>
      </c>
      <c r="E114">
        <v>61</v>
      </c>
      <c r="F114" t="s">
        <v>2</v>
      </c>
      <c r="G114" t="s">
        <v>85</v>
      </c>
      <c r="H114" t="s">
        <v>2615</v>
      </c>
      <c r="I114" s="2">
        <v>121000</v>
      </c>
      <c r="J114" t="s">
        <v>87</v>
      </c>
      <c r="K114" t="s">
        <v>2500</v>
      </c>
    </row>
    <row r="115" spans="1:11" x14ac:dyDescent="0.25">
      <c r="A115" t="s">
        <v>810</v>
      </c>
      <c r="B115" s="3">
        <v>46268</v>
      </c>
      <c r="C115" t="s">
        <v>107</v>
      </c>
      <c r="D115" t="s">
        <v>29</v>
      </c>
      <c r="E115">
        <v>4</v>
      </c>
      <c r="F115" t="s">
        <v>2</v>
      </c>
      <c r="G115" t="s">
        <v>85</v>
      </c>
      <c r="H115" t="s">
        <v>2616</v>
      </c>
      <c r="I115" s="2">
        <v>173000</v>
      </c>
      <c r="J115" t="s">
        <v>108</v>
      </c>
      <c r="K115" t="s">
        <v>2513</v>
      </c>
    </row>
    <row r="116" spans="1:11" x14ac:dyDescent="0.25">
      <c r="A116" t="s">
        <v>811</v>
      </c>
      <c r="B116" s="3">
        <v>46268</v>
      </c>
      <c r="C116" t="s">
        <v>169</v>
      </c>
      <c r="D116" t="s">
        <v>54</v>
      </c>
      <c r="E116">
        <v>39</v>
      </c>
      <c r="F116" t="s">
        <v>2</v>
      </c>
      <c r="G116" t="s">
        <v>55</v>
      </c>
      <c r="H116" t="s">
        <v>2617</v>
      </c>
      <c r="I116" s="2">
        <v>74000</v>
      </c>
      <c r="J116" t="s">
        <v>119</v>
      </c>
      <c r="K116" t="s">
        <v>2500</v>
      </c>
    </row>
    <row r="117" spans="1:11" x14ac:dyDescent="0.25">
      <c r="A117" t="s">
        <v>812</v>
      </c>
      <c r="B117" s="3">
        <v>46268</v>
      </c>
      <c r="C117" t="s">
        <v>578</v>
      </c>
      <c r="D117" t="s">
        <v>502</v>
      </c>
      <c r="E117">
        <v>49</v>
      </c>
      <c r="F117" t="s">
        <v>469</v>
      </c>
      <c r="G117" t="s">
        <v>22</v>
      </c>
      <c r="H117" t="s">
        <v>2618</v>
      </c>
      <c r="I117" s="2">
        <v>101000</v>
      </c>
      <c r="J117" t="s">
        <v>42</v>
      </c>
      <c r="K117" t="s">
        <v>2509</v>
      </c>
    </row>
    <row r="118" spans="1:11" x14ac:dyDescent="0.25">
      <c r="A118" t="s">
        <v>813</v>
      </c>
      <c r="B118" s="3">
        <v>46269</v>
      </c>
      <c r="C118" t="s">
        <v>611</v>
      </c>
      <c r="D118" t="s">
        <v>612</v>
      </c>
      <c r="E118">
        <v>66</v>
      </c>
      <c r="F118" t="s">
        <v>2</v>
      </c>
      <c r="G118" t="s">
        <v>85</v>
      </c>
      <c r="H118" t="s">
        <v>2619</v>
      </c>
      <c r="I118" s="2">
        <v>57000</v>
      </c>
      <c r="J118" t="s">
        <v>305</v>
      </c>
      <c r="K118" t="s">
        <v>2500</v>
      </c>
    </row>
    <row r="119" spans="1:11" x14ac:dyDescent="0.25">
      <c r="A119" t="s">
        <v>814</v>
      </c>
      <c r="B119" s="3">
        <v>46269</v>
      </c>
      <c r="C119" t="s">
        <v>190</v>
      </c>
      <c r="D119" t="s">
        <v>29</v>
      </c>
      <c r="E119">
        <v>37</v>
      </c>
      <c r="F119" t="s">
        <v>2</v>
      </c>
      <c r="G119" t="s">
        <v>48</v>
      </c>
      <c r="H119" t="s">
        <v>2504</v>
      </c>
      <c r="I119" s="2">
        <v>252000</v>
      </c>
      <c r="J119" t="s">
        <v>77</v>
      </c>
      <c r="K119" t="s">
        <v>2503</v>
      </c>
    </row>
    <row r="120" spans="1:11" x14ac:dyDescent="0.25">
      <c r="A120" t="s">
        <v>815</v>
      </c>
      <c r="B120" s="3">
        <v>46269</v>
      </c>
      <c r="C120" t="s">
        <v>541</v>
      </c>
      <c r="D120" t="s">
        <v>490</v>
      </c>
      <c r="E120">
        <v>57</v>
      </c>
      <c r="F120" t="s">
        <v>355</v>
      </c>
      <c r="G120" t="s">
        <v>85</v>
      </c>
      <c r="H120" t="s">
        <v>2620</v>
      </c>
      <c r="I120" s="2">
        <v>23000</v>
      </c>
      <c r="J120" t="s">
        <v>106</v>
      </c>
      <c r="K120" t="s">
        <v>2500</v>
      </c>
    </row>
    <row r="121" spans="1:11" x14ac:dyDescent="0.25">
      <c r="A121" t="s">
        <v>816</v>
      </c>
      <c r="B121" s="3">
        <v>46269</v>
      </c>
      <c r="C121" t="s">
        <v>545</v>
      </c>
      <c r="D121" t="s">
        <v>502</v>
      </c>
      <c r="E121">
        <v>68</v>
      </c>
      <c r="F121" t="s">
        <v>469</v>
      </c>
      <c r="G121" t="s">
        <v>61</v>
      </c>
      <c r="H121" t="s">
        <v>2621</v>
      </c>
      <c r="I121" s="2">
        <v>120000</v>
      </c>
      <c r="J121" t="s">
        <v>183</v>
      </c>
      <c r="K121" t="s">
        <v>2509</v>
      </c>
    </row>
    <row r="122" spans="1:11" x14ac:dyDescent="0.25">
      <c r="A122" t="s">
        <v>817</v>
      </c>
      <c r="B122" s="3">
        <v>46269</v>
      </c>
      <c r="C122" t="s">
        <v>478</v>
      </c>
      <c r="D122" t="s">
        <v>479</v>
      </c>
      <c r="E122">
        <v>39</v>
      </c>
      <c r="F122" t="s">
        <v>469</v>
      </c>
      <c r="G122" t="s">
        <v>32</v>
      </c>
      <c r="H122" t="s">
        <v>2622</v>
      </c>
      <c r="I122" s="2">
        <v>20000</v>
      </c>
      <c r="J122" t="s">
        <v>133</v>
      </c>
      <c r="K122" t="s">
        <v>2503</v>
      </c>
    </row>
    <row r="123" spans="1:11" x14ac:dyDescent="0.25">
      <c r="A123" t="s">
        <v>818</v>
      </c>
      <c r="B123" s="3">
        <v>46269</v>
      </c>
      <c r="C123" t="s">
        <v>299</v>
      </c>
      <c r="D123" t="s">
        <v>216</v>
      </c>
      <c r="E123">
        <v>24</v>
      </c>
      <c r="F123" t="s">
        <v>2</v>
      </c>
      <c r="G123" t="s">
        <v>17</v>
      </c>
      <c r="H123" t="s">
        <v>2623</v>
      </c>
      <c r="I123" s="2">
        <v>535000</v>
      </c>
      <c r="J123" t="s">
        <v>155</v>
      </c>
      <c r="K123" t="s">
        <v>2500</v>
      </c>
    </row>
    <row r="124" spans="1:11" x14ac:dyDescent="0.25">
      <c r="A124" t="s">
        <v>819</v>
      </c>
      <c r="B124" s="3">
        <v>46269</v>
      </c>
      <c r="C124" t="s">
        <v>508</v>
      </c>
      <c r="D124" t="s">
        <v>476</v>
      </c>
      <c r="E124">
        <v>39</v>
      </c>
      <c r="F124" t="s">
        <v>477</v>
      </c>
      <c r="G124" t="s">
        <v>81</v>
      </c>
      <c r="H124" t="s">
        <v>2624</v>
      </c>
      <c r="I124" s="2">
        <v>11000</v>
      </c>
      <c r="J124" t="s">
        <v>89</v>
      </c>
      <c r="K124" t="s">
        <v>2503</v>
      </c>
    </row>
    <row r="125" spans="1:11" x14ac:dyDescent="0.25">
      <c r="A125" t="s">
        <v>820</v>
      </c>
      <c r="B125" s="3">
        <v>46269</v>
      </c>
      <c r="C125" t="s">
        <v>398</v>
      </c>
      <c r="D125" t="s">
        <v>344</v>
      </c>
      <c r="E125">
        <v>13</v>
      </c>
      <c r="F125" t="s">
        <v>346</v>
      </c>
      <c r="G125" t="s">
        <v>17</v>
      </c>
      <c r="H125" t="s">
        <v>2625</v>
      </c>
      <c r="I125" s="2">
        <v>66000</v>
      </c>
      <c r="J125" t="s">
        <v>108</v>
      </c>
      <c r="K125" t="s">
        <v>2500</v>
      </c>
    </row>
    <row r="126" spans="1:11" x14ac:dyDescent="0.25">
      <c r="A126" t="s">
        <v>821</v>
      </c>
      <c r="B126" s="3">
        <v>46269</v>
      </c>
      <c r="C126" t="s">
        <v>127</v>
      </c>
      <c r="D126" t="s">
        <v>26</v>
      </c>
      <c r="E126">
        <v>49</v>
      </c>
      <c r="F126" t="s">
        <v>2</v>
      </c>
      <c r="G126" t="s">
        <v>85</v>
      </c>
      <c r="H126" t="s">
        <v>2626</v>
      </c>
      <c r="I126" s="2">
        <v>439000</v>
      </c>
      <c r="J126" t="s">
        <v>100</v>
      </c>
      <c r="K126" t="s">
        <v>2503</v>
      </c>
    </row>
    <row r="127" spans="1:11" x14ac:dyDescent="0.25">
      <c r="A127" t="s">
        <v>822</v>
      </c>
      <c r="B127" s="3">
        <v>46269</v>
      </c>
      <c r="C127" t="s">
        <v>319</v>
      </c>
      <c r="D127" t="s">
        <v>234</v>
      </c>
      <c r="E127">
        <v>32</v>
      </c>
      <c r="F127" t="s">
        <v>2</v>
      </c>
      <c r="G127" t="s">
        <v>81</v>
      </c>
      <c r="H127" t="s">
        <v>2627</v>
      </c>
      <c r="I127" s="2">
        <v>393000</v>
      </c>
      <c r="J127" t="s">
        <v>287</v>
      </c>
      <c r="K127" t="s">
        <v>2513</v>
      </c>
    </row>
    <row r="128" spans="1:11" x14ac:dyDescent="0.25">
      <c r="A128" t="s">
        <v>823</v>
      </c>
      <c r="B128" s="3">
        <v>46269</v>
      </c>
      <c r="C128" t="s">
        <v>176</v>
      </c>
      <c r="D128" t="s">
        <v>21</v>
      </c>
      <c r="E128">
        <v>51</v>
      </c>
      <c r="F128" t="s">
        <v>2</v>
      </c>
      <c r="G128" t="s">
        <v>40</v>
      </c>
      <c r="H128" t="s">
        <v>2628</v>
      </c>
      <c r="I128" s="2">
        <v>96000</v>
      </c>
      <c r="J128" t="s">
        <v>177</v>
      </c>
      <c r="K128" t="s">
        <v>2500</v>
      </c>
    </row>
    <row r="129" spans="1:11" x14ac:dyDescent="0.25">
      <c r="A129" t="s">
        <v>824</v>
      </c>
      <c r="B129" s="3">
        <v>46269</v>
      </c>
      <c r="C129" t="s">
        <v>169</v>
      </c>
      <c r="D129" t="s">
        <v>54</v>
      </c>
      <c r="E129">
        <v>38</v>
      </c>
      <c r="F129" t="s">
        <v>2</v>
      </c>
      <c r="G129" t="s">
        <v>55</v>
      </c>
      <c r="H129" t="s">
        <v>2629</v>
      </c>
      <c r="I129" s="2">
        <v>74000</v>
      </c>
      <c r="J129" t="s">
        <v>119</v>
      </c>
      <c r="K129" t="s">
        <v>2500</v>
      </c>
    </row>
    <row r="130" spans="1:11" x14ac:dyDescent="0.25">
      <c r="A130" t="s">
        <v>825</v>
      </c>
      <c r="B130" s="3">
        <v>46269</v>
      </c>
      <c r="C130" t="s">
        <v>266</v>
      </c>
      <c r="D130" t="s">
        <v>240</v>
      </c>
      <c r="E130">
        <v>41</v>
      </c>
      <c r="F130" t="s">
        <v>2</v>
      </c>
      <c r="G130" t="s">
        <v>36</v>
      </c>
      <c r="H130" t="s">
        <v>2630</v>
      </c>
      <c r="I130" s="2">
        <v>454000</v>
      </c>
      <c r="J130" t="s">
        <v>108</v>
      </c>
      <c r="K130" t="s">
        <v>2509</v>
      </c>
    </row>
    <row r="131" spans="1:11" x14ac:dyDescent="0.25">
      <c r="A131" t="s">
        <v>826</v>
      </c>
      <c r="B131" s="3">
        <v>46269</v>
      </c>
      <c r="C131" t="s">
        <v>226</v>
      </c>
      <c r="D131" t="s">
        <v>227</v>
      </c>
      <c r="E131">
        <v>37</v>
      </c>
      <c r="F131" t="s">
        <v>2</v>
      </c>
      <c r="G131" t="s">
        <v>17</v>
      </c>
      <c r="H131" t="s">
        <v>2631</v>
      </c>
      <c r="I131" s="2">
        <v>851000</v>
      </c>
      <c r="J131" t="s">
        <v>201</v>
      </c>
      <c r="K131" t="s">
        <v>2500</v>
      </c>
    </row>
    <row r="132" spans="1:11" x14ac:dyDescent="0.25">
      <c r="A132" t="s">
        <v>827</v>
      </c>
      <c r="B132" s="3">
        <v>46269</v>
      </c>
      <c r="C132" t="s">
        <v>172</v>
      </c>
      <c r="D132" t="s">
        <v>26</v>
      </c>
      <c r="E132">
        <v>30</v>
      </c>
      <c r="F132" t="s">
        <v>2</v>
      </c>
      <c r="G132" t="s">
        <v>55</v>
      </c>
      <c r="H132" t="s">
        <v>2632</v>
      </c>
      <c r="I132" s="2">
        <v>270000</v>
      </c>
      <c r="J132" t="s">
        <v>173</v>
      </c>
      <c r="K132" t="s">
        <v>2500</v>
      </c>
    </row>
    <row r="133" spans="1:11" x14ac:dyDescent="0.25">
      <c r="A133" t="s">
        <v>828</v>
      </c>
      <c r="B133" s="3">
        <v>46269</v>
      </c>
      <c r="C133" t="s">
        <v>570</v>
      </c>
      <c r="D133" t="s">
        <v>484</v>
      </c>
      <c r="E133">
        <v>24</v>
      </c>
      <c r="F133" t="s">
        <v>469</v>
      </c>
      <c r="G133" t="s">
        <v>36</v>
      </c>
      <c r="H133" t="s">
        <v>2633</v>
      </c>
      <c r="I133" s="2">
        <v>70000</v>
      </c>
      <c r="J133" t="s">
        <v>106</v>
      </c>
      <c r="K133" t="s">
        <v>2513</v>
      </c>
    </row>
    <row r="134" spans="1:11" x14ac:dyDescent="0.25">
      <c r="A134" t="s">
        <v>829</v>
      </c>
      <c r="B134" s="3">
        <v>46269</v>
      </c>
      <c r="C134" t="s">
        <v>681</v>
      </c>
      <c r="D134" t="s">
        <v>589</v>
      </c>
      <c r="E134">
        <v>55</v>
      </c>
      <c r="F134" t="s">
        <v>469</v>
      </c>
      <c r="G134" t="s">
        <v>36</v>
      </c>
      <c r="H134" t="s">
        <v>2634</v>
      </c>
      <c r="I134" s="2">
        <v>7000</v>
      </c>
      <c r="J134" t="s">
        <v>259</v>
      </c>
      <c r="K134" t="s">
        <v>2509</v>
      </c>
    </row>
    <row r="135" spans="1:11" x14ac:dyDescent="0.25">
      <c r="A135" t="s">
        <v>830</v>
      </c>
      <c r="B135" s="3">
        <v>46269</v>
      </c>
      <c r="C135" t="s">
        <v>667</v>
      </c>
      <c r="D135" t="s">
        <v>602</v>
      </c>
      <c r="E135">
        <v>13</v>
      </c>
      <c r="F135" t="s">
        <v>2</v>
      </c>
      <c r="G135" t="s">
        <v>85</v>
      </c>
      <c r="H135" t="s">
        <v>2635</v>
      </c>
      <c r="I135" s="2">
        <v>128000</v>
      </c>
      <c r="J135" t="s">
        <v>201</v>
      </c>
      <c r="K135" t="s">
        <v>2509</v>
      </c>
    </row>
    <row r="136" spans="1:11" x14ac:dyDescent="0.25">
      <c r="A136" t="s">
        <v>831</v>
      </c>
      <c r="B136" s="3">
        <v>46269</v>
      </c>
      <c r="C136" t="s">
        <v>196</v>
      </c>
      <c r="D136" t="s">
        <v>47</v>
      </c>
      <c r="E136">
        <v>16</v>
      </c>
      <c r="F136" t="s">
        <v>2</v>
      </c>
      <c r="G136" t="s">
        <v>85</v>
      </c>
      <c r="H136" t="s">
        <v>2636</v>
      </c>
      <c r="I136" s="2">
        <v>475000</v>
      </c>
      <c r="J136" t="s">
        <v>164</v>
      </c>
      <c r="K136" t="s">
        <v>2503</v>
      </c>
    </row>
    <row r="137" spans="1:11" x14ac:dyDescent="0.25">
      <c r="A137" t="s">
        <v>832</v>
      </c>
      <c r="B137" s="3">
        <v>46269</v>
      </c>
      <c r="C137" t="s">
        <v>328</v>
      </c>
      <c r="D137" t="s">
        <v>240</v>
      </c>
      <c r="E137">
        <v>29</v>
      </c>
      <c r="F137" t="s">
        <v>2</v>
      </c>
      <c r="G137" t="s">
        <v>85</v>
      </c>
      <c r="H137" t="s">
        <v>2637</v>
      </c>
      <c r="I137" s="2">
        <v>381000</v>
      </c>
      <c r="J137" t="s">
        <v>189</v>
      </c>
      <c r="K137" t="s">
        <v>2503</v>
      </c>
    </row>
    <row r="138" spans="1:11" x14ac:dyDescent="0.25">
      <c r="A138" t="s">
        <v>833</v>
      </c>
      <c r="B138" s="3">
        <v>46269</v>
      </c>
      <c r="C138" t="s">
        <v>139</v>
      </c>
      <c r="D138" t="s">
        <v>44</v>
      </c>
      <c r="E138">
        <v>39</v>
      </c>
      <c r="F138" t="s">
        <v>2</v>
      </c>
      <c r="G138" t="s">
        <v>81</v>
      </c>
      <c r="H138" t="s">
        <v>2638</v>
      </c>
      <c r="I138" s="2">
        <v>86000</v>
      </c>
      <c r="J138" t="s">
        <v>140</v>
      </c>
      <c r="K138" t="s">
        <v>2503</v>
      </c>
    </row>
    <row r="139" spans="1:11" x14ac:dyDescent="0.25">
      <c r="A139" t="s">
        <v>834</v>
      </c>
      <c r="B139" s="3">
        <v>46269</v>
      </c>
      <c r="C139" t="s">
        <v>491</v>
      </c>
      <c r="D139" t="s">
        <v>481</v>
      </c>
      <c r="E139">
        <v>44</v>
      </c>
      <c r="F139" t="s">
        <v>2</v>
      </c>
      <c r="G139" t="s">
        <v>55</v>
      </c>
      <c r="H139" t="s">
        <v>2639</v>
      </c>
      <c r="I139" s="2">
        <v>186000</v>
      </c>
      <c r="J139" t="s">
        <v>324</v>
      </c>
      <c r="K139" t="s">
        <v>2500</v>
      </c>
    </row>
    <row r="140" spans="1:11" x14ac:dyDescent="0.25">
      <c r="A140" t="s">
        <v>835</v>
      </c>
      <c r="B140" s="3">
        <v>46269</v>
      </c>
      <c r="C140" t="s">
        <v>267</v>
      </c>
      <c r="D140" t="s">
        <v>227</v>
      </c>
      <c r="E140">
        <v>32</v>
      </c>
      <c r="F140" t="s">
        <v>2</v>
      </c>
      <c r="G140" t="s">
        <v>17</v>
      </c>
      <c r="H140" t="s">
        <v>2640</v>
      </c>
      <c r="I140" s="2">
        <v>579000</v>
      </c>
      <c r="J140" t="s">
        <v>183</v>
      </c>
      <c r="K140" t="s">
        <v>2500</v>
      </c>
    </row>
    <row r="141" spans="1:11" x14ac:dyDescent="0.25">
      <c r="A141" t="s">
        <v>836</v>
      </c>
      <c r="B141" s="3">
        <v>46269</v>
      </c>
      <c r="C141" t="s">
        <v>151</v>
      </c>
      <c r="D141" t="s">
        <v>44</v>
      </c>
      <c r="E141">
        <v>16</v>
      </c>
      <c r="F141" t="s">
        <v>2</v>
      </c>
      <c r="G141" t="s">
        <v>85</v>
      </c>
      <c r="H141" t="s">
        <v>2641</v>
      </c>
      <c r="I141" s="2">
        <v>55000</v>
      </c>
      <c r="J141" t="s">
        <v>152</v>
      </c>
      <c r="K141" t="s">
        <v>2503</v>
      </c>
    </row>
    <row r="142" spans="1:11" x14ac:dyDescent="0.25">
      <c r="A142" t="s">
        <v>837</v>
      </c>
      <c r="B142" s="3">
        <v>46269</v>
      </c>
      <c r="C142" t="s">
        <v>462</v>
      </c>
      <c r="D142" t="s">
        <v>349</v>
      </c>
      <c r="E142">
        <v>19</v>
      </c>
      <c r="F142" t="s">
        <v>2</v>
      </c>
      <c r="G142" t="s">
        <v>61</v>
      </c>
      <c r="H142" t="s">
        <v>2642</v>
      </c>
      <c r="I142" s="2">
        <v>2000</v>
      </c>
      <c r="J142" t="s">
        <v>310</v>
      </c>
      <c r="K142" t="s">
        <v>2509</v>
      </c>
    </row>
    <row r="143" spans="1:11" x14ac:dyDescent="0.25">
      <c r="A143" t="s">
        <v>838</v>
      </c>
      <c r="B143" s="3">
        <v>46269</v>
      </c>
      <c r="C143" t="s">
        <v>401</v>
      </c>
      <c r="D143" t="s">
        <v>382</v>
      </c>
      <c r="E143">
        <v>10</v>
      </c>
      <c r="F143" t="s">
        <v>383</v>
      </c>
      <c r="G143" t="s">
        <v>61</v>
      </c>
      <c r="H143" t="s">
        <v>2643</v>
      </c>
      <c r="I143" s="2">
        <v>157000</v>
      </c>
      <c r="J143" t="s">
        <v>19</v>
      </c>
      <c r="K143" t="s">
        <v>2513</v>
      </c>
    </row>
    <row r="144" spans="1:11" x14ac:dyDescent="0.25">
      <c r="A144" t="s">
        <v>839</v>
      </c>
      <c r="B144" s="3">
        <v>46269</v>
      </c>
      <c r="C144" t="s">
        <v>367</v>
      </c>
      <c r="D144" t="s">
        <v>344</v>
      </c>
      <c r="E144">
        <v>20</v>
      </c>
      <c r="F144" t="s">
        <v>346</v>
      </c>
      <c r="G144" t="s">
        <v>32</v>
      </c>
      <c r="H144" t="s">
        <v>2644</v>
      </c>
      <c r="I144" s="2">
        <v>67000</v>
      </c>
      <c r="J144" t="s">
        <v>368</v>
      </c>
      <c r="K144" t="s">
        <v>2513</v>
      </c>
    </row>
    <row r="145" spans="1:11" x14ac:dyDescent="0.25">
      <c r="A145" t="s">
        <v>840</v>
      </c>
      <c r="B145" s="3">
        <v>46269</v>
      </c>
      <c r="C145" t="s">
        <v>559</v>
      </c>
      <c r="D145" t="s">
        <v>502</v>
      </c>
      <c r="E145">
        <v>69</v>
      </c>
      <c r="F145" t="s">
        <v>469</v>
      </c>
      <c r="G145" t="s">
        <v>61</v>
      </c>
      <c r="H145" t="s">
        <v>2645</v>
      </c>
      <c r="I145" s="2">
        <v>92000</v>
      </c>
      <c r="J145" t="s">
        <v>324</v>
      </c>
      <c r="K145" t="s">
        <v>2513</v>
      </c>
    </row>
    <row r="146" spans="1:11" x14ac:dyDescent="0.25">
      <c r="A146" t="s">
        <v>841</v>
      </c>
      <c r="B146" s="3">
        <v>46269</v>
      </c>
      <c r="C146" t="s">
        <v>393</v>
      </c>
      <c r="D146" t="s">
        <v>382</v>
      </c>
      <c r="E146">
        <v>47</v>
      </c>
      <c r="F146" t="s">
        <v>383</v>
      </c>
      <c r="G146" t="s">
        <v>81</v>
      </c>
      <c r="H146" t="s">
        <v>2646</v>
      </c>
      <c r="I146" s="2">
        <v>142000</v>
      </c>
      <c r="J146" t="s">
        <v>219</v>
      </c>
      <c r="K146" t="s">
        <v>2503</v>
      </c>
    </row>
    <row r="147" spans="1:11" x14ac:dyDescent="0.25">
      <c r="A147" t="s">
        <v>842</v>
      </c>
      <c r="B147" s="3">
        <v>46269</v>
      </c>
      <c r="C147" t="s">
        <v>635</v>
      </c>
      <c r="D147" t="s">
        <v>599</v>
      </c>
      <c r="E147">
        <v>16</v>
      </c>
      <c r="F147" t="s">
        <v>2</v>
      </c>
      <c r="G147" t="s">
        <v>22</v>
      </c>
      <c r="H147" t="s">
        <v>2647</v>
      </c>
      <c r="I147" s="2">
        <v>113000</v>
      </c>
      <c r="J147" t="s">
        <v>287</v>
      </c>
      <c r="K147" t="s">
        <v>2500</v>
      </c>
    </row>
    <row r="148" spans="1:11" x14ac:dyDescent="0.25">
      <c r="A148" t="s">
        <v>843</v>
      </c>
      <c r="B148" s="3">
        <v>46269</v>
      </c>
      <c r="C148" t="s">
        <v>536</v>
      </c>
      <c r="D148" t="s">
        <v>481</v>
      </c>
      <c r="E148">
        <v>67</v>
      </c>
      <c r="F148" t="s">
        <v>2</v>
      </c>
      <c r="G148" t="s">
        <v>22</v>
      </c>
      <c r="H148" t="s">
        <v>2648</v>
      </c>
      <c r="I148" s="2">
        <v>193000</v>
      </c>
      <c r="J148" t="s">
        <v>221</v>
      </c>
      <c r="K148" t="s">
        <v>2509</v>
      </c>
    </row>
    <row r="149" spans="1:11" x14ac:dyDescent="0.25">
      <c r="A149" t="s">
        <v>844</v>
      </c>
      <c r="B149" s="3">
        <v>46269</v>
      </c>
      <c r="C149" t="s">
        <v>392</v>
      </c>
      <c r="D149" t="s">
        <v>349</v>
      </c>
      <c r="E149">
        <v>48</v>
      </c>
      <c r="F149" t="s">
        <v>2</v>
      </c>
      <c r="G149" t="s">
        <v>40</v>
      </c>
      <c r="H149" t="s">
        <v>2649</v>
      </c>
      <c r="I149" s="2">
        <v>15000</v>
      </c>
      <c r="J149" t="s">
        <v>24</v>
      </c>
      <c r="K149" t="s">
        <v>2500</v>
      </c>
    </row>
    <row r="150" spans="1:11" x14ac:dyDescent="0.25">
      <c r="A150" t="s">
        <v>845</v>
      </c>
      <c r="B150" s="3">
        <v>46269</v>
      </c>
      <c r="C150" t="s">
        <v>122</v>
      </c>
      <c r="D150" t="s">
        <v>54</v>
      </c>
      <c r="E150">
        <v>35</v>
      </c>
      <c r="F150" t="s">
        <v>2</v>
      </c>
      <c r="G150" t="s">
        <v>17</v>
      </c>
      <c r="H150" t="s">
        <v>2576</v>
      </c>
      <c r="I150" s="2">
        <v>169000</v>
      </c>
      <c r="J150" t="s">
        <v>98</v>
      </c>
      <c r="K150" t="s">
        <v>2503</v>
      </c>
    </row>
    <row r="151" spans="1:11" x14ac:dyDescent="0.25">
      <c r="A151" t="s">
        <v>846</v>
      </c>
      <c r="B151" s="3">
        <v>46269</v>
      </c>
      <c r="C151" t="s">
        <v>380</v>
      </c>
      <c r="D151" t="s">
        <v>344</v>
      </c>
      <c r="E151">
        <v>51</v>
      </c>
      <c r="F151" t="s">
        <v>346</v>
      </c>
      <c r="G151" t="s">
        <v>85</v>
      </c>
      <c r="H151" t="s">
        <v>2650</v>
      </c>
      <c r="I151" s="2">
        <v>63000</v>
      </c>
      <c r="J151" t="s">
        <v>129</v>
      </c>
      <c r="K151" t="s">
        <v>2513</v>
      </c>
    </row>
    <row r="152" spans="1:11" x14ac:dyDescent="0.25">
      <c r="A152" t="s">
        <v>847</v>
      </c>
      <c r="B152" s="3">
        <v>46269</v>
      </c>
      <c r="C152" t="s">
        <v>652</v>
      </c>
      <c r="D152" t="s">
        <v>587</v>
      </c>
      <c r="E152">
        <v>22</v>
      </c>
      <c r="F152" t="s">
        <v>2</v>
      </c>
      <c r="G152" t="s">
        <v>85</v>
      </c>
      <c r="H152" t="s">
        <v>2651</v>
      </c>
      <c r="I152" s="2">
        <v>14000</v>
      </c>
      <c r="J152" t="s">
        <v>34</v>
      </c>
      <c r="K152" t="s">
        <v>2509</v>
      </c>
    </row>
    <row r="153" spans="1:11" x14ac:dyDescent="0.25">
      <c r="A153" t="s">
        <v>848</v>
      </c>
      <c r="B153" s="3">
        <v>46269</v>
      </c>
      <c r="C153" t="s">
        <v>647</v>
      </c>
      <c r="D153" t="s">
        <v>629</v>
      </c>
      <c r="E153">
        <v>28</v>
      </c>
      <c r="F153" t="s">
        <v>355</v>
      </c>
      <c r="G153" t="s">
        <v>32</v>
      </c>
      <c r="H153" t="s">
        <v>2652</v>
      </c>
      <c r="I153" s="2">
        <v>25000</v>
      </c>
      <c r="J153" t="s">
        <v>230</v>
      </c>
      <c r="K153" t="s">
        <v>2513</v>
      </c>
    </row>
    <row r="154" spans="1:11" x14ac:dyDescent="0.25">
      <c r="A154" t="s">
        <v>849</v>
      </c>
      <c r="B154" s="3">
        <v>46269</v>
      </c>
      <c r="C154" t="s">
        <v>199</v>
      </c>
      <c r="D154" t="s">
        <v>163</v>
      </c>
      <c r="E154">
        <v>12</v>
      </c>
      <c r="F154" t="s">
        <v>2</v>
      </c>
      <c r="G154" t="s">
        <v>36</v>
      </c>
      <c r="H154" t="s">
        <v>2653</v>
      </c>
      <c r="I154" s="2">
        <v>24000</v>
      </c>
      <c r="J154" t="s">
        <v>75</v>
      </c>
      <c r="K154" t="s">
        <v>2503</v>
      </c>
    </row>
    <row r="155" spans="1:11" x14ac:dyDescent="0.25">
      <c r="A155" t="s">
        <v>850</v>
      </c>
      <c r="B155" s="3">
        <v>46269</v>
      </c>
      <c r="C155" t="s">
        <v>425</v>
      </c>
      <c r="D155" t="s">
        <v>378</v>
      </c>
      <c r="E155">
        <v>39</v>
      </c>
      <c r="F155" t="s">
        <v>2</v>
      </c>
      <c r="G155" t="s">
        <v>40</v>
      </c>
      <c r="H155" t="s">
        <v>2654</v>
      </c>
      <c r="I155" s="2">
        <v>23000</v>
      </c>
      <c r="J155" t="s">
        <v>423</v>
      </c>
      <c r="K155" t="s">
        <v>2513</v>
      </c>
    </row>
    <row r="156" spans="1:11" x14ac:dyDescent="0.25">
      <c r="A156" t="s">
        <v>851</v>
      </c>
      <c r="B156" s="3">
        <v>46269</v>
      </c>
      <c r="C156" t="s">
        <v>618</v>
      </c>
      <c r="D156" t="s">
        <v>587</v>
      </c>
      <c r="E156">
        <v>43</v>
      </c>
      <c r="F156" t="s">
        <v>2</v>
      </c>
      <c r="G156" t="s">
        <v>40</v>
      </c>
      <c r="H156" t="s">
        <v>2655</v>
      </c>
      <c r="I156" s="2">
        <v>17000</v>
      </c>
      <c r="J156" t="s">
        <v>79</v>
      </c>
      <c r="K156" t="s">
        <v>2513</v>
      </c>
    </row>
    <row r="157" spans="1:11" x14ac:dyDescent="0.25">
      <c r="A157" t="s">
        <v>852</v>
      </c>
      <c r="B157" s="3">
        <v>46270</v>
      </c>
      <c r="C157" t="s">
        <v>245</v>
      </c>
      <c r="D157" t="s">
        <v>225</v>
      </c>
      <c r="E157">
        <v>69</v>
      </c>
      <c r="F157" t="s">
        <v>2</v>
      </c>
      <c r="G157" t="s">
        <v>17</v>
      </c>
      <c r="H157" t="s">
        <v>2656</v>
      </c>
      <c r="I157" s="2">
        <v>585000</v>
      </c>
      <c r="J157" t="s">
        <v>246</v>
      </c>
      <c r="K157" t="s">
        <v>2503</v>
      </c>
    </row>
    <row r="158" spans="1:11" x14ac:dyDescent="0.25">
      <c r="A158" t="s">
        <v>853</v>
      </c>
      <c r="B158" s="3">
        <v>46270</v>
      </c>
      <c r="C158" t="s">
        <v>662</v>
      </c>
      <c r="D158" t="s">
        <v>599</v>
      </c>
      <c r="E158">
        <v>3</v>
      </c>
      <c r="F158" t="s">
        <v>2</v>
      </c>
      <c r="G158" t="s">
        <v>32</v>
      </c>
      <c r="H158" t="s">
        <v>2657</v>
      </c>
      <c r="I158" s="2">
        <v>84000</v>
      </c>
      <c r="J158" t="s">
        <v>83</v>
      </c>
      <c r="K158" t="s">
        <v>2513</v>
      </c>
    </row>
    <row r="159" spans="1:11" x14ac:dyDescent="0.25">
      <c r="A159" t="s">
        <v>854</v>
      </c>
      <c r="B159" s="3">
        <v>46270</v>
      </c>
      <c r="C159" t="s">
        <v>112</v>
      </c>
      <c r="D159" t="s">
        <v>29</v>
      </c>
      <c r="E159">
        <v>33</v>
      </c>
      <c r="F159" t="s">
        <v>2</v>
      </c>
      <c r="G159" t="s">
        <v>55</v>
      </c>
      <c r="H159" t="s">
        <v>2658</v>
      </c>
      <c r="I159" s="2">
        <v>81000</v>
      </c>
      <c r="J159" t="s">
        <v>113</v>
      </c>
      <c r="K159" t="s">
        <v>2500</v>
      </c>
    </row>
    <row r="160" spans="1:11" x14ac:dyDescent="0.25">
      <c r="A160" t="s">
        <v>855</v>
      </c>
      <c r="B160" s="3">
        <v>46270</v>
      </c>
      <c r="C160" t="s">
        <v>202</v>
      </c>
      <c r="D160" t="s">
        <v>54</v>
      </c>
      <c r="E160">
        <v>36</v>
      </c>
      <c r="F160" t="s">
        <v>2</v>
      </c>
      <c r="G160" t="s">
        <v>48</v>
      </c>
      <c r="H160" t="s">
        <v>2659</v>
      </c>
      <c r="I160" s="2">
        <v>31000</v>
      </c>
      <c r="J160" t="s">
        <v>203</v>
      </c>
      <c r="K160" t="s">
        <v>2513</v>
      </c>
    </row>
    <row r="161" spans="1:11" x14ac:dyDescent="0.25">
      <c r="A161" t="s">
        <v>856</v>
      </c>
      <c r="B161" s="3">
        <v>46270</v>
      </c>
      <c r="C161" t="s">
        <v>498</v>
      </c>
      <c r="D161" t="s">
        <v>488</v>
      </c>
      <c r="E161">
        <v>27</v>
      </c>
      <c r="F161" t="s">
        <v>469</v>
      </c>
      <c r="G161" t="s">
        <v>40</v>
      </c>
      <c r="H161" t="s">
        <v>2660</v>
      </c>
      <c r="I161" s="2">
        <v>81000</v>
      </c>
      <c r="J161" t="s">
        <v>52</v>
      </c>
      <c r="K161" t="s">
        <v>2509</v>
      </c>
    </row>
    <row r="162" spans="1:11" x14ac:dyDescent="0.25">
      <c r="A162" t="s">
        <v>857</v>
      </c>
      <c r="B162" s="3">
        <v>46270</v>
      </c>
      <c r="C162" t="s">
        <v>685</v>
      </c>
      <c r="D162" t="s">
        <v>597</v>
      </c>
      <c r="E162">
        <v>48</v>
      </c>
      <c r="F162" t="s">
        <v>355</v>
      </c>
      <c r="G162" t="s">
        <v>22</v>
      </c>
      <c r="H162" t="s">
        <v>2661</v>
      </c>
      <c r="I162" s="2">
        <v>49000</v>
      </c>
      <c r="J162" t="s">
        <v>166</v>
      </c>
      <c r="K162" t="s">
        <v>2500</v>
      </c>
    </row>
    <row r="163" spans="1:11" x14ac:dyDescent="0.25">
      <c r="A163" t="s">
        <v>858</v>
      </c>
      <c r="B163" s="3">
        <v>46270</v>
      </c>
      <c r="C163" t="s">
        <v>239</v>
      </c>
      <c r="D163" t="s">
        <v>240</v>
      </c>
      <c r="E163">
        <v>34</v>
      </c>
      <c r="F163" t="s">
        <v>2</v>
      </c>
      <c r="G163" t="s">
        <v>85</v>
      </c>
      <c r="H163" t="s">
        <v>2662</v>
      </c>
      <c r="I163" s="2">
        <v>427000</v>
      </c>
      <c r="J163" t="s">
        <v>100</v>
      </c>
      <c r="K163" t="s">
        <v>2513</v>
      </c>
    </row>
    <row r="164" spans="1:11" x14ac:dyDescent="0.25">
      <c r="A164" t="s">
        <v>859</v>
      </c>
      <c r="B164" s="3">
        <v>46270</v>
      </c>
      <c r="C164" t="s">
        <v>676</v>
      </c>
      <c r="D164" t="s">
        <v>612</v>
      </c>
      <c r="E164">
        <v>57</v>
      </c>
      <c r="F164" t="s">
        <v>2</v>
      </c>
      <c r="G164" t="s">
        <v>48</v>
      </c>
      <c r="H164" t="s">
        <v>2663</v>
      </c>
      <c r="I164" s="2">
        <v>27000</v>
      </c>
      <c r="J164" t="s">
        <v>677</v>
      </c>
      <c r="K164" t="s">
        <v>2509</v>
      </c>
    </row>
    <row r="165" spans="1:11" x14ac:dyDescent="0.25">
      <c r="A165" t="s">
        <v>860</v>
      </c>
      <c r="B165" s="3">
        <v>46270</v>
      </c>
      <c r="C165" t="s">
        <v>560</v>
      </c>
      <c r="D165" t="s">
        <v>467</v>
      </c>
      <c r="E165">
        <v>49</v>
      </c>
      <c r="F165" t="s">
        <v>469</v>
      </c>
      <c r="G165" t="s">
        <v>32</v>
      </c>
      <c r="H165" t="s">
        <v>2664</v>
      </c>
      <c r="I165" s="2">
        <v>27000</v>
      </c>
      <c r="J165" t="s">
        <v>119</v>
      </c>
      <c r="K165" t="s">
        <v>2509</v>
      </c>
    </row>
    <row r="166" spans="1:11" x14ac:dyDescent="0.25">
      <c r="A166" t="s">
        <v>861</v>
      </c>
      <c r="B166" s="3">
        <v>46270</v>
      </c>
      <c r="C166" t="s">
        <v>684</v>
      </c>
      <c r="D166" t="s">
        <v>602</v>
      </c>
      <c r="E166">
        <v>32</v>
      </c>
      <c r="F166" t="s">
        <v>2</v>
      </c>
      <c r="G166" t="s">
        <v>22</v>
      </c>
      <c r="H166" t="s">
        <v>2665</v>
      </c>
      <c r="I166" s="2">
        <v>239000</v>
      </c>
      <c r="J166" t="s">
        <v>142</v>
      </c>
      <c r="K166" t="s">
        <v>2513</v>
      </c>
    </row>
    <row r="167" spans="1:11" x14ac:dyDescent="0.25">
      <c r="A167" t="s">
        <v>862</v>
      </c>
      <c r="B167" s="3">
        <v>46270</v>
      </c>
      <c r="C167" t="s">
        <v>270</v>
      </c>
      <c r="D167" t="s">
        <v>213</v>
      </c>
      <c r="E167">
        <v>44</v>
      </c>
      <c r="F167" t="s">
        <v>2</v>
      </c>
      <c r="G167" t="s">
        <v>40</v>
      </c>
      <c r="H167" t="s">
        <v>2666</v>
      </c>
      <c r="I167" s="2">
        <v>5152000</v>
      </c>
      <c r="J167" t="s">
        <v>64</v>
      </c>
      <c r="K167" t="s">
        <v>2513</v>
      </c>
    </row>
    <row r="168" spans="1:11" x14ac:dyDescent="0.25">
      <c r="A168" t="s">
        <v>863</v>
      </c>
      <c r="B168" s="3">
        <v>46270</v>
      </c>
      <c r="C168" t="s">
        <v>509</v>
      </c>
      <c r="D168" t="s">
        <v>471</v>
      </c>
      <c r="E168">
        <v>46</v>
      </c>
      <c r="F168" t="s">
        <v>355</v>
      </c>
      <c r="G168" t="s">
        <v>36</v>
      </c>
      <c r="H168" t="s">
        <v>2667</v>
      </c>
      <c r="I168" s="2">
        <v>38000</v>
      </c>
      <c r="J168" t="s">
        <v>287</v>
      </c>
      <c r="K168" t="s">
        <v>2503</v>
      </c>
    </row>
    <row r="169" spans="1:11" x14ac:dyDescent="0.25">
      <c r="A169" t="s">
        <v>864</v>
      </c>
      <c r="B169" s="3">
        <v>46270</v>
      </c>
      <c r="C169" t="s">
        <v>495</v>
      </c>
      <c r="D169" t="s">
        <v>467</v>
      </c>
      <c r="E169">
        <v>25</v>
      </c>
      <c r="F169" t="s">
        <v>469</v>
      </c>
      <c r="G169" t="s">
        <v>85</v>
      </c>
      <c r="H169" t="s">
        <v>2668</v>
      </c>
      <c r="I169" s="2">
        <v>45000</v>
      </c>
      <c r="J169" t="s">
        <v>368</v>
      </c>
      <c r="K169" t="s">
        <v>2509</v>
      </c>
    </row>
    <row r="170" spans="1:11" x14ac:dyDescent="0.25">
      <c r="A170" t="s">
        <v>865</v>
      </c>
      <c r="B170" s="3">
        <v>46270</v>
      </c>
      <c r="C170" t="s">
        <v>580</v>
      </c>
      <c r="D170" t="s">
        <v>490</v>
      </c>
      <c r="E170">
        <v>36</v>
      </c>
      <c r="F170" t="s">
        <v>355</v>
      </c>
      <c r="G170" t="s">
        <v>36</v>
      </c>
      <c r="H170" t="s">
        <v>2595</v>
      </c>
      <c r="I170" s="2">
        <v>18000</v>
      </c>
      <c r="J170" t="s">
        <v>69</v>
      </c>
      <c r="K170" t="s">
        <v>2509</v>
      </c>
    </row>
    <row r="171" spans="1:11" x14ac:dyDescent="0.25">
      <c r="A171" t="s">
        <v>866</v>
      </c>
      <c r="B171" s="3">
        <v>46270</v>
      </c>
      <c r="C171" t="s">
        <v>528</v>
      </c>
      <c r="D171" t="s">
        <v>479</v>
      </c>
      <c r="E171">
        <v>22</v>
      </c>
      <c r="F171" t="s">
        <v>469</v>
      </c>
      <c r="G171" t="s">
        <v>81</v>
      </c>
      <c r="H171" t="s">
        <v>2669</v>
      </c>
      <c r="I171" s="2">
        <v>28000</v>
      </c>
      <c r="J171" t="s">
        <v>274</v>
      </c>
      <c r="K171" t="s">
        <v>2503</v>
      </c>
    </row>
    <row r="172" spans="1:11" x14ac:dyDescent="0.25">
      <c r="A172" t="s">
        <v>867</v>
      </c>
      <c r="B172" s="3">
        <v>46270</v>
      </c>
      <c r="C172" t="s">
        <v>561</v>
      </c>
      <c r="D172" t="s">
        <v>484</v>
      </c>
      <c r="E172">
        <v>17</v>
      </c>
      <c r="F172" t="s">
        <v>469</v>
      </c>
      <c r="G172" t="s">
        <v>85</v>
      </c>
      <c r="H172" t="s">
        <v>2670</v>
      </c>
      <c r="I172" s="2">
        <v>51000</v>
      </c>
      <c r="J172" t="s">
        <v>310</v>
      </c>
      <c r="K172" t="s">
        <v>2513</v>
      </c>
    </row>
    <row r="173" spans="1:11" x14ac:dyDescent="0.25">
      <c r="A173" t="s">
        <v>868</v>
      </c>
      <c r="B173" s="3">
        <v>46270</v>
      </c>
      <c r="C173" t="s">
        <v>560</v>
      </c>
      <c r="D173" t="s">
        <v>467</v>
      </c>
      <c r="E173">
        <v>50</v>
      </c>
      <c r="F173" t="s">
        <v>469</v>
      </c>
      <c r="G173" t="s">
        <v>32</v>
      </c>
      <c r="H173" t="s">
        <v>2671</v>
      </c>
      <c r="I173" s="2">
        <v>27000</v>
      </c>
      <c r="J173" t="s">
        <v>119</v>
      </c>
      <c r="K173" t="s">
        <v>2513</v>
      </c>
    </row>
    <row r="174" spans="1:11" x14ac:dyDescent="0.25">
      <c r="A174" t="s">
        <v>869</v>
      </c>
      <c r="B174" s="3">
        <v>46270</v>
      </c>
      <c r="C174" t="s">
        <v>644</v>
      </c>
      <c r="D174" t="s">
        <v>629</v>
      </c>
      <c r="E174">
        <v>22</v>
      </c>
      <c r="F174" t="s">
        <v>355</v>
      </c>
      <c r="G174" t="s">
        <v>61</v>
      </c>
      <c r="H174" t="s">
        <v>2672</v>
      </c>
      <c r="I174" s="2">
        <v>36000</v>
      </c>
      <c r="J174" t="s">
        <v>189</v>
      </c>
      <c r="K174" t="s">
        <v>2503</v>
      </c>
    </row>
    <row r="175" spans="1:11" x14ac:dyDescent="0.25">
      <c r="A175" t="s">
        <v>870</v>
      </c>
      <c r="B175" s="3">
        <v>46270</v>
      </c>
      <c r="C175" t="s">
        <v>510</v>
      </c>
      <c r="D175" t="s">
        <v>479</v>
      </c>
      <c r="E175">
        <v>20</v>
      </c>
      <c r="F175" t="s">
        <v>469</v>
      </c>
      <c r="G175" t="s">
        <v>48</v>
      </c>
      <c r="H175" t="s">
        <v>2673</v>
      </c>
      <c r="I175" s="2">
        <v>27000</v>
      </c>
      <c r="J175" t="s">
        <v>117</v>
      </c>
      <c r="K175" t="s">
        <v>2509</v>
      </c>
    </row>
    <row r="176" spans="1:11" x14ac:dyDescent="0.25">
      <c r="A176" t="s">
        <v>871</v>
      </c>
      <c r="B176" s="3">
        <v>46270</v>
      </c>
      <c r="C176" t="s">
        <v>684</v>
      </c>
      <c r="D176" t="s">
        <v>602</v>
      </c>
      <c r="E176">
        <v>14</v>
      </c>
      <c r="F176" t="s">
        <v>2</v>
      </c>
      <c r="G176" t="s">
        <v>22</v>
      </c>
      <c r="H176" t="s">
        <v>2674</v>
      </c>
      <c r="I176" s="2">
        <v>239000</v>
      </c>
      <c r="J176" t="s">
        <v>142</v>
      </c>
      <c r="K176" t="s">
        <v>2503</v>
      </c>
    </row>
    <row r="177" spans="1:11" x14ac:dyDescent="0.25">
      <c r="A177" t="s">
        <v>872</v>
      </c>
      <c r="B177" s="3">
        <v>46270</v>
      </c>
      <c r="C177" t="s">
        <v>187</v>
      </c>
      <c r="D177" t="s">
        <v>54</v>
      </c>
      <c r="E177">
        <v>6</v>
      </c>
      <c r="F177" t="s">
        <v>2</v>
      </c>
      <c r="G177" t="s">
        <v>36</v>
      </c>
      <c r="H177" t="s">
        <v>2675</v>
      </c>
      <c r="I177" s="2">
        <v>122000</v>
      </c>
      <c r="J177" t="s">
        <v>110</v>
      </c>
      <c r="K177" t="s">
        <v>2503</v>
      </c>
    </row>
    <row r="178" spans="1:11" x14ac:dyDescent="0.25">
      <c r="A178" t="s">
        <v>873</v>
      </c>
      <c r="B178" s="3">
        <v>46270</v>
      </c>
      <c r="C178" t="s">
        <v>202</v>
      </c>
      <c r="D178" t="s">
        <v>54</v>
      </c>
      <c r="E178">
        <v>24</v>
      </c>
      <c r="F178" t="s">
        <v>2</v>
      </c>
      <c r="G178" t="s">
        <v>48</v>
      </c>
      <c r="H178" t="s">
        <v>2676</v>
      </c>
      <c r="I178" s="2">
        <v>31000</v>
      </c>
      <c r="J178" t="s">
        <v>203</v>
      </c>
      <c r="K178" t="s">
        <v>2503</v>
      </c>
    </row>
    <row r="179" spans="1:11" x14ac:dyDescent="0.25">
      <c r="A179" t="s">
        <v>874</v>
      </c>
      <c r="B179" s="3">
        <v>46270</v>
      </c>
      <c r="C179" t="s">
        <v>249</v>
      </c>
      <c r="D179" t="s">
        <v>216</v>
      </c>
      <c r="E179">
        <v>2</v>
      </c>
      <c r="F179" t="s">
        <v>2</v>
      </c>
      <c r="G179" t="s">
        <v>17</v>
      </c>
      <c r="H179" t="s">
        <v>2677</v>
      </c>
      <c r="I179" s="2">
        <v>502000</v>
      </c>
      <c r="J179" t="s">
        <v>250</v>
      </c>
      <c r="K179" t="s">
        <v>2513</v>
      </c>
    </row>
    <row r="180" spans="1:11" x14ac:dyDescent="0.25">
      <c r="A180" t="s">
        <v>875</v>
      </c>
      <c r="B180" s="3">
        <v>46270</v>
      </c>
      <c r="C180" t="s">
        <v>407</v>
      </c>
      <c r="D180" t="s">
        <v>344</v>
      </c>
      <c r="E180">
        <v>44</v>
      </c>
      <c r="F180" t="s">
        <v>346</v>
      </c>
      <c r="G180" t="s">
        <v>81</v>
      </c>
      <c r="H180" t="s">
        <v>2678</v>
      </c>
      <c r="I180" s="2">
        <v>58000</v>
      </c>
      <c r="J180" t="s">
        <v>30</v>
      </c>
      <c r="K180" t="s">
        <v>2503</v>
      </c>
    </row>
    <row r="181" spans="1:11" x14ac:dyDescent="0.25">
      <c r="A181" t="s">
        <v>876</v>
      </c>
      <c r="B181" s="3">
        <v>46270</v>
      </c>
      <c r="C181" t="s">
        <v>299</v>
      </c>
      <c r="D181" t="s">
        <v>216</v>
      </c>
      <c r="E181">
        <v>27</v>
      </c>
      <c r="F181" t="s">
        <v>2</v>
      </c>
      <c r="G181" t="s">
        <v>17</v>
      </c>
      <c r="H181" t="s">
        <v>2679</v>
      </c>
      <c r="I181" s="2">
        <v>535000</v>
      </c>
      <c r="J181" t="s">
        <v>155</v>
      </c>
      <c r="K181" t="s">
        <v>2503</v>
      </c>
    </row>
    <row r="182" spans="1:11" x14ac:dyDescent="0.25">
      <c r="A182" t="s">
        <v>877</v>
      </c>
      <c r="B182" s="3">
        <v>46270</v>
      </c>
      <c r="C182" t="s">
        <v>202</v>
      </c>
      <c r="D182" t="s">
        <v>54</v>
      </c>
      <c r="E182">
        <v>3</v>
      </c>
      <c r="F182" t="s">
        <v>2</v>
      </c>
      <c r="G182" t="s">
        <v>48</v>
      </c>
      <c r="H182" t="s">
        <v>2680</v>
      </c>
      <c r="I182" s="2">
        <v>31000</v>
      </c>
      <c r="J182" t="s">
        <v>203</v>
      </c>
      <c r="K182" t="s">
        <v>2503</v>
      </c>
    </row>
    <row r="183" spans="1:11" x14ac:dyDescent="0.25">
      <c r="A183" t="s">
        <v>878</v>
      </c>
      <c r="B183" s="3">
        <v>46270</v>
      </c>
      <c r="C183" t="s">
        <v>549</v>
      </c>
      <c r="D183" t="s">
        <v>474</v>
      </c>
      <c r="E183">
        <v>69</v>
      </c>
      <c r="F183" t="s">
        <v>2</v>
      </c>
      <c r="G183" t="s">
        <v>81</v>
      </c>
      <c r="H183" t="s">
        <v>2681</v>
      </c>
      <c r="I183" s="2">
        <v>11000</v>
      </c>
      <c r="J183" t="s">
        <v>297</v>
      </c>
      <c r="K183" t="s">
        <v>2513</v>
      </c>
    </row>
    <row r="184" spans="1:11" x14ac:dyDescent="0.25">
      <c r="A184" t="s">
        <v>879</v>
      </c>
      <c r="B184" s="3">
        <v>46270</v>
      </c>
      <c r="C184" t="s">
        <v>88</v>
      </c>
      <c r="D184" t="s">
        <v>26</v>
      </c>
      <c r="E184">
        <v>34</v>
      </c>
      <c r="F184" t="s">
        <v>2</v>
      </c>
      <c r="G184" t="s">
        <v>85</v>
      </c>
      <c r="H184" t="s">
        <v>2682</v>
      </c>
      <c r="I184" s="2">
        <v>209000</v>
      </c>
      <c r="J184" t="s">
        <v>89</v>
      </c>
      <c r="K184" t="s">
        <v>2500</v>
      </c>
    </row>
    <row r="185" spans="1:11" x14ac:dyDescent="0.25">
      <c r="A185" t="s">
        <v>880</v>
      </c>
      <c r="B185" s="3">
        <v>46270</v>
      </c>
      <c r="C185" t="s">
        <v>192</v>
      </c>
      <c r="D185" t="s">
        <v>1</v>
      </c>
      <c r="E185">
        <v>47</v>
      </c>
      <c r="F185" t="s">
        <v>2</v>
      </c>
      <c r="G185" t="s">
        <v>55</v>
      </c>
      <c r="H185" t="s">
        <v>2683</v>
      </c>
      <c r="I185" s="2">
        <v>55000</v>
      </c>
      <c r="J185" t="s">
        <v>193</v>
      </c>
      <c r="K185" t="s">
        <v>2503</v>
      </c>
    </row>
    <row r="186" spans="1:11" x14ac:dyDescent="0.25">
      <c r="A186" t="s">
        <v>881</v>
      </c>
      <c r="B186" s="3">
        <v>46270</v>
      </c>
      <c r="C186" t="s">
        <v>94</v>
      </c>
      <c r="D186" t="s">
        <v>15</v>
      </c>
      <c r="E186">
        <v>48</v>
      </c>
      <c r="F186" t="s">
        <v>2</v>
      </c>
      <c r="G186" t="s">
        <v>22</v>
      </c>
      <c r="H186" t="s">
        <v>2684</v>
      </c>
      <c r="I186" s="2">
        <v>148000</v>
      </c>
      <c r="J186" t="s">
        <v>95</v>
      </c>
      <c r="K186" t="s">
        <v>2509</v>
      </c>
    </row>
    <row r="187" spans="1:11" x14ac:dyDescent="0.25">
      <c r="A187" t="s">
        <v>882</v>
      </c>
      <c r="B187" s="3">
        <v>46270</v>
      </c>
      <c r="C187" t="s">
        <v>322</v>
      </c>
      <c r="D187" t="s">
        <v>227</v>
      </c>
      <c r="E187">
        <v>43</v>
      </c>
      <c r="F187" t="s">
        <v>2</v>
      </c>
      <c r="G187" t="s">
        <v>17</v>
      </c>
      <c r="H187" t="s">
        <v>2685</v>
      </c>
      <c r="I187" s="2">
        <v>576000</v>
      </c>
      <c r="J187" t="s">
        <v>95</v>
      </c>
      <c r="K187" t="s">
        <v>2503</v>
      </c>
    </row>
    <row r="188" spans="1:11" x14ac:dyDescent="0.25">
      <c r="A188" t="s">
        <v>883</v>
      </c>
      <c r="B188" s="3">
        <v>46270</v>
      </c>
      <c r="C188" t="s">
        <v>555</v>
      </c>
      <c r="D188" t="s">
        <v>502</v>
      </c>
      <c r="E188">
        <v>42</v>
      </c>
      <c r="F188" t="s">
        <v>469</v>
      </c>
      <c r="G188" t="s">
        <v>40</v>
      </c>
      <c r="H188" t="s">
        <v>2686</v>
      </c>
      <c r="I188" s="2">
        <v>115000</v>
      </c>
      <c r="J188" t="s">
        <v>124</v>
      </c>
      <c r="K188" t="s">
        <v>2513</v>
      </c>
    </row>
    <row r="189" spans="1:11" x14ac:dyDescent="0.25">
      <c r="A189" t="s">
        <v>884</v>
      </c>
      <c r="B189" s="3">
        <v>46270</v>
      </c>
      <c r="C189" t="s">
        <v>555</v>
      </c>
      <c r="D189" t="s">
        <v>502</v>
      </c>
      <c r="E189">
        <v>39</v>
      </c>
      <c r="F189" t="s">
        <v>469</v>
      </c>
      <c r="G189" t="s">
        <v>40</v>
      </c>
      <c r="H189" t="s">
        <v>2687</v>
      </c>
      <c r="I189" s="2">
        <v>115000</v>
      </c>
      <c r="J189" t="s">
        <v>124</v>
      </c>
      <c r="K189" t="s">
        <v>2513</v>
      </c>
    </row>
    <row r="190" spans="1:11" x14ac:dyDescent="0.25">
      <c r="A190" t="s">
        <v>885</v>
      </c>
      <c r="B190" s="3">
        <v>46270</v>
      </c>
      <c r="C190" t="s">
        <v>342</v>
      </c>
      <c r="D190" t="s">
        <v>240</v>
      </c>
      <c r="E190">
        <v>70</v>
      </c>
      <c r="F190" t="s">
        <v>2</v>
      </c>
      <c r="G190" t="s">
        <v>36</v>
      </c>
      <c r="H190" t="s">
        <v>2688</v>
      </c>
      <c r="I190" s="2">
        <v>442000</v>
      </c>
      <c r="J190" t="s">
        <v>195</v>
      </c>
      <c r="K190" t="s">
        <v>2509</v>
      </c>
    </row>
    <row r="191" spans="1:11" x14ac:dyDescent="0.25">
      <c r="A191" t="s">
        <v>886</v>
      </c>
      <c r="B191" s="3">
        <v>46270</v>
      </c>
      <c r="C191" t="s">
        <v>631</v>
      </c>
      <c r="D191" t="s">
        <v>582</v>
      </c>
      <c r="E191">
        <v>61</v>
      </c>
      <c r="F191" t="s">
        <v>2</v>
      </c>
      <c r="G191" t="s">
        <v>40</v>
      </c>
      <c r="H191" t="s">
        <v>2689</v>
      </c>
      <c r="I191" s="2">
        <v>113000</v>
      </c>
      <c r="J191" t="s">
        <v>110</v>
      </c>
      <c r="K191" t="s">
        <v>2513</v>
      </c>
    </row>
    <row r="192" spans="1:11" x14ac:dyDescent="0.25">
      <c r="A192" t="s">
        <v>887</v>
      </c>
      <c r="B192" s="3">
        <v>46271</v>
      </c>
      <c r="C192" t="s">
        <v>426</v>
      </c>
      <c r="D192" t="s">
        <v>357</v>
      </c>
      <c r="E192">
        <v>13</v>
      </c>
      <c r="F192" t="s">
        <v>358</v>
      </c>
      <c r="G192" t="s">
        <v>40</v>
      </c>
      <c r="H192" t="s">
        <v>2690</v>
      </c>
      <c r="I192" s="2">
        <v>25000</v>
      </c>
      <c r="J192" t="s">
        <v>42</v>
      </c>
      <c r="K192" t="s">
        <v>2500</v>
      </c>
    </row>
    <row r="193" spans="1:11" x14ac:dyDescent="0.25">
      <c r="A193" t="s">
        <v>888</v>
      </c>
      <c r="B193" s="3">
        <v>46271</v>
      </c>
      <c r="C193" t="s">
        <v>515</v>
      </c>
      <c r="D193" t="s">
        <v>488</v>
      </c>
      <c r="E193">
        <v>29</v>
      </c>
      <c r="F193" t="s">
        <v>469</v>
      </c>
      <c r="G193" t="s">
        <v>36</v>
      </c>
      <c r="H193" t="s">
        <v>2691</v>
      </c>
      <c r="I193" s="2">
        <v>45000</v>
      </c>
      <c r="J193" t="s">
        <v>292</v>
      </c>
      <c r="K193" t="s">
        <v>2513</v>
      </c>
    </row>
    <row r="194" spans="1:11" x14ac:dyDescent="0.25">
      <c r="A194" t="s">
        <v>889</v>
      </c>
      <c r="B194" s="3">
        <v>46271</v>
      </c>
      <c r="C194" t="s">
        <v>375</v>
      </c>
      <c r="D194" t="s">
        <v>364</v>
      </c>
      <c r="E194">
        <v>39</v>
      </c>
      <c r="F194" t="s">
        <v>358</v>
      </c>
      <c r="G194" t="s">
        <v>55</v>
      </c>
      <c r="H194" t="s">
        <v>2692</v>
      </c>
      <c r="I194" s="2">
        <v>23000</v>
      </c>
      <c r="J194" t="s">
        <v>110</v>
      </c>
      <c r="K194" t="s">
        <v>2513</v>
      </c>
    </row>
    <row r="195" spans="1:11" x14ac:dyDescent="0.25">
      <c r="A195" t="s">
        <v>890</v>
      </c>
      <c r="B195" s="3">
        <v>46271</v>
      </c>
      <c r="C195" t="s">
        <v>196</v>
      </c>
      <c r="D195" t="s">
        <v>47</v>
      </c>
      <c r="E195">
        <v>37</v>
      </c>
      <c r="F195" t="s">
        <v>2</v>
      </c>
      <c r="G195" t="s">
        <v>85</v>
      </c>
      <c r="H195" t="s">
        <v>2693</v>
      </c>
      <c r="I195" s="2">
        <v>475000</v>
      </c>
      <c r="J195" t="s">
        <v>164</v>
      </c>
      <c r="K195" t="s">
        <v>2509</v>
      </c>
    </row>
    <row r="196" spans="1:11" x14ac:dyDescent="0.25">
      <c r="A196" t="s">
        <v>891</v>
      </c>
      <c r="B196" s="3">
        <v>46271</v>
      </c>
      <c r="C196" t="s">
        <v>313</v>
      </c>
      <c r="D196" t="s">
        <v>225</v>
      </c>
      <c r="E196">
        <v>41</v>
      </c>
      <c r="F196" t="s">
        <v>2</v>
      </c>
      <c r="G196" t="s">
        <v>55</v>
      </c>
      <c r="H196" t="s">
        <v>2694</v>
      </c>
      <c r="I196" s="2">
        <v>904000</v>
      </c>
      <c r="J196" t="s">
        <v>314</v>
      </c>
      <c r="K196" t="s">
        <v>2509</v>
      </c>
    </row>
    <row r="197" spans="1:11" x14ac:dyDescent="0.25">
      <c r="A197" t="s">
        <v>892</v>
      </c>
      <c r="B197" s="3">
        <v>46271</v>
      </c>
      <c r="C197" t="s">
        <v>575</v>
      </c>
      <c r="D197" t="s">
        <v>467</v>
      </c>
      <c r="E197">
        <v>32</v>
      </c>
      <c r="F197" t="s">
        <v>469</v>
      </c>
      <c r="G197" t="s">
        <v>36</v>
      </c>
      <c r="H197" t="s">
        <v>2695</v>
      </c>
      <c r="I197" s="2">
        <v>33000</v>
      </c>
      <c r="J197" t="s">
        <v>108</v>
      </c>
      <c r="K197" t="s">
        <v>2509</v>
      </c>
    </row>
    <row r="198" spans="1:11" x14ac:dyDescent="0.25">
      <c r="A198" t="s">
        <v>893</v>
      </c>
      <c r="B198" s="3">
        <v>46271</v>
      </c>
      <c r="C198" t="s">
        <v>269</v>
      </c>
      <c r="D198" t="s">
        <v>210</v>
      </c>
      <c r="E198">
        <v>19</v>
      </c>
      <c r="F198" t="s">
        <v>2</v>
      </c>
      <c r="G198" t="s">
        <v>36</v>
      </c>
      <c r="H198" t="s">
        <v>2696</v>
      </c>
      <c r="I198" s="2">
        <v>4424000</v>
      </c>
      <c r="J198" t="s">
        <v>117</v>
      </c>
      <c r="K198" t="s">
        <v>2500</v>
      </c>
    </row>
    <row r="199" spans="1:11" x14ac:dyDescent="0.25">
      <c r="A199" t="s">
        <v>894</v>
      </c>
      <c r="B199" s="3">
        <v>46271</v>
      </c>
      <c r="C199" t="s">
        <v>561</v>
      </c>
      <c r="D199" t="s">
        <v>484</v>
      </c>
      <c r="E199">
        <v>25</v>
      </c>
      <c r="F199" t="s">
        <v>469</v>
      </c>
      <c r="G199" t="s">
        <v>85</v>
      </c>
      <c r="H199" t="s">
        <v>2697</v>
      </c>
      <c r="I199" s="2">
        <v>51000</v>
      </c>
      <c r="J199" t="s">
        <v>310</v>
      </c>
      <c r="K199" t="s">
        <v>2500</v>
      </c>
    </row>
    <row r="200" spans="1:11" x14ac:dyDescent="0.25">
      <c r="A200" t="s">
        <v>895</v>
      </c>
      <c r="B200" s="3">
        <v>46271</v>
      </c>
      <c r="C200" t="s">
        <v>539</v>
      </c>
      <c r="D200" t="s">
        <v>479</v>
      </c>
      <c r="E200">
        <v>31</v>
      </c>
      <c r="F200" t="s">
        <v>469</v>
      </c>
      <c r="G200" t="s">
        <v>17</v>
      </c>
      <c r="H200" t="s">
        <v>2698</v>
      </c>
      <c r="I200" s="2">
        <v>32000</v>
      </c>
      <c r="J200" t="s">
        <v>327</v>
      </c>
      <c r="K200" t="s">
        <v>2500</v>
      </c>
    </row>
    <row r="201" spans="1:11" x14ac:dyDescent="0.25">
      <c r="A201" t="s">
        <v>896</v>
      </c>
      <c r="B201" s="3">
        <v>46271</v>
      </c>
      <c r="C201" t="s">
        <v>564</v>
      </c>
      <c r="D201" t="s">
        <v>481</v>
      </c>
      <c r="E201">
        <v>38</v>
      </c>
      <c r="F201" t="s">
        <v>2</v>
      </c>
      <c r="G201" t="s">
        <v>61</v>
      </c>
      <c r="H201" t="s">
        <v>2699</v>
      </c>
      <c r="I201" s="2">
        <v>101000</v>
      </c>
      <c r="J201" t="s">
        <v>164</v>
      </c>
      <c r="K201" t="s">
        <v>2503</v>
      </c>
    </row>
    <row r="202" spans="1:11" x14ac:dyDescent="0.25">
      <c r="A202" t="s">
        <v>897</v>
      </c>
      <c r="B202" s="3">
        <v>46271</v>
      </c>
      <c r="C202" t="s">
        <v>118</v>
      </c>
      <c r="D202" t="s">
        <v>66</v>
      </c>
      <c r="E202">
        <v>8</v>
      </c>
      <c r="F202" t="s">
        <v>2</v>
      </c>
      <c r="G202" t="s">
        <v>17</v>
      </c>
      <c r="H202" t="s">
        <v>2700</v>
      </c>
      <c r="I202" s="2">
        <v>87000</v>
      </c>
      <c r="J202" t="s">
        <v>119</v>
      </c>
      <c r="K202" t="s">
        <v>2513</v>
      </c>
    </row>
    <row r="203" spans="1:11" x14ac:dyDescent="0.25">
      <c r="A203" t="s">
        <v>898</v>
      </c>
      <c r="B203" s="3">
        <v>46271</v>
      </c>
      <c r="C203" t="s">
        <v>663</v>
      </c>
      <c r="D203" t="s">
        <v>587</v>
      </c>
      <c r="E203">
        <v>37</v>
      </c>
      <c r="F203" t="s">
        <v>2</v>
      </c>
      <c r="G203" t="s">
        <v>22</v>
      </c>
      <c r="H203" t="s">
        <v>2701</v>
      </c>
      <c r="I203" s="2">
        <v>14000</v>
      </c>
      <c r="J203" t="s">
        <v>464</v>
      </c>
      <c r="K203" t="s">
        <v>2503</v>
      </c>
    </row>
    <row r="204" spans="1:11" x14ac:dyDescent="0.25">
      <c r="A204" t="s">
        <v>899</v>
      </c>
      <c r="B204" s="3">
        <v>46271</v>
      </c>
      <c r="C204" t="s">
        <v>438</v>
      </c>
      <c r="D204" t="s">
        <v>349</v>
      </c>
      <c r="E204">
        <v>10</v>
      </c>
      <c r="F204" t="s">
        <v>2</v>
      </c>
      <c r="G204" t="s">
        <v>36</v>
      </c>
      <c r="H204" t="s">
        <v>2702</v>
      </c>
      <c r="I204" s="2">
        <v>13000</v>
      </c>
      <c r="J204" t="s">
        <v>327</v>
      </c>
      <c r="K204" t="s">
        <v>2500</v>
      </c>
    </row>
    <row r="205" spans="1:11" x14ac:dyDescent="0.25">
      <c r="A205" t="s">
        <v>900</v>
      </c>
      <c r="B205" s="3">
        <v>46271</v>
      </c>
      <c r="C205" t="s">
        <v>491</v>
      </c>
      <c r="D205" t="s">
        <v>481</v>
      </c>
      <c r="E205">
        <v>39</v>
      </c>
      <c r="F205" t="s">
        <v>2</v>
      </c>
      <c r="G205" t="s">
        <v>55</v>
      </c>
      <c r="H205" t="s">
        <v>2703</v>
      </c>
      <c r="I205" s="2">
        <v>186000</v>
      </c>
      <c r="J205" t="s">
        <v>324</v>
      </c>
      <c r="K205" t="s">
        <v>2509</v>
      </c>
    </row>
    <row r="206" spans="1:11" x14ac:dyDescent="0.25">
      <c r="A206" t="s">
        <v>901</v>
      </c>
      <c r="B206" s="3">
        <v>46271</v>
      </c>
      <c r="C206" t="s">
        <v>228</v>
      </c>
      <c r="D206" t="s">
        <v>218</v>
      </c>
      <c r="E206">
        <v>66</v>
      </c>
      <c r="F206" t="s">
        <v>2</v>
      </c>
      <c r="G206" t="s">
        <v>48</v>
      </c>
      <c r="H206" t="s">
        <v>2704</v>
      </c>
      <c r="I206" s="2">
        <v>1819000</v>
      </c>
      <c r="J206" t="s">
        <v>67</v>
      </c>
      <c r="K206" t="s">
        <v>2503</v>
      </c>
    </row>
    <row r="207" spans="1:11" x14ac:dyDescent="0.25">
      <c r="A207" t="s">
        <v>902</v>
      </c>
      <c r="B207" s="3">
        <v>46271</v>
      </c>
      <c r="C207" t="s">
        <v>486</v>
      </c>
      <c r="D207" t="s">
        <v>479</v>
      </c>
      <c r="E207">
        <v>37</v>
      </c>
      <c r="F207" t="s">
        <v>469</v>
      </c>
      <c r="G207" t="s">
        <v>61</v>
      </c>
      <c r="H207" t="s">
        <v>2705</v>
      </c>
      <c r="I207" s="2">
        <v>34000</v>
      </c>
      <c r="J207" t="s">
        <v>52</v>
      </c>
      <c r="K207" t="s">
        <v>2509</v>
      </c>
    </row>
    <row r="208" spans="1:11" x14ac:dyDescent="0.25">
      <c r="A208" t="s">
        <v>903</v>
      </c>
      <c r="B208" s="3">
        <v>46271</v>
      </c>
      <c r="C208" t="s">
        <v>665</v>
      </c>
      <c r="D208" t="s">
        <v>589</v>
      </c>
      <c r="E208">
        <v>6</v>
      </c>
      <c r="F208" t="s">
        <v>469</v>
      </c>
      <c r="G208" t="s">
        <v>40</v>
      </c>
      <c r="H208" t="s">
        <v>2706</v>
      </c>
      <c r="I208" s="2">
        <v>18000</v>
      </c>
      <c r="J208" t="s">
        <v>274</v>
      </c>
      <c r="K208" t="s">
        <v>2513</v>
      </c>
    </row>
    <row r="209" spans="1:11" x14ac:dyDescent="0.25">
      <c r="A209" t="s">
        <v>904</v>
      </c>
      <c r="B209" s="3">
        <v>46271</v>
      </c>
      <c r="C209" t="s">
        <v>373</v>
      </c>
      <c r="D209" t="s">
        <v>364</v>
      </c>
      <c r="E209">
        <v>56</v>
      </c>
      <c r="F209" t="s">
        <v>358</v>
      </c>
      <c r="G209" t="s">
        <v>32</v>
      </c>
      <c r="H209" t="s">
        <v>2707</v>
      </c>
      <c r="I209" s="2">
        <v>34000</v>
      </c>
      <c r="J209" t="s">
        <v>206</v>
      </c>
      <c r="K209" t="s">
        <v>2513</v>
      </c>
    </row>
    <row r="210" spans="1:11" x14ac:dyDescent="0.25">
      <c r="A210" t="s">
        <v>905</v>
      </c>
      <c r="B210" s="3">
        <v>46271</v>
      </c>
      <c r="C210" t="s">
        <v>107</v>
      </c>
      <c r="D210" t="s">
        <v>29</v>
      </c>
      <c r="E210">
        <v>32</v>
      </c>
      <c r="F210" t="s">
        <v>2</v>
      </c>
      <c r="G210" t="s">
        <v>85</v>
      </c>
      <c r="H210" t="s">
        <v>2708</v>
      </c>
      <c r="I210" s="2">
        <v>173000</v>
      </c>
      <c r="J210" t="s">
        <v>108</v>
      </c>
      <c r="K210" t="s">
        <v>2513</v>
      </c>
    </row>
    <row r="211" spans="1:11" x14ac:dyDescent="0.25">
      <c r="A211" t="s">
        <v>906</v>
      </c>
      <c r="B211" s="3">
        <v>46271</v>
      </c>
      <c r="C211" t="s">
        <v>388</v>
      </c>
      <c r="D211" t="s">
        <v>351</v>
      </c>
      <c r="E211">
        <v>65</v>
      </c>
      <c r="F211" t="s">
        <v>2</v>
      </c>
      <c r="G211" t="s">
        <v>32</v>
      </c>
      <c r="H211" t="s">
        <v>2709</v>
      </c>
      <c r="I211" s="2">
        <v>233000</v>
      </c>
      <c r="J211" t="s">
        <v>147</v>
      </c>
      <c r="K211" t="s">
        <v>2513</v>
      </c>
    </row>
    <row r="212" spans="1:11" x14ac:dyDescent="0.25">
      <c r="A212" t="s">
        <v>907</v>
      </c>
      <c r="B212" s="3">
        <v>46271</v>
      </c>
      <c r="C212" t="s">
        <v>416</v>
      </c>
      <c r="D212" t="s">
        <v>344</v>
      </c>
      <c r="E212">
        <v>31</v>
      </c>
      <c r="F212" t="s">
        <v>346</v>
      </c>
      <c r="G212" t="s">
        <v>22</v>
      </c>
      <c r="H212" t="s">
        <v>2710</v>
      </c>
      <c r="I212" s="2">
        <v>64000</v>
      </c>
      <c r="J212" t="s">
        <v>102</v>
      </c>
      <c r="K212" t="s">
        <v>2503</v>
      </c>
    </row>
    <row r="213" spans="1:11" x14ac:dyDescent="0.25">
      <c r="A213" t="s">
        <v>908</v>
      </c>
      <c r="B213" s="3">
        <v>46271</v>
      </c>
      <c r="C213" t="s">
        <v>170</v>
      </c>
      <c r="D213" t="s">
        <v>66</v>
      </c>
      <c r="E213">
        <v>32</v>
      </c>
      <c r="F213" t="s">
        <v>2</v>
      </c>
      <c r="G213" t="s">
        <v>85</v>
      </c>
      <c r="H213" t="s">
        <v>2711</v>
      </c>
      <c r="I213" s="2">
        <v>237000</v>
      </c>
      <c r="J213" t="s">
        <v>171</v>
      </c>
      <c r="K213" t="s">
        <v>2509</v>
      </c>
    </row>
    <row r="214" spans="1:11" x14ac:dyDescent="0.25">
      <c r="A214" t="s">
        <v>909</v>
      </c>
      <c r="B214" s="3">
        <v>46271</v>
      </c>
      <c r="C214" t="s">
        <v>504</v>
      </c>
      <c r="D214" t="s">
        <v>474</v>
      </c>
      <c r="E214">
        <v>40</v>
      </c>
      <c r="F214" t="s">
        <v>2</v>
      </c>
      <c r="G214" t="s">
        <v>17</v>
      </c>
      <c r="H214" t="s">
        <v>2712</v>
      </c>
      <c r="I214" s="2">
        <v>14000</v>
      </c>
      <c r="J214" t="s">
        <v>274</v>
      </c>
      <c r="K214" t="s">
        <v>2503</v>
      </c>
    </row>
    <row r="215" spans="1:11" x14ac:dyDescent="0.25">
      <c r="A215" t="s">
        <v>910</v>
      </c>
      <c r="B215" s="3">
        <v>46271</v>
      </c>
      <c r="C215" t="s">
        <v>603</v>
      </c>
      <c r="D215" t="s">
        <v>594</v>
      </c>
      <c r="E215">
        <v>57</v>
      </c>
      <c r="F215" t="s">
        <v>595</v>
      </c>
      <c r="G215" t="s">
        <v>17</v>
      </c>
      <c r="H215" t="s">
        <v>2713</v>
      </c>
      <c r="I215" s="2">
        <v>14000</v>
      </c>
      <c r="J215" t="s">
        <v>45</v>
      </c>
      <c r="K215" t="s">
        <v>2503</v>
      </c>
    </row>
    <row r="216" spans="1:11" x14ac:dyDescent="0.25">
      <c r="A216" t="s">
        <v>911</v>
      </c>
      <c r="B216" s="3">
        <v>46271</v>
      </c>
      <c r="C216" t="s">
        <v>624</v>
      </c>
      <c r="D216" t="s">
        <v>602</v>
      </c>
      <c r="E216">
        <v>11</v>
      </c>
      <c r="F216" t="s">
        <v>2</v>
      </c>
      <c r="G216" t="s">
        <v>81</v>
      </c>
      <c r="H216" t="s">
        <v>2714</v>
      </c>
      <c r="I216" s="2">
        <v>87000</v>
      </c>
      <c r="J216" t="s">
        <v>181</v>
      </c>
      <c r="K216" t="s">
        <v>2513</v>
      </c>
    </row>
    <row r="217" spans="1:11" x14ac:dyDescent="0.25">
      <c r="A217" t="s">
        <v>912</v>
      </c>
      <c r="B217" s="3">
        <v>46271</v>
      </c>
      <c r="C217" t="s">
        <v>636</v>
      </c>
      <c r="D217" t="s">
        <v>602</v>
      </c>
      <c r="E217">
        <v>63</v>
      </c>
      <c r="F217" t="s">
        <v>2</v>
      </c>
      <c r="G217" t="s">
        <v>32</v>
      </c>
      <c r="H217" t="s">
        <v>2715</v>
      </c>
      <c r="I217" s="2">
        <v>116000</v>
      </c>
      <c r="J217" t="s">
        <v>183</v>
      </c>
      <c r="K217" t="s">
        <v>2509</v>
      </c>
    </row>
    <row r="218" spans="1:11" x14ac:dyDescent="0.25">
      <c r="A218" t="s">
        <v>913</v>
      </c>
      <c r="B218" s="3">
        <v>46271</v>
      </c>
      <c r="C218" t="s">
        <v>676</v>
      </c>
      <c r="D218" t="s">
        <v>612</v>
      </c>
      <c r="E218">
        <v>22</v>
      </c>
      <c r="F218" t="s">
        <v>2</v>
      </c>
      <c r="G218" t="s">
        <v>48</v>
      </c>
      <c r="H218" t="s">
        <v>2716</v>
      </c>
      <c r="I218" s="2">
        <v>27000</v>
      </c>
      <c r="J218" t="s">
        <v>677</v>
      </c>
      <c r="K218" t="s">
        <v>2500</v>
      </c>
    </row>
    <row r="219" spans="1:11" x14ac:dyDescent="0.25">
      <c r="A219" t="s">
        <v>914</v>
      </c>
      <c r="B219" s="3">
        <v>46271</v>
      </c>
      <c r="C219" t="s">
        <v>575</v>
      </c>
      <c r="D219" t="s">
        <v>467</v>
      </c>
      <c r="E219">
        <v>50</v>
      </c>
      <c r="F219" t="s">
        <v>469</v>
      </c>
      <c r="G219" t="s">
        <v>36</v>
      </c>
      <c r="H219" t="s">
        <v>2717</v>
      </c>
      <c r="I219" s="2">
        <v>33000</v>
      </c>
      <c r="J219" t="s">
        <v>108</v>
      </c>
      <c r="K219" t="s">
        <v>2500</v>
      </c>
    </row>
    <row r="220" spans="1:11" x14ac:dyDescent="0.25">
      <c r="A220" t="s">
        <v>915</v>
      </c>
      <c r="B220" s="3">
        <v>46271</v>
      </c>
      <c r="C220" t="s">
        <v>123</v>
      </c>
      <c r="D220" t="s">
        <v>26</v>
      </c>
      <c r="E220">
        <v>51</v>
      </c>
      <c r="F220" t="s">
        <v>2</v>
      </c>
      <c r="G220" t="s">
        <v>36</v>
      </c>
      <c r="H220" t="s">
        <v>2718</v>
      </c>
      <c r="I220" s="2">
        <v>315000</v>
      </c>
      <c r="J220" t="s">
        <v>124</v>
      </c>
      <c r="K220" t="s">
        <v>2503</v>
      </c>
    </row>
    <row r="221" spans="1:11" x14ac:dyDescent="0.25">
      <c r="A221" t="s">
        <v>916</v>
      </c>
      <c r="B221" s="3">
        <v>46271</v>
      </c>
      <c r="C221" t="s">
        <v>278</v>
      </c>
      <c r="D221" t="s">
        <v>261</v>
      </c>
      <c r="E221">
        <v>15</v>
      </c>
      <c r="F221" t="s">
        <v>2</v>
      </c>
      <c r="G221" t="s">
        <v>55</v>
      </c>
      <c r="H221" t="s">
        <v>2719</v>
      </c>
      <c r="I221" s="2">
        <v>507000</v>
      </c>
      <c r="J221" t="s">
        <v>279</v>
      </c>
      <c r="K221" t="s">
        <v>2503</v>
      </c>
    </row>
    <row r="222" spans="1:11" x14ac:dyDescent="0.25">
      <c r="A222" t="s">
        <v>917</v>
      </c>
      <c r="B222" s="3">
        <v>46271</v>
      </c>
      <c r="C222" t="s">
        <v>658</v>
      </c>
      <c r="D222" t="s">
        <v>597</v>
      </c>
      <c r="E222">
        <v>37</v>
      </c>
      <c r="F222" t="s">
        <v>355</v>
      </c>
      <c r="G222" t="s">
        <v>61</v>
      </c>
      <c r="H222" t="s">
        <v>2720</v>
      </c>
      <c r="I222" s="2">
        <v>50000</v>
      </c>
      <c r="J222" t="s">
        <v>113</v>
      </c>
      <c r="K222" t="s">
        <v>2509</v>
      </c>
    </row>
    <row r="223" spans="1:11" x14ac:dyDescent="0.25">
      <c r="A223" t="s">
        <v>918</v>
      </c>
      <c r="B223" s="3">
        <v>46271</v>
      </c>
      <c r="C223" t="s">
        <v>459</v>
      </c>
      <c r="D223" t="s">
        <v>351</v>
      </c>
      <c r="E223">
        <v>15</v>
      </c>
      <c r="F223" t="s">
        <v>2</v>
      </c>
      <c r="G223" t="s">
        <v>61</v>
      </c>
      <c r="H223" t="s">
        <v>2721</v>
      </c>
      <c r="I223" s="2">
        <v>608000</v>
      </c>
      <c r="J223" t="s">
        <v>77</v>
      </c>
      <c r="K223" t="s">
        <v>2513</v>
      </c>
    </row>
    <row r="224" spans="1:11" x14ac:dyDescent="0.25">
      <c r="A224" t="s">
        <v>919</v>
      </c>
      <c r="B224" s="3">
        <v>46271</v>
      </c>
      <c r="C224" t="s">
        <v>262</v>
      </c>
      <c r="D224" t="s">
        <v>223</v>
      </c>
      <c r="E224">
        <v>55</v>
      </c>
      <c r="F224" t="s">
        <v>2</v>
      </c>
      <c r="G224" t="s">
        <v>36</v>
      </c>
      <c r="H224" t="s">
        <v>2722</v>
      </c>
      <c r="I224" s="2">
        <v>217000</v>
      </c>
      <c r="J224" t="s">
        <v>259</v>
      </c>
      <c r="K224" t="s">
        <v>2503</v>
      </c>
    </row>
    <row r="225" spans="1:11" x14ac:dyDescent="0.25">
      <c r="A225" t="s">
        <v>920</v>
      </c>
      <c r="B225" s="3">
        <v>46272</v>
      </c>
      <c r="C225" t="s">
        <v>475</v>
      </c>
      <c r="D225" t="s">
        <v>476</v>
      </c>
      <c r="E225">
        <v>38</v>
      </c>
      <c r="F225" t="s">
        <v>477</v>
      </c>
      <c r="G225" t="s">
        <v>32</v>
      </c>
      <c r="H225" t="s">
        <v>2723</v>
      </c>
      <c r="I225" s="2">
        <v>7000</v>
      </c>
      <c r="J225" t="s">
        <v>129</v>
      </c>
      <c r="K225" t="s">
        <v>2503</v>
      </c>
    </row>
    <row r="226" spans="1:11" x14ac:dyDescent="0.25">
      <c r="A226" t="s">
        <v>921</v>
      </c>
      <c r="B226" s="3">
        <v>46272</v>
      </c>
      <c r="C226" t="s">
        <v>429</v>
      </c>
      <c r="D226" t="s">
        <v>351</v>
      </c>
      <c r="E226">
        <v>58</v>
      </c>
      <c r="F226" t="s">
        <v>2</v>
      </c>
      <c r="G226" t="s">
        <v>22</v>
      </c>
      <c r="H226" t="s">
        <v>2724</v>
      </c>
      <c r="I226" s="2">
        <v>625000</v>
      </c>
      <c r="J226" t="s">
        <v>126</v>
      </c>
      <c r="K226" t="s">
        <v>2500</v>
      </c>
    </row>
    <row r="227" spans="1:11" x14ac:dyDescent="0.25">
      <c r="A227" t="s">
        <v>922</v>
      </c>
      <c r="B227" s="3">
        <v>46272</v>
      </c>
      <c r="C227" t="s">
        <v>645</v>
      </c>
      <c r="D227" t="s">
        <v>612</v>
      </c>
      <c r="E227">
        <v>22</v>
      </c>
      <c r="F227" t="s">
        <v>2</v>
      </c>
      <c r="G227" t="s">
        <v>55</v>
      </c>
      <c r="H227" t="s">
        <v>2725</v>
      </c>
      <c r="I227" s="2">
        <v>14000</v>
      </c>
      <c r="J227" t="s">
        <v>297</v>
      </c>
      <c r="K227" t="s">
        <v>2509</v>
      </c>
    </row>
    <row r="228" spans="1:11" x14ac:dyDescent="0.25">
      <c r="A228" t="s">
        <v>923</v>
      </c>
      <c r="B228" s="3">
        <v>46272</v>
      </c>
      <c r="C228" t="s">
        <v>138</v>
      </c>
      <c r="D228" t="s">
        <v>44</v>
      </c>
      <c r="E228">
        <v>10</v>
      </c>
      <c r="F228" t="s">
        <v>2</v>
      </c>
      <c r="G228" t="s">
        <v>17</v>
      </c>
      <c r="H228" t="s">
        <v>2726</v>
      </c>
      <c r="I228" s="2">
        <v>20000</v>
      </c>
      <c r="J228" t="s">
        <v>98</v>
      </c>
      <c r="K228" t="s">
        <v>2503</v>
      </c>
    </row>
    <row r="229" spans="1:11" x14ac:dyDescent="0.25">
      <c r="A229" t="s">
        <v>924</v>
      </c>
      <c r="B229" s="3">
        <v>46272</v>
      </c>
      <c r="C229" t="s">
        <v>123</v>
      </c>
      <c r="D229" t="s">
        <v>26</v>
      </c>
      <c r="E229">
        <v>12</v>
      </c>
      <c r="F229" t="s">
        <v>2</v>
      </c>
      <c r="G229" t="s">
        <v>36</v>
      </c>
      <c r="H229" t="s">
        <v>2727</v>
      </c>
      <c r="I229" s="2">
        <v>315000</v>
      </c>
      <c r="J229" t="s">
        <v>124</v>
      </c>
      <c r="K229" t="s">
        <v>2509</v>
      </c>
    </row>
    <row r="230" spans="1:11" x14ac:dyDescent="0.25">
      <c r="A230" t="s">
        <v>925</v>
      </c>
      <c r="B230" s="3">
        <v>46272</v>
      </c>
      <c r="C230" t="s">
        <v>417</v>
      </c>
      <c r="D230" t="s">
        <v>349</v>
      </c>
      <c r="E230">
        <v>59</v>
      </c>
      <c r="F230" t="s">
        <v>2</v>
      </c>
      <c r="G230" t="s">
        <v>85</v>
      </c>
      <c r="H230" t="s">
        <v>2728</v>
      </c>
      <c r="I230" s="2">
        <v>5000</v>
      </c>
      <c r="J230" t="s">
        <v>75</v>
      </c>
      <c r="K230" t="s">
        <v>2513</v>
      </c>
    </row>
    <row r="231" spans="1:11" x14ac:dyDescent="0.25">
      <c r="A231" t="s">
        <v>926</v>
      </c>
      <c r="B231" s="3">
        <v>46272</v>
      </c>
      <c r="C231" t="s">
        <v>666</v>
      </c>
      <c r="D231" t="s">
        <v>599</v>
      </c>
      <c r="E231">
        <v>13</v>
      </c>
      <c r="F231" t="s">
        <v>2</v>
      </c>
      <c r="G231" t="s">
        <v>40</v>
      </c>
      <c r="H231" t="s">
        <v>2729</v>
      </c>
      <c r="I231" s="2">
        <v>70000</v>
      </c>
      <c r="J231" t="s">
        <v>455</v>
      </c>
      <c r="K231" t="s">
        <v>2503</v>
      </c>
    </row>
    <row r="232" spans="1:11" x14ac:dyDescent="0.25">
      <c r="A232" t="s">
        <v>927</v>
      </c>
      <c r="B232" s="3">
        <v>46272</v>
      </c>
      <c r="C232" t="s">
        <v>205</v>
      </c>
      <c r="D232" t="s">
        <v>54</v>
      </c>
      <c r="E232">
        <v>5</v>
      </c>
      <c r="F232" t="s">
        <v>2</v>
      </c>
      <c r="G232" t="s">
        <v>22</v>
      </c>
      <c r="H232" t="s">
        <v>2730</v>
      </c>
      <c r="I232" s="2">
        <v>55000</v>
      </c>
      <c r="J232" t="s">
        <v>206</v>
      </c>
      <c r="K232" t="s">
        <v>2509</v>
      </c>
    </row>
    <row r="233" spans="1:11" x14ac:dyDescent="0.25">
      <c r="A233" t="s">
        <v>928</v>
      </c>
      <c r="B233" s="3">
        <v>46272</v>
      </c>
      <c r="C233" t="s">
        <v>253</v>
      </c>
      <c r="D233" t="s">
        <v>216</v>
      </c>
      <c r="E233">
        <v>26</v>
      </c>
      <c r="F233" t="s">
        <v>2</v>
      </c>
      <c r="G233" t="s">
        <v>85</v>
      </c>
      <c r="H233" t="s">
        <v>2731</v>
      </c>
      <c r="I233" s="2">
        <v>812000</v>
      </c>
      <c r="J233" t="s">
        <v>71</v>
      </c>
      <c r="K233" t="s">
        <v>2503</v>
      </c>
    </row>
    <row r="234" spans="1:11" x14ac:dyDescent="0.25">
      <c r="A234" t="s">
        <v>929</v>
      </c>
      <c r="B234" s="3">
        <v>46272</v>
      </c>
      <c r="C234" t="s">
        <v>392</v>
      </c>
      <c r="D234" t="s">
        <v>349</v>
      </c>
      <c r="E234">
        <v>19</v>
      </c>
      <c r="F234" t="s">
        <v>2</v>
      </c>
      <c r="G234" t="s">
        <v>40</v>
      </c>
      <c r="H234" t="s">
        <v>2732</v>
      </c>
      <c r="I234" s="2">
        <v>15000</v>
      </c>
      <c r="J234" t="s">
        <v>24</v>
      </c>
      <c r="K234" t="s">
        <v>2509</v>
      </c>
    </row>
    <row r="235" spans="1:11" x14ac:dyDescent="0.25">
      <c r="A235" t="s">
        <v>930</v>
      </c>
      <c r="B235" s="3">
        <v>46272</v>
      </c>
      <c r="C235" t="s">
        <v>641</v>
      </c>
      <c r="D235" t="s">
        <v>589</v>
      </c>
      <c r="E235">
        <v>35</v>
      </c>
      <c r="F235" t="s">
        <v>469</v>
      </c>
      <c r="G235" t="s">
        <v>32</v>
      </c>
      <c r="H235" t="s">
        <v>2733</v>
      </c>
      <c r="I235" s="2">
        <v>21000</v>
      </c>
      <c r="J235" t="s">
        <v>124</v>
      </c>
      <c r="K235" t="s">
        <v>2503</v>
      </c>
    </row>
    <row r="236" spans="1:11" x14ac:dyDescent="0.25">
      <c r="A236" t="s">
        <v>931</v>
      </c>
      <c r="B236" s="3">
        <v>46272</v>
      </c>
      <c r="C236" t="s">
        <v>251</v>
      </c>
      <c r="D236" t="s">
        <v>216</v>
      </c>
      <c r="E236">
        <v>61</v>
      </c>
      <c r="F236" t="s">
        <v>2</v>
      </c>
      <c r="G236" t="s">
        <v>36</v>
      </c>
      <c r="H236" t="s">
        <v>2734</v>
      </c>
      <c r="I236" s="2">
        <v>445000</v>
      </c>
      <c r="J236" t="s">
        <v>71</v>
      </c>
      <c r="K236" t="s">
        <v>2503</v>
      </c>
    </row>
    <row r="237" spans="1:11" x14ac:dyDescent="0.25">
      <c r="A237" t="s">
        <v>932</v>
      </c>
      <c r="B237" s="3">
        <v>46272</v>
      </c>
      <c r="C237" t="s">
        <v>537</v>
      </c>
      <c r="D237" t="s">
        <v>479</v>
      </c>
      <c r="E237">
        <v>60</v>
      </c>
      <c r="F237" t="s">
        <v>469</v>
      </c>
      <c r="G237" t="s">
        <v>55</v>
      </c>
      <c r="H237" t="s">
        <v>2735</v>
      </c>
      <c r="I237" s="2">
        <v>28000</v>
      </c>
      <c r="J237" t="s">
        <v>173</v>
      </c>
      <c r="K237" t="s">
        <v>2509</v>
      </c>
    </row>
    <row r="238" spans="1:11" x14ac:dyDescent="0.25">
      <c r="A238" t="s">
        <v>933</v>
      </c>
      <c r="B238" s="3">
        <v>46272</v>
      </c>
      <c r="C238" t="s">
        <v>239</v>
      </c>
      <c r="D238" t="s">
        <v>240</v>
      </c>
      <c r="E238">
        <v>17</v>
      </c>
      <c r="F238" t="s">
        <v>2</v>
      </c>
      <c r="G238" t="s">
        <v>85</v>
      </c>
      <c r="H238" t="s">
        <v>2615</v>
      </c>
      <c r="I238" s="2">
        <v>427000</v>
      </c>
      <c r="J238" t="s">
        <v>100</v>
      </c>
      <c r="K238" t="s">
        <v>2500</v>
      </c>
    </row>
    <row r="239" spans="1:11" x14ac:dyDescent="0.25">
      <c r="A239" t="s">
        <v>934</v>
      </c>
      <c r="B239" s="3">
        <v>46272</v>
      </c>
      <c r="C239" t="s">
        <v>396</v>
      </c>
      <c r="D239" t="s">
        <v>357</v>
      </c>
      <c r="E239">
        <v>18</v>
      </c>
      <c r="F239" t="s">
        <v>358</v>
      </c>
      <c r="G239" t="s">
        <v>61</v>
      </c>
      <c r="H239" t="s">
        <v>2736</v>
      </c>
      <c r="I239" s="2">
        <v>29000</v>
      </c>
      <c r="J239" t="s">
        <v>397</v>
      </c>
      <c r="K239" t="s">
        <v>2500</v>
      </c>
    </row>
    <row r="240" spans="1:11" x14ac:dyDescent="0.25">
      <c r="A240" t="s">
        <v>935</v>
      </c>
      <c r="B240" s="3">
        <v>46272</v>
      </c>
      <c r="C240" t="s">
        <v>446</v>
      </c>
      <c r="D240" t="s">
        <v>382</v>
      </c>
      <c r="E240">
        <v>23</v>
      </c>
      <c r="F240" t="s">
        <v>383</v>
      </c>
      <c r="G240" t="s">
        <v>32</v>
      </c>
      <c r="H240" t="s">
        <v>2737</v>
      </c>
      <c r="I240" s="2">
        <v>89000</v>
      </c>
      <c r="J240" t="s">
        <v>183</v>
      </c>
      <c r="K240" t="s">
        <v>2503</v>
      </c>
    </row>
    <row r="241" spans="1:11" x14ac:dyDescent="0.25">
      <c r="A241" t="s">
        <v>936</v>
      </c>
      <c r="B241" s="3">
        <v>46272</v>
      </c>
      <c r="C241" t="s">
        <v>105</v>
      </c>
      <c r="D241" t="s">
        <v>44</v>
      </c>
      <c r="E241">
        <v>8</v>
      </c>
      <c r="F241" t="s">
        <v>2</v>
      </c>
      <c r="G241" t="s">
        <v>40</v>
      </c>
      <c r="H241" t="s">
        <v>2738</v>
      </c>
      <c r="I241" s="2">
        <v>28000</v>
      </c>
      <c r="J241" t="s">
        <v>106</v>
      </c>
      <c r="K241" t="s">
        <v>2503</v>
      </c>
    </row>
    <row r="242" spans="1:11" x14ac:dyDescent="0.25">
      <c r="A242" t="s">
        <v>937</v>
      </c>
      <c r="B242" s="3">
        <v>46272</v>
      </c>
      <c r="C242" t="s">
        <v>465</v>
      </c>
      <c r="D242" t="s">
        <v>357</v>
      </c>
      <c r="E242">
        <v>1</v>
      </c>
      <c r="F242" t="s">
        <v>358</v>
      </c>
      <c r="G242" t="s">
        <v>61</v>
      </c>
      <c r="H242" t="s">
        <v>2739</v>
      </c>
      <c r="I242" s="2">
        <v>43000</v>
      </c>
      <c r="J242" t="s">
        <v>221</v>
      </c>
      <c r="K242" t="s">
        <v>2503</v>
      </c>
    </row>
    <row r="243" spans="1:11" x14ac:dyDescent="0.25">
      <c r="A243" t="s">
        <v>938</v>
      </c>
      <c r="B243" s="3">
        <v>46272</v>
      </c>
      <c r="C243" t="s">
        <v>91</v>
      </c>
      <c r="D243" t="s">
        <v>47</v>
      </c>
      <c r="E243">
        <v>54</v>
      </c>
      <c r="F243" t="s">
        <v>2</v>
      </c>
      <c r="G243" t="s">
        <v>17</v>
      </c>
      <c r="H243" t="s">
        <v>2740</v>
      </c>
      <c r="I243" s="2">
        <v>360000</v>
      </c>
      <c r="J243" t="s">
        <v>83</v>
      </c>
      <c r="K243" t="s">
        <v>2513</v>
      </c>
    </row>
    <row r="244" spans="1:11" x14ac:dyDescent="0.25">
      <c r="A244" t="s">
        <v>939</v>
      </c>
      <c r="B244" s="3">
        <v>46272</v>
      </c>
      <c r="C244" t="s">
        <v>35</v>
      </c>
      <c r="D244" t="s">
        <v>29</v>
      </c>
      <c r="E244">
        <v>49</v>
      </c>
      <c r="F244" t="s">
        <v>2</v>
      </c>
      <c r="G244" t="s">
        <v>36</v>
      </c>
      <c r="H244" t="s">
        <v>2741</v>
      </c>
      <c r="I244" s="2">
        <v>129000</v>
      </c>
      <c r="J244" t="s">
        <v>38</v>
      </c>
      <c r="K244" t="s">
        <v>2509</v>
      </c>
    </row>
    <row r="245" spans="1:11" x14ac:dyDescent="0.25">
      <c r="A245" t="s">
        <v>940</v>
      </c>
      <c r="B245" s="3">
        <v>46272</v>
      </c>
      <c r="C245" t="s">
        <v>689</v>
      </c>
      <c r="D245" t="s">
        <v>589</v>
      </c>
      <c r="E245">
        <v>34</v>
      </c>
      <c r="F245" t="s">
        <v>469</v>
      </c>
      <c r="G245" t="s">
        <v>48</v>
      </c>
      <c r="H245" t="s">
        <v>2742</v>
      </c>
      <c r="I245" s="2">
        <v>7000</v>
      </c>
      <c r="J245" t="s">
        <v>45</v>
      </c>
      <c r="K245" t="s">
        <v>2503</v>
      </c>
    </row>
    <row r="246" spans="1:11" x14ac:dyDescent="0.25">
      <c r="A246" t="s">
        <v>941</v>
      </c>
      <c r="B246" s="3">
        <v>46272</v>
      </c>
      <c r="C246" t="s">
        <v>68</v>
      </c>
      <c r="D246" t="s">
        <v>29</v>
      </c>
      <c r="E246">
        <v>7</v>
      </c>
      <c r="F246" t="s">
        <v>2</v>
      </c>
      <c r="G246" t="s">
        <v>40</v>
      </c>
      <c r="H246" t="s">
        <v>2743</v>
      </c>
      <c r="I246" s="2">
        <v>284000</v>
      </c>
      <c r="J246" t="s">
        <v>69</v>
      </c>
      <c r="K246" t="s">
        <v>2509</v>
      </c>
    </row>
    <row r="247" spans="1:11" x14ac:dyDescent="0.25">
      <c r="A247" t="s">
        <v>942</v>
      </c>
      <c r="B247" s="3">
        <v>46272</v>
      </c>
      <c r="C247" t="s">
        <v>607</v>
      </c>
      <c r="D247" t="s">
        <v>587</v>
      </c>
      <c r="E247">
        <v>35</v>
      </c>
      <c r="F247" t="s">
        <v>2</v>
      </c>
      <c r="G247" t="s">
        <v>32</v>
      </c>
      <c r="H247" t="s">
        <v>2744</v>
      </c>
      <c r="I247" s="2">
        <v>47000</v>
      </c>
      <c r="J247" t="s">
        <v>149</v>
      </c>
      <c r="K247" t="s">
        <v>2509</v>
      </c>
    </row>
    <row r="248" spans="1:11" x14ac:dyDescent="0.25">
      <c r="A248" t="s">
        <v>943</v>
      </c>
      <c r="B248" s="3">
        <v>46272</v>
      </c>
      <c r="C248" t="s">
        <v>141</v>
      </c>
      <c r="D248" t="s">
        <v>66</v>
      </c>
      <c r="E248">
        <v>2</v>
      </c>
      <c r="F248" t="s">
        <v>2</v>
      </c>
      <c r="G248" t="s">
        <v>32</v>
      </c>
      <c r="H248" t="s">
        <v>2745</v>
      </c>
      <c r="I248" s="2">
        <v>175000</v>
      </c>
      <c r="J248" t="s">
        <v>142</v>
      </c>
      <c r="K248" t="s">
        <v>2503</v>
      </c>
    </row>
    <row r="249" spans="1:11" x14ac:dyDescent="0.25">
      <c r="A249" t="s">
        <v>944</v>
      </c>
      <c r="B249" s="3">
        <v>46272</v>
      </c>
      <c r="C249" t="s">
        <v>260</v>
      </c>
      <c r="D249" t="s">
        <v>261</v>
      </c>
      <c r="E249">
        <v>10</v>
      </c>
      <c r="F249" t="s">
        <v>2</v>
      </c>
      <c r="G249" t="s">
        <v>36</v>
      </c>
      <c r="H249" t="s">
        <v>2746</v>
      </c>
      <c r="I249" s="2">
        <v>418000</v>
      </c>
      <c r="J249" t="s">
        <v>45</v>
      </c>
      <c r="K249" t="s">
        <v>2513</v>
      </c>
    </row>
    <row r="250" spans="1:11" x14ac:dyDescent="0.25">
      <c r="A250" t="s">
        <v>945</v>
      </c>
      <c r="B250" s="3">
        <v>46272</v>
      </c>
      <c r="C250" t="s">
        <v>367</v>
      </c>
      <c r="D250" t="s">
        <v>344</v>
      </c>
      <c r="E250">
        <v>60</v>
      </c>
      <c r="F250" t="s">
        <v>346</v>
      </c>
      <c r="G250" t="s">
        <v>32</v>
      </c>
      <c r="H250" t="s">
        <v>2747</v>
      </c>
      <c r="I250" s="2">
        <v>67000</v>
      </c>
      <c r="J250" t="s">
        <v>368</v>
      </c>
      <c r="K250" t="s">
        <v>2503</v>
      </c>
    </row>
    <row r="251" spans="1:11" x14ac:dyDescent="0.25">
      <c r="A251" t="s">
        <v>946</v>
      </c>
      <c r="B251" s="3">
        <v>46272</v>
      </c>
      <c r="C251" t="s">
        <v>200</v>
      </c>
      <c r="D251" t="s">
        <v>66</v>
      </c>
      <c r="E251">
        <v>37</v>
      </c>
      <c r="F251" t="s">
        <v>2</v>
      </c>
      <c r="G251" t="s">
        <v>81</v>
      </c>
      <c r="H251" t="s">
        <v>2748</v>
      </c>
      <c r="I251" s="2">
        <v>225000</v>
      </c>
      <c r="J251" t="s">
        <v>201</v>
      </c>
      <c r="K251" t="s">
        <v>2513</v>
      </c>
    </row>
    <row r="252" spans="1:11" x14ac:dyDescent="0.25">
      <c r="A252" t="s">
        <v>947</v>
      </c>
      <c r="B252" s="3">
        <v>46272</v>
      </c>
      <c r="C252" t="s">
        <v>123</v>
      </c>
      <c r="D252" t="s">
        <v>26</v>
      </c>
      <c r="E252">
        <v>17</v>
      </c>
      <c r="F252" t="s">
        <v>2</v>
      </c>
      <c r="G252" t="s">
        <v>36</v>
      </c>
      <c r="H252" t="s">
        <v>2749</v>
      </c>
      <c r="I252" s="2">
        <v>315000</v>
      </c>
      <c r="J252" t="s">
        <v>124</v>
      </c>
      <c r="K252" t="s">
        <v>2500</v>
      </c>
    </row>
    <row r="253" spans="1:11" x14ac:dyDescent="0.25">
      <c r="A253" t="s">
        <v>948</v>
      </c>
      <c r="B253" s="3">
        <v>46272</v>
      </c>
      <c r="C253" t="s">
        <v>350</v>
      </c>
      <c r="D253" t="s">
        <v>351</v>
      </c>
      <c r="E253">
        <v>21</v>
      </c>
      <c r="F253" t="s">
        <v>2</v>
      </c>
      <c r="G253" t="s">
        <v>81</v>
      </c>
      <c r="H253" t="s">
        <v>2750</v>
      </c>
      <c r="I253" s="2">
        <v>266000</v>
      </c>
      <c r="J253" t="s">
        <v>110</v>
      </c>
      <c r="K253" t="s">
        <v>2513</v>
      </c>
    </row>
    <row r="254" spans="1:11" x14ac:dyDescent="0.25">
      <c r="A254" t="s">
        <v>949</v>
      </c>
      <c r="B254" s="3">
        <v>46272</v>
      </c>
      <c r="C254" t="s">
        <v>94</v>
      </c>
      <c r="D254" t="s">
        <v>15</v>
      </c>
      <c r="E254">
        <v>43</v>
      </c>
      <c r="F254" t="s">
        <v>2</v>
      </c>
      <c r="G254" t="s">
        <v>22</v>
      </c>
      <c r="H254" t="s">
        <v>2751</v>
      </c>
      <c r="I254" s="2">
        <v>148000</v>
      </c>
      <c r="J254" t="s">
        <v>95</v>
      </c>
      <c r="K254" t="s">
        <v>2513</v>
      </c>
    </row>
    <row r="255" spans="1:11" x14ac:dyDescent="0.25">
      <c r="A255" t="s">
        <v>950</v>
      </c>
      <c r="B255" s="3">
        <v>46272</v>
      </c>
      <c r="C255" t="s">
        <v>520</v>
      </c>
      <c r="D255" t="s">
        <v>502</v>
      </c>
      <c r="E255">
        <v>48</v>
      </c>
      <c r="F255" t="s">
        <v>469</v>
      </c>
      <c r="G255" t="s">
        <v>17</v>
      </c>
      <c r="H255" t="s">
        <v>2752</v>
      </c>
      <c r="I255" s="2">
        <v>32000</v>
      </c>
      <c r="J255" t="s">
        <v>368</v>
      </c>
      <c r="K255" t="s">
        <v>2513</v>
      </c>
    </row>
    <row r="256" spans="1:11" x14ac:dyDescent="0.25">
      <c r="A256" t="s">
        <v>951</v>
      </c>
      <c r="B256" s="3">
        <v>46272</v>
      </c>
      <c r="C256" t="s">
        <v>321</v>
      </c>
      <c r="D256" t="s">
        <v>234</v>
      </c>
      <c r="E256">
        <v>1</v>
      </c>
      <c r="F256" t="s">
        <v>2</v>
      </c>
      <c r="G256" t="s">
        <v>40</v>
      </c>
      <c r="H256" t="s">
        <v>2753</v>
      </c>
      <c r="I256" s="2">
        <v>355000</v>
      </c>
      <c r="J256" t="s">
        <v>230</v>
      </c>
      <c r="K256" t="s">
        <v>2513</v>
      </c>
    </row>
    <row r="257" spans="1:11" x14ac:dyDescent="0.25">
      <c r="A257" t="s">
        <v>952</v>
      </c>
      <c r="B257" s="3">
        <v>46272</v>
      </c>
      <c r="C257" t="s">
        <v>539</v>
      </c>
      <c r="D257" t="s">
        <v>479</v>
      </c>
      <c r="E257">
        <v>6</v>
      </c>
      <c r="F257" t="s">
        <v>469</v>
      </c>
      <c r="G257" t="s">
        <v>17</v>
      </c>
      <c r="H257" t="s">
        <v>2754</v>
      </c>
      <c r="I257" s="2">
        <v>32000</v>
      </c>
      <c r="J257" t="s">
        <v>327</v>
      </c>
      <c r="K257" t="s">
        <v>2509</v>
      </c>
    </row>
    <row r="258" spans="1:11" x14ac:dyDescent="0.25">
      <c r="A258" t="s">
        <v>953</v>
      </c>
      <c r="B258" s="3">
        <v>46272</v>
      </c>
      <c r="C258" t="s">
        <v>143</v>
      </c>
      <c r="D258" t="s">
        <v>47</v>
      </c>
      <c r="E258">
        <v>29</v>
      </c>
      <c r="F258" t="s">
        <v>2</v>
      </c>
      <c r="G258" t="s">
        <v>48</v>
      </c>
      <c r="H258" t="s">
        <v>2755</v>
      </c>
      <c r="I258" s="2">
        <v>171000</v>
      </c>
      <c r="J258" t="s">
        <v>144</v>
      </c>
      <c r="K258" t="s">
        <v>2503</v>
      </c>
    </row>
    <row r="259" spans="1:11" x14ac:dyDescent="0.25">
      <c r="A259" t="s">
        <v>954</v>
      </c>
      <c r="B259" s="3">
        <v>46272</v>
      </c>
      <c r="C259" t="s">
        <v>411</v>
      </c>
      <c r="D259" t="s">
        <v>366</v>
      </c>
      <c r="E259">
        <v>44</v>
      </c>
      <c r="F259" t="s">
        <v>2</v>
      </c>
      <c r="G259" t="s">
        <v>85</v>
      </c>
      <c r="H259" t="s">
        <v>2756</v>
      </c>
      <c r="I259" s="2">
        <v>68000</v>
      </c>
      <c r="J259" t="s">
        <v>312</v>
      </c>
      <c r="K259" t="s">
        <v>2503</v>
      </c>
    </row>
    <row r="260" spans="1:11" x14ac:dyDescent="0.25">
      <c r="A260" t="s">
        <v>955</v>
      </c>
      <c r="B260" s="3">
        <v>46272</v>
      </c>
      <c r="C260" t="s">
        <v>641</v>
      </c>
      <c r="D260" t="s">
        <v>589</v>
      </c>
      <c r="E260">
        <v>15</v>
      </c>
      <c r="F260" t="s">
        <v>469</v>
      </c>
      <c r="G260" t="s">
        <v>32</v>
      </c>
      <c r="H260" t="s">
        <v>2757</v>
      </c>
      <c r="I260" s="2">
        <v>21000</v>
      </c>
      <c r="J260" t="s">
        <v>124</v>
      </c>
      <c r="K260" t="s">
        <v>2500</v>
      </c>
    </row>
    <row r="261" spans="1:11" x14ac:dyDescent="0.25">
      <c r="A261" t="s">
        <v>956</v>
      </c>
      <c r="B261" s="3">
        <v>46272</v>
      </c>
      <c r="C261" t="s">
        <v>666</v>
      </c>
      <c r="D261" t="s">
        <v>599</v>
      </c>
      <c r="E261">
        <v>10</v>
      </c>
      <c r="F261" t="s">
        <v>2</v>
      </c>
      <c r="G261" t="s">
        <v>40</v>
      </c>
      <c r="H261" t="s">
        <v>2758</v>
      </c>
      <c r="I261" s="2">
        <v>70000</v>
      </c>
      <c r="J261" t="s">
        <v>455</v>
      </c>
      <c r="K261" t="s">
        <v>2503</v>
      </c>
    </row>
    <row r="262" spans="1:11" x14ac:dyDescent="0.25">
      <c r="A262" t="s">
        <v>957</v>
      </c>
      <c r="B262" s="3">
        <v>46272</v>
      </c>
      <c r="C262" t="s">
        <v>332</v>
      </c>
      <c r="D262" t="s">
        <v>223</v>
      </c>
      <c r="E262">
        <v>7</v>
      </c>
      <c r="F262" t="s">
        <v>2</v>
      </c>
      <c r="G262" t="s">
        <v>48</v>
      </c>
      <c r="H262" t="s">
        <v>2759</v>
      </c>
      <c r="I262" s="2">
        <v>481000</v>
      </c>
      <c r="J262" t="s">
        <v>279</v>
      </c>
      <c r="K262" t="s">
        <v>2509</v>
      </c>
    </row>
    <row r="263" spans="1:11" x14ac:dyDescent="0.25">
      <c r="A263" t="s">
        <v>958</v>
      </c>
      <c r="B263" s="3">
        <v>46272</v>
      </c>
      <c r="C263" t="s">
        <v>472</v>
      </c>
      <c r="D263" t="s">
        <v>467</v>
      </c>
      <c r="E263">
        <v>42</v>
      </c>
      <c r="F263" t="s">
        <v>469</v>
      </c>
      <c r="G263" t="s">
        <v>40</v>
      </c>
      <c r="H263" t="s">
        <v>2760</v>
      </c>
      <c r="I263" s="2">
        <v>58000</v>
      </c>
      <c r="J263" t="s">
        <v>119</v>
      </c>
      <c r="K263" t="s">
        <v>2500</v>
      </c>
    </row>
    <row r="264" spans="1:11" x14ac:dyDescent="0.25">
      <c r="A264" t="s">
        <v>959</v>
      </c>
      <c r="B264" s="3">
        <v>46272</v>
      </c>
      <c r="C264" t="s">
        <v>619</v>
      </c>
      <c r="D264" t="s">
        <v>594</v>
      </c>
      <c r="E264">
        <v>27</v>
      </c>
      <c r="F264" t="s">
        <v>595</v>
      </c>
      <c r="G264" t="s">
        <v>85</v>
      </c>
      <c r="H264" t="s">
        <v>2761</v>
      </c>
      <c r="I264" s="2">
        <v>10000</v>
      </c>
      <c r="J264" t="s">
        <v>206</v>
      </c>
      <c r="K264" t="s">
        <v>2509</v>
      </c>
    </row>
    <row r="265" spans="1:11" x14ac:dyDescent="0.25">
      <c r="A265" t="s">
        <v>960</v>
      </c>
      <c r="B265" s="3">
        <v>46272</v>
      </c>
      <c r="C265" t="s">
        <v>681</v>
      </c>
      <c r="D265" t="s">
        <v>589</v>
      </c>
      <c r="E265">
        <v>16</v>
      </c>
      <c r="F265" t="s">
        <v>469</v>
      </c>
      <c r="G265" t="s">
        <v>36</v>
      </c>
      <c r="H265" t="s">
        <v>2762</v>
      </c>
      <c r="I265" s="2">
        <v>7000</v>
      </c>
      <c r="J265" t="s">
        <v>259</v>
      </c>
      <c r="K265" t="s">
        <v>2503</v>
      </c>
    </row>
    <row r="266" spans="1:11" x14ac:dyDescent="0.25">
      <c r="A266" t="s">
        <v>961</v>
      </c>
      <c r="B266" s="3">
        <v>46272</v>
      </c>
      <c r="C266" t="s">
        <v>486</v>
      </c>
      <c r="D266" t="s">
        <v>479</v>
      </c>
      <c r="E266">
        <v>23</v>
      </c>
      <c r="F266" t="s">
        <v>469</v>
      </c>
      <c r="G266" t="s">
        <v>61</v>
      </c>
      <c r="H266" t="s">
        <v>2763</v>
      </c>
      <c r="I266" s="2">
        <v>34000</v>
      </c>
      <c r="J266" t="s">
        <v>52</v>
      </c>
      <c r="K266" t="s">
        <v>2500</v>
      </c>
    </row>
    <row r="267" spans="1:11" x14ac:dyDescent="0.25">
      <c r="A267" t="s">
        <v>962</v>
      </c>
      <c r="B267" s="3">
        <v>46272</v>
      </c>
      <c r="C267" t="s">
        <v>693</v>
      </c>
      <c r="D267" t="s">
        <v>582</v>
      </c>
      <c r="E267">
        <v>14</v>
      </c>
      <c r="F267" t="s">
        <v>2</v>
      </c>
      <c r="G267" t="s">
        <v>36</v>
      </c>
      <c r="H267" t="s">
        <v>2764</v>
      </c>
      <c r="I267" s="2">
        <v>136000</v>
      </c>
      <c r="J267" t="s">
        <v>175</v>
      </c>
      <c r="K267" t="s">
        <v>2500</v>
      </c>
    </row>
    <row r="268" spans="1:11" x14ac:dyDescent="0.25">
      <c r="A268" t="s">
        <v>963</v>
      </c>
      <c r="B268" s="3">
        <v>46272</v>
      </c>
      <c r="C268" t="s">
        <v>434</v>
      </c>
      <c r="D268" t="s">
        <v>360</v>
      </c>
      <c r="E268">
        <v>47</v>
      </c>
      <c r="F268" t="s">
        <v>358</v>
      </c>
      <c r="G268" t="s">
        <v>81</v>
      </c>
      <c r="H268" t="s">
        <v>2765</v>
      </c>
      <c r="I268" s="2">
        <v>12000</v>
      </c>
      <c r="J268" t="s">
        <v>69</v>
      </c>
      <c r="K268" t="s">
        <v>2513</v>
      </c>
    </row>
    <row r="269" spans="1:11" x14ac:dyDescent="0.25">
      <c r="A269" t="s">
        <v>964</v>
      </c>
      <c r="B269" s="3">
        <v>46272</v>
      </c>
      <c r="C269" t="s">
        <v>685</v>
      </c>
      <c r="D269" t="s">
        <v>597</v>
      </c>
      <c r="E269">
        <v>42</v>
      </c>
      <c r="F269" t="s">
        <v>355</v>
      </c>
      <c r="G269" t="s">
        <v>22</v>
      </c>
      <c r="H269" t="s">
        <v>2730</v>
      </c>
      <c r="I269" s="2">
        <v>49000</v>
      </c>
      <c r="J269" t="s">
        <v>166</v>
      </c>
      <c r="K269" t="s">
        <v>2513</v>
      </c>
    </row>
    <row r="270" spans="1:11" x14ac:dyDescent="0.25">
      <c r="A270" t="s">
        <v>965</v>
      </c>
      <c r="B270" s="3">
        <v>46272</v>
      </c>
      <c r="C270" t="s">
        <v>566</v>
      </c>
      <c r="D270" t="s">
        <v>479</v>
      </c>
      <c r="E270">
        <v>65</v>
      </c>
      <c r="F270" t="s">
        <v>469</v>
      </c>
      <c r="G270" t="s">
        <v>61</v>
      </c>
      <c r="H270" t="s">
        <v>2766</v>
      </c>
      <c r="I270" s="2">
        <v>35000</v>
      </c>
      <c r="J270" t="s">
        <v>64</v>
      </c>
      <c r="K270" t="s">
        <v>2509</v>
      </c>
    </row>
    <row r="271" spans="1:11" x14ac:dyDescent="0.25">
      <c r="A271" t="s">
        <v>966</v>
      </c>
      <c r="B271" s="3">
        <v>46272</v>
      </c>
      <c r="C271" t="s">
        <v>584</v>
      </c>
      <c r="D271" t="s">
        <v>585</v>
      </c>
      <c r="E271">
        <v>64</v>
      </c>
      <c r="F271" t="s">
        <v>355</v>
      </c>
      <c r="G271" t="s">
        <v>61</v>
      </c>
      <c r="H271" t="s">
        <v>2767</v>
      </c>
      <c r="I271" s="2">
        <v>16000</v>
      </c>
      <c r="J271" t="s">
        <v>129</v>
      </c>
      <c r="K271" t="s">
        <v>2513</v>
      </c>
    </row>
    <row r="272" spans="1:11" x14ac:dyDescent="0.25">
      <c r="A272" t="s">
        <v>967</v>
      </c>
      <c r="B272" s="3">
        <v>46272</v>
      </c>
      <c r="C272" t="s">
        <v>555</v>
      </c>
      <c r="D272" t="s">
        <v>502</v>
      </c>
      <c r="E272">
        <v>20</v>
      </c>
      <c r="F272" t="s">
        <v>469</v>
      </c>
      <c r="G272" t="s">
        <v>40</v>
      </c>
      <c r="H272" t="s">
        <v>2768</v>
      </c>
      <c r="I272" s="2">
        <v>115000</v>
      </c>
      <c r="J272" t="s">
        <v>124</v>
      </c>
      <c r="K272" t="s">
        <v>2503</v>
      </c>
    </row>
    <row r="273" spans="1:11" x14ac:dyDescent="0.25">
      <c r="A273" t="s">
        <v>968</v>
      </c>
      <c r="B273" s="3">
        <v>46272</v>
      </c>
      <c r="C273" t="s">
        <v>579</v>
      </c>
      <c r="D273" t="s">
        <v>490</v>
      </c>
      <c r="E273">
        <v>16</v>
      </c>
      <c r="F273" t="s">
        <v>355</v>
      </c>
      <c r="G273" t="s">
        <v>61</v>
      </c>
      <c r="H273" t="s">
        <v>2769</v>
      </c>
      <c r="I273" s="2">
        <v>13000</v>
      </c>
      <c r="J273" t="s">
        <v>93</v>
      </c>
      <c r="K273" t="s">
        <v>2509</v>
      </c>
    </row>
    <row r="274" spans="1:11" x14ac:dyDescent="0.25">
      <c r="A274" t="s">
        <v>969</v>
      </c>
      <c r="B274" s="3">
        <v>46273</v>
      </c>
      <c r="C274" t="s">
        <v>243</v>
      </c>
      <c r="D274" t="s">
        <v>213</v>
      </c>
      <c r="E274">
        <v>65</v>
      </c>
      <c r="F274" t="s">
        <v>2</v>
      </c>
      <c r="G274" t="s">
        <v>61</v>
      </c>
      <c r="H274" t="s">
        <v>2770</v>
      </c>
      <c r="I274" s="2">
        <v>4890000</v>
      </c>
      <c r="J274" t="s">
        <v>177</v>
      </c>
      <c r="K274" t="s">
        <v>2503</v>
      </c>
    </row>
    <row r="275" spans="1:11" x14ac:dyDescent="0.25">
      <c r="A275" t="s">
        <v>970</v>
      </c>
      <c r="B275" s="3">
        <v>46273</v>
      </c>
      <c r="C275" t="s">
        <v>207</v>
      </c>
      <c r="D275" t="s">
        <v>29</v>
      </c>
      <c r="E275">
        <v>20</v>
      </c>
      <c r="F275" t="s">
        <v>2</v>
      </c>
      <c r="G275" t="s">
        <v>32</v>
      </c>
      <c r="H275" t="s">
        <v>2771</v>
      </c>
      <c r="I275" s="2">
        <v>269000</v>
      </c>
      <c r="J275" t="s">
        <v>208</v>
      </c>
      <c r="K275" t="s">
        <v>2509</v>
      </c>
    </row>
    <row r="276" spans="1:11" x14ac:dyDescent="0.25">
      <c r="A276" t="s">
        <v>971</v>
      </c>
      <c r="B276" s="3">
        <v>46273</v>
      </c>
      <c r="C276" t="s">
        <v>538</v>
      </c>
      <c r="D276" t="s">
        <v>490</v>
      </c>
      <c r="E276">
        <v>41</v>
      </c>
      <c r="F276" t="s">
        <v>355</v>
      </c>
      <c r="G276" t="s">
        <v>81</v>
      </c>
      <c r="H276" t="s">
        <v>2772</v>
      </c>
      <c r="I276" s="2">
        <v>28000</v>
      </c>
      <c r="J276" t="s">
        <v>327</v>
      </c>
      <c r="K276" t="s">
        <v>2509</v>
      </c>
    </row>
    <row r="277" spans="1:11" x14ac:dyDescent="0.25">
      <c r="A277" t="s">
        <v>972</v>
      </c>
      <c r="B277" s="3">
        <v>46273</v>
      </c>
      <c r="C277" t="s">
        <v>260</v>
      </c>
      <c r="D277" t="s">
        <v>261</v>
      </c>
      <c r="E277">
        <v>41</v>
      </c>
      <c r="F277" t="s">
        <v>2</v>
      </c>
      <c r="G277" t="s">
        <v>36</v>
      </c>
      <c r="H277" t="s">
        <v>2773</v>
      </c>
      <c r="I277" s="2">
        <v>418000</v>
      </c>
      <c r="J277" t="s">
        <v>45</v>
      </c>
      <c r="K277" t="s">
        <v>2513</v>
      </c>
    </row>
    <row r="278" spans="1:11" x14ac:dyDescent="0.25">
      <c r="A278" t="s">
        <v>973</v>
      </c>
      <c r="B278" s="3">
        <v>46273</v>
      </c>
      <c r="C278" t="s">
        <v>103</v>
      </c>
      <c r="D278" t="s">
        <v>29</v>
      </c>
      <c r="E278">
        <v>36</v>
      </c>
      <c r="F278" t="s">
        <v>2</v>
      </c>
      <c r="G278" t="s">
        <v>85</v>
      </c>
      <c r="H278" t="s">
        <v>2774</v>
      </c>
      <c r="I278" s="2">
        <v>319000</v>
      </c>
      <c r="J278" t="s">
        <v>104</v>
      </c>
      <c r="K278" t="s">
        <v>2509</v>
      </c>
    </row>
    <row r="279" spans="1:11" x14ac:dyDescent="0.25">
      <c r="A279" t="s">
        <v>974</v>
      </c>
      <c r="B279" s="3">
        <v>46273</v>
      </c>
      <c r="C279" t="s">
        <v>365</v>
      </c>
      <c r="D279" t="s">
        <v>366</v>
      </c>
      <c r="E279">
        <v>45</v>
      </c>
      <c r="F279" t="s">
        <v>2</v>
      </c>
      <c r="G279" t="s">
        <v>32</v>
      </c>
      <c r="H279" t="s">
        <v>2775</v>
      </c>
      <c r="I279" s="2">
        <v>79000</v>
      </c>
      <c r="J279" t="s">
        <v>126</v>
      </c>
      <c r="K279" t="s">
        <v>2513</v>
      </c>
    </row>
    <row r="280" spans="1:11" x14ac:dyDescent="0.25">
      <c r="A280" t="s">
        <v>975</v>
      </c>
      <c r="B280" s="3">
        <v>46273</v>
      </c>
      <c r="C280" t="s">
        <v>377</v>
      </c>
      <c r="D280" t="s">
        <v>378</v>
      </c>
      <c r="E280">
        <v>30</v>
      </c>
      <c r="F280" t="s">
        <v>2</v>
      </c>
      <c r="G280" t="s">
        <v>36</v>
      </c>
      <c r="H280" t="s">
        <v>2776</v>
      </c>
      <c r="I280" s="2">
        <v>22000</v>
      </c>
      <c r="J280" t="s">
        <v>50</v>
      </c>
      <c r="K280" t="s">
        <v>2513</v>
      </c>
    </row>
    <row r="281" spans="1:11" x14ac:dyDescent="0.25">
      <c r="A281" t="s">
        <v>976</v>
      </c>
      <c r="B281" s="3">
        <v>46273</v>
      </c>
      <c r="C281" t="s">
        <v>370</v>
      </c>
      <c r="D281" t="s">
        <v>344</v>
      </c>
      <c r="E281">
        <v>30</v>
      </c>
      <c r="F281" t="s">
        <v>346</v>
      </c>
      <c r="G281" t="s">
        <v>32</v>
      </c>
      <c r="H281" t="s">
        <v>2777</v>
      </c>
      <c r="I281" s="2">
        <v>60000</v>
      </c>
      <c r="J281" t="s">
        <v>24</v>
      </c>
      <c r="K281" t="s">
        <v>2509</v>
      </c>
    </row>
    <row r="282" spans="1:11" x14ac:dyDescent="0.25">
      <c r="A282" t="s">
        <v>977</v>
      </c>
      <c r="B282" s="3">
        <v>46273</v>
      </c>
      <c r="C282" t="s">
        <v>651</v>
      </c>
      <c r="D282" t="s">
        <v>612</v>
      </c>
      <c r="E282">
        <v>24</v>
      </c>
      <c r="F282" t="s">
        <v>2</v>
      </c>
      <c r="G282" t="s">
        <v>48</v>
      </c>
      <c r="H282" t="s">
        <v>2778</v>
      </c>
      <c r="I282" s="2">
        <v>12000</v>
      </c>
      <c r="J282" t="s">
        <v>294</v>
      </c>
      <c r="K282" t="s">
        <v>2503</v>
      </c>
    </row>
    <row r="283" spans="1:11" x14ac:dyDescent="0.25">
      <c r="A283" t="s">
        <v>978</v>
      </c>
      <c r="B283" s="3">
        <v>46273</v>
      </c>
      <c r="C283" t="s">
        <v>313</v>
      </c>
      <c r="D283" t="s">
        <v>225</v>
      </c>
      <c r="E283">
        <v>66</v>
      </c>
      <c r="F283" t="s">
        <v>2</v>
      </c>
      <c r="G283" t="s">
        <v>55</v>
      </c>
      <c r="H283" t="s">
        <v>2779</v>
      </c>
      <c r="I283" s="2">
        <v>904000</v>
      </c>
      <c r="J283" t="s">
        <v>314</v>
      </c>
      <c r="K283" t="s">
        <v>2503</v>
      </c>
    </row>
    <row r="284" spans="1:11" x14ac:dyDescent="0.25">
      <c r="A284" t="s">
        <v>979</v>
      </c>
      <c r="B284" s="3">
        <v>46273</v>
      </c>
      <c r="C284" t="s">
        <v>571</v>
      </c>
      <c r="D284" t="s">
        <v>488</v>
      </c>
      <c r="E284">
        <v>63</v>
      </c>
      <c r="F284" t="s">
        <v>469</v>
      </c>
      <c r="G284" t="s">
        <v>81</v>
      </c>
      <c r="H284" t="s">
        <v>2780</v>
      </c>
      <c r="I284" s="2">
        <v>121000</v>
      </c>
      <c r="J284" t="s">
        <v>289</v>
      </c>
      <c r="K284" t="s">
        <v>2509</v>
      </c>
    </row>
    <row r="285" spans="1:11" x14ac:dyDescent="0.25">
      <c r="A285" t="s">
        <v>980</v>
      </c>
      <c r="B285" s="3">
        <v>46273</v>
      </c>
      <c r="C285" t="s">
        <v>532</v>
      </c>
      <c r="D285" t="s">
        <v>488</v>
      </c>
      <c r="E285">
        <v>62</v>
      </c>
      <c r="F285" t="s">
        <v>469</v>
      </c>
      <c r="G285" t="s">
        <v>22</v>
      </c>
      <c r="H285" t="s">
        <v>2781</v>
      </c>
      <c r="I285" s="2">
        <v>82000</v>
      </c>
      <c r="J285" t="s">
        <v>106</v>
      </c>
      <c r="K285" t="s">
        <v>2513</v>
      </c>
    </row>
    <row r="286" spans="1:11" x14ac:dyDescent="0.25">
      <c r="A286" t="s">
        <v>981</v>
      </c>
      <c r="B286" s="3">
        <v>46273</v>
      </c>
      <c r="C286" t="s">
        <v>127</v>
      </c>
      <c r="D286" t="s">
        <v>26</v>
      </c>
      <c r="E286">
        <v>13</v>
      </c>
      <c r="F286" t="s">
        <v>2</v>
      </c>
      <c r="G286" t="s">
        <v>85</v>
      </c>
      <c r="H286" t="s">
        <v>2782</v>
      </c>
      <c r="I286" s="2">
        <v>439000</v>
      </c>
      <c r="J286" t="s">
        <v>100</v>
      </c>
      <c r="K286" t="s">
        <v>2513</v>
      </c>
    </row>
    <row r="287" spans="1:11" x14ac:dyDescent="0.25">
      <c r="A287" t="s">
        <v>982</v>
      </c>
      <c r="B287" s="3">
        <v>46273</v>
      </c>
      <c r="C287" t="s">
        <v>139</v>
      </c>
      <c r="D287" t="s">
        <v>44</v>
      </c>
      <c r="E287">
        <v>48</v>
      </c>
      <c r="F287" t="s">
        <v>2</v>
      </c>
      <c r="G287" t="s">
        <v>81</v>
      </c>
      <c r="H287" t="s">
        <v>2783</v>
      </c>
      <c r="I287" s="2">
        <v>86000</v>
      </c>
      <c r="J287" t="s">
        <v>140</v>
      </c>
      <c r="K287" t="s">
        <v>2500</v>
      </c>
    </row>
    <row r="288" spans="1:11" x14ac:dyDescent="0.25">
      <c r="A288" t="s">
        <v>983</v>
      </c>
      <c r="B288" s="3">
        <v>46273</v>
      </c>
      <c r="C288" t="s">
        <v>14</v>
      </c>
      <c r="D288" t="s">
        <v>15</v>
      </c>
      <c r="E288">
        <v>4</v>
      </c>
      <c r="F288" t="s">
        <v>2</v>
      </c>
      <c r="G288" t="s">
        <v>17</v>
      </c>
      <c r="H288" t="s">
        <v>2784</v>
      </c>
      <c r="I288" s="2">
        <v>91000</v>
      </c>
      <c r="J288" t="s">
        <v>19</v>
      </c>
      <c r="K288" t="s">
        <v>2500</v>
      </c>
    </row>
    <row r="289" spans="1:11" x14ac:dyDescent="0.25">
      <c r="A289" t="s">
        <v>984</v>
      </c>
      <c r="B289" s="3">
        <v>46273</v>
      </c>
      <c r="C289" t="s">
        <v>566</v>
      </c>
      <c r="D289" t="s">
        <v>479</v>
      </c>
      <c r="E289">
        <v>7</v>
      </c>
      <c r="F289" t="s">
        <v>469</v>
      </c>
      <c r="G289" t="s">
        <v>61</v>
      </c>
      <c r="H289" t="s">
        <v>2785</v>
      </c>
      <c r="I289" s="2">
        <v>35000</v>
      </c>
      <c r="J289" t="s">
        <v>64</v>
      </c>
      <c r="K289" t="s">
        <v>2509</v>
      </c>
    </row>
    <row r="290" spans="1:11" x14ac:dyDescent="0.25">
      <c r="A290" t="s">
        <v>985</v>
      </c>
      <c r="B290" s="3">
        <v>46273</v>
      </c>
      <c r="C290" t="s">
        <v>407</v>
      </c>
      <c r="D290" t="s">
        <v>344</v>
      </c>
      <c r="E290">
        <v>34</v>
      </c>
      <c r="F290" t="s">
        <v>346</v>
      </c>
      <c r="G290" t="s">
        <v>81</v>
      </c>
      <c r="H290" t="s">
        <v>2786</v>
      </c>
      <c r="I290" s="2">
        <v>58000</v>
      </c>
      <c r="J290" t="s">
        <v>30</v>
      </c>
      <c r="K290" t="s">
        <v>2509</v>
      </c>
    </row>
    <row r="291" spans="1:11" x14ac:dyDescent="0.25">
      <c r="A291" t="s">
        <v>986</v>
      </c>
      <c r="B291" s="3">
        <v>46273</v>
      </c>
      <c r="C291" t="s">
        <v>377</v>
      </c>
      <c r="D291" t="s">
        <v>378</v>
      </c>
      <c r="E291">
        <v>50</v>
      </c>
      <c r="F291" t="s">
        <v>2</v>
      </c>
      <c r="G291" t="s">
        <v>36</v>
      </c>
      <c r="H291" t="s">
        <v>2787</v>
      </c>
      <c r="I291" s="2">
        <v>22000</v>
      </c>
      <c r="J291" t="s">
        <v>50</v>
      </c>
      <c r="K291" t="s">
        <v>2503</v>
      </c>
    </row>
    <row r="292" spans="1:11" x14ac:dyDescent="0.25">
      <c r="A292" t="s">
        <v>987</v>
      </c>
      <c r="B292" s="3">
        <v>46273</v>
      </c>
      <c r="C292" t="s">
        <v>628</v>
      </c>
      <c r="D292" t="s">
        <v>629</v>
      </c>
      <c r="E292">
        <v>12</v>
      </c>
      <c r="F292" t="s">
        <v>355</v>
      </c>
      <c r="G292" t="s">
        <v>36</v>
      </c>
      <c r="H292" t="s">
        <v>2788</v>
      </c>
      <c r="I292" s="2">
        <v>17000</v>
      </c>
      <c r="J292" t="s">
        <v>397</v>
      </c>
      <c r="K292" t="s">
        <v>2503</v>
      </c>
    </row>
    <row r="293" spans="1:11" x14ac:dyDescent="0.25">
      <c r="A293" t="s">
        <v>988</v>
      </c>
      <c r="B293" s="3">
        <v>46273</v>
      </c>
      <c r="C293" t="s">
        <v>68</v>
      </c>
      <c r="D293" t="s">
        <v>29</v>
      </c>
      <c r="E293">
        <v>24</v>
      </c>
      <c r="F293" t="s">
        <v>2</v>
      </c>
      <c r="G293" t="s">
        <v>40</v>
      </c>
      <c r="H293" t="s">
        <v>2789</v>
      </c>
      <c r="I293" s="2">
        <v>284000</v>
      </c>
      <c r="J293" t="s">
        <v>69</v>
      </c>
      <c r="K293" t="s">
        <v>2509</v>
      </c>
    </row>
    <row r="294" spans="1:11" x14ac:dyDescent="0.25">
      <c r="A294" t="s">
        <v>989</v>
      </c>
      <c r="B294" s="3">
        <v>46273</v>
      </c>
      <c r="C294" t="s">
        <v>403</v>
      </c>
      <c r="D294" t="s">
        <v>364</v>
      </c>
      <c r="E294">
        <v>40</v>
      </c>
      <c r="F294" t="s">
        <v>358</v>
      </c>
      <c r="G294" t="s">
        <v>55</v>
      </c>
      <c r="H294" t="s">
        <v>2790</v>
      </c>
      <c r="I294" s="2">
        <v>27000</v>
      </c>
      <c r="J294" t="s">
        <v>117</v>
      </c>
      <c r="K294" t="s">
        <v>2509</v>
      </c>
    </row>
    <row r="295" spans="1:11" x14ac:dyDescent="0.25">
      <c r="A295" t="s">
        <v>990</v>
      </c>
      <c r="B295" s="3">
        <v>46273</v>
      </c>
      <c r="C295" t="s">
        <v>338</v>
      </c>
      <c r="D295" t="s">
        <v>213</v>
      </c>
      <c r="E295">
        <v>50</v>
      </c>
      <c r="F295" t="s">
        <v>2</v>
      </c>
      <c r="G295" t="s">
        <v>32</v>
      </c>
      <c r="H295" t="s">
        <v>2791</v>
      </c>
      <c r="I295" s="2">
        <v>1621000</v>
      </c>
      <c r="J295" t="s">
        <v>34</v>
      </c>
      <c r="K295" t="s">
        <v>2503</v>
      </c>
    </row>
    <row r="296" spans="1:11" x14ac:dyDescent="0.25">
      <c r="A296" t="s">
        <v>991</v>
      </c>
      <c r="B296" s="3">
        <v>46273</v>
      </c>
      <c r="C296" t="s">
        <v>263</v>
      </c>
      <c r="D296" t="s">
        <v>213</v>
      </c>
      <c r="E296">
        <v>11</v>
      </c>
      <c r="F296" t="s">
        <v>2</v>
      </c>
      <c r="G296" t="s">
        <v>40</v>
      </c>
      <c r="H296" t="s">
        <v>2792</v>
      </c>
      <c r="I296" s="2">
        <v>5415000</v>
      </c>
      <c r="J296" t="s">
        <v>175</v>
      </c>
      <c r="K296" t="s">
        <v>2509</v>
      </c>
    </row>
    <row r="297" spans="1:11" x14ac:dyDescent="0.25">
      <c r="A297" t="s">
        <v>992</v>
      </c>
      <c r="B297" s="3">
        <v>46273</v>
      </c>
      <c r="C297" t="s">
        <v>276</v>
      </c>
      <c r="D297" t="s">
        <v>225</v>
      </c>
      <c r="E297">
        <v>20</v>
      </c>
      <c r="F297" t="s">
        <v>2</v>
      </c>
      <c r="G297" t="s">
        <v>48</v>
      </c>
      <c r="H297" t="s">
        <v>2750</v>
      </c>
      <c r="I297" s="2">
        <v>742000</v>
      </c>
      <c r="J297" t="s">
        <v>38</v>
      </c>
      <c r="K297" t="s">
        <v>2500</v>
      </c>
    </row>
    <row r="298" spans="1:11" x14ac:dyDescent="0.25">
      <c r="A298" t="s">
        <v>993</v>
      </c>
      <c r="B298" s="3">
        <v>46273</v>
      </c>
      <c r="C298" t="s">
        <v>232</v>
      </c>
      <c r="D298" t="s">
        <v>225</v>
      </c>
      <c r="E298">
        <v>7</v>
      </c>
      <c r="F298" t="s">
        <v>2</v>
      </c>
      <c r="G298" t="s">
        <v>61</v>
      </c>
      <c r="H298" t="s">
        <v>2793</v>
      </c>
      <c r="I298" s="2">
        <v>560000</v>
      </c>
      <c r="J298" t="s">
        <v>30</v>
      </c>
      <c r="K298" t="s">
        <v>2503</v>
      </c>
    </row>
    <row r="299" spans="1:11" x14ac:dyDescent="0.25">
      <c r="A299" t="s">
        <v>994</v>
      </c>
      <c r="B299" s="3">
        <v>46273</v>
      </c>
      <c r="C299" t="s">
        <v>418</v>
      </c>
      <c r="D299" t="s">
        <v>349</v>
      </c>
      <c r="E299">
        <v>49</v>
      </c>
      <c r="F299" t="s">
        <v>2</v>
      </c>
      <c r="G299" t="s">
        <v>32</v>
      </c>
      <c r="H299" t="s">
        <v>2794</v>
      </c>
      <c r="I299" s="2">
        <v>4000</v>
      </c>
      <c r="J299" t="s">
        <v>250</v>
      </c>
      <c r="K299" t="s">
        <v>2503</v>
      </c>
    </row>
    <row r="300" spans="1:11" x14ac:dyDescent="0.25">
      <c r="A300" t="s">
        <v>995</v>
      </c>
      <c r="B300" s="3">
        <v>46273</v>
      </c>
      <c r="C300" t="s">
        <v>402</v>
      </c>
      <c r="D300" t="s">
        <v>344</v>
      </c>
      <c r="E300">
        <v>6</v>
      </c>
      <c r="F300" t="s">
        <v>346</v>
      </c>
      <c r="G300" t="s">
        <v>85</v>
      </c>
      <c r="H300" t="s">
        <v>2795</v>
      </c>
      <c r="I300" s="2">
        <v>70000</v>
      </c>
      <c r="J300" t="s">
        <v>27</v>
      </c>
      <c r="K300" t="s">
        <v>2503</v>
      </c>
    </row>
    <row r="301" spans="1:11" x14ac:dyDescent="0.25">
      <c r="A301" t="s">
        <v>996</v>
      </c>
      <c r="B301" s="3">
        <v>46273</v>
      </c>
      <c r="C301" t="s">
        <v>72</v>
      </c>
      <c r="D301" t="s">
        <v>29</v>
      </c>
      <c r="E301">
        <v>31</v>
      </c>
      <c r="F301" t="s">
        <v>2</v>
      </c>
      <c r="G301" t="s">
        <v>36</v>
      </c>
      <c r="H301" t="s">
        <v>2796</v>
      </c>
      <c r="I301" s="2">
        <v>275000</v>
      </c>
      <c r="J301" t="s">
        <v>73</v>
      </c>
      <c r="K301" t="s">
        <v>2509</v>
      </c>
    </row>
    <row r="302" spans="1:11" x14ac:dyDescent="0.25">
      <c r="A302" t="s">
        <v>997</v>
      </c>
      <c r="B302" s="3">
        <v>46273</v>
      </c>
      <c r="C302" t="s">
        <v>188</v>
      </c>
      <c r="D302" t="s">
        <v>29</v>
      </c>
      <c r="E302">
        <v>29</v>
      </c>
      <c r="F302" t="s">
        <v>2</v>
      </c>
      <c r="G302" t="s">
        <v>48</v>
      </c>
      <c r="H302" t="s">
        <v>2797</v>
      </c>
      <c r="I302" s="2">
        <v>192000</v>
      </c>
      <c r="J302" t="s">
        <v>189</v>
      </c>
      <c r="K302" t="s">
        <v>2503</v>
      </c>
    </row>
    <row r="303" spans="1:11" x14ac:dyDescent="0.25">
      <c r="A303" t="s">
        <v>998</v>
      </c>
      <c r="B303" s="3">
        <v>46273</v>
      </c>
      <c r="C303" t="s">
        <v>483</v>
      </c>
      <c r="D303" t="s">
        <v>484</v>
      </c>
      <c r="E303">
        <v>68</v>
      </c>
      <c r="F303" t="s">
        <v>469</v>
      </c>
      <c r="G303" t="s">
        <v>61</v>
      </c>
      <c r="H303" t="s">
        <v>2798</v>
      </c>
      <c r="I303" s="2">
        <v>80000</v>
      </c>
      <c r="J303" t="s">
        <v>368</v>
      </c>
      <c r="K303" t="s">
        <v>2513</v>
      </c>
    </row>
    <row r="304" spans="1:11" x14ac:dyDescent="0.25">
      <c r="A304" t="s">
        <v>999</v>
      </c>
      <c r="B304" s="3">
        <v>46273</v>
      </c>
      <c r="C304" t="s">
        <v>543</v>
      </c>
      <c r="D304" t="s">
        <v>484</v>
      </c>
      <c r="E304">
        <v>46</v>
      </c>
      <c r="F304" t="s">
        <v>469</v>
      </c>
      <c r="G304" t="s">
        <v>61</v>
      </c>
      <c r="H304" t="s">
        <v>2799</v>
      </c>
      <c r="I304" s="2">
        <v>25000</v>
      </c>
      <c r="J304" t="s">
        <v>77</v>
      </c>
      <c r="K304" t="s">
        <v>2509</v>
      </c>
    </row>
    <row r="305" spans="1:11" x14ac:dyDescent="0.25">
      <c r="A305" t="s">
        <v>1000</v>
      </c>
      <c r="B305" s="3">
        <v>46273</v>
      </c>
      <c r="C305" t="s">
        <v>664</v>
      </c>
      <c r="D305" t="s">
        <v>612</v>
      </c>
      <c r="E305">
        <v>8</v>
      </c>
      <c r="F305" t="s">
        <v>2</v>
      </c>
      <c r="G305" t="s">
        <v>36</v>
      </c>
      <c r="H305" t="s">
        <v>2800</v>
      </c>
      <c r="I305" s="2">
        <v>15000</v>
      </c>
      <c r="J305" t="s">
        <v>265</v>
      </c>
      <c r="K305" t="s">
        <v>2503</v>
      </c>
    </row>
    <row r="306" spans="1:11" x14ac:dyDescent="0.25">
      <c r="A306" t="s">
        <v>1001</v>
      </c>
      <c r="B306" s="3">
        <v>46273</v>
      </c>
      <c r="C306" t="s">
        <v>461</v>
      </c>
      <c r="D306" t="s">
        <v>344</v>
      </c>
      <c r="E306">
        <v>11</v>
      </c>
      <c r="F306" t="s">
        <v>346</v>
      </c>
      <c r="G306" t="s">
        <v>17</v>
      </c>
      <c r="H306" t="s">
        <v>2801</v>
      </c>
      <c r="I306" s="2">
        <v>45000</v>
      </c>
      <c r="J306" t="s">
        <v>219</v>
      </c>
      <c r="K306" t="s">
        <v>2500</v>
      </c>
    </row>
    <row r="307" spans="1:11" x14ac:dyDescent="0.25">
      <c r="A307" t="s">
        <v>1002</v>
      </c>
      <c r="B307" s="3">
        <v>46273</v>
      </c>
      <c r="C307" t="s">
        <v>558</v>
      </c>
      <c r="D307" t="s">
        <v>471</v>
      </c>
      <c r="E307">
        <v>13</v>
      </c>
      <c r="F307" t="s">
        <v>355</v>
      </c>
      <c r="G307" t="s">
        <v>48</v>
      </c>
      <c r="H307" t="s">
        <v>2802</v>
      </c>
      <c r="I307" s="2">
        <v>51000</v>
      </c>
      <c r="J307" t="s">
        <v>246</v>
      </c>
      <c r="K307" t="s">
        <v>2500</v>
      </c>
    </row>
    <row r="308" spans="1:11" x14ac:dyDescent="0.25">
      <c r="A308" t="s">
        <v>1003</v>
      </c>
      <c r="B308" s="3">
        <v>46273</v>
      </c>
      <c r="C308" t="s">
        <v>572</v>
      </c>
      <c r="D308" t="s">
        <v>490</v>
      </c>
      <c r="E308">
        <v>34</v>
      </c>
      <c r="F308" t="s">
        <v>355</v>
      </c>
      <c r="G308" t="s">
        <v>17</v>
      </c>
      <c r="H308" t="s">
        <v>2803</v>
      </c>
      <c r="I308" s="2">
        <v>13000</v>
      </c>
      <c r="J308" t="s">
        <v>27</v>
      </c>
      <c r="K308" t="s">
        <v>2509</v>
      </c>
    </row>
    <row r="309" spans="1:11" x14ac:dyDescent="0.25">
      <c r="A309" t="s">
        <v>1004</v>
      </c>
      <c r="B309" s="3">
        <v>46273</v>
      </c>
      <c r="C309" t="s">
        <v>157</v>
      </c>
      <c r="D309" t="s">
        <v>44</v>
      </c>
      <c r="E309">
        <v>14</v>
      </c>
      <c r="F309" t="s">
        <v>2</v>
      </c>
      <c r="G309" t="s">
        <v>81</v>
      </c>
      <c r="H309" t="s">
        <v>2804</v>
      </c>
      <c r="I309" s="2">
        <v>66000</v>
      </c>
      <c r="J309" t="s">
        <v>158</v>
      </c>
      <c r="K309" t="s">
        <v>2513</v>
      </c>
    </row>
    <row r="310" spans="1:11" x14ac:dyDescent="0.25">
      <c r="A310" t="s">
        <v>1005</v>
      </c>
      <c r="B310" s="3">
        <v>46273</v>
      </c>
      <c r="C310" t="s">
        <v>365</v>
      </c>
      <c r="D310" t="s">
        <v>366</v>
      </c>
      <c r="E310">
        <v>63</v>
      </c>
      <c r="F310" t="s">
        <v>2</v>
      </c>
      <c r="G310" t="s">
        <v>32</v>
      </c>
      <c r="H310" t="s">
        <v>2805</v>
      </c>
      <c r="I310" s="2">
        <v>79000</v>
      </c>
      <c r="J310" t="s">
        <v>126</v>
      </c>
      <c r="K310" t="s">
        <v>2513</v>
      </c>
    </row>
    <row r="311" spans="1:11" x14ac:dyDescent="0.25">
      <c r="A311" t="s">
        <v>1006</v>
      </c>
      <c r="B311" s="3">
        <v>46273</v>
      </c>
      <c r="C311" t="s">
        <v>667</v>
      </c>
      <c r="D311" t="s">
        <v>602</v>
      </c>
      <c r="E311">
        <v>39</v>
      </c>
      <c r="F311" t="s">
        <v>2</v>
      </c>
      <c r="G311" t="s">
        <v>85</v>
      </c>
      <c r="H311" t="s">
        <v>2806</v>
      </c>
      <c r="I311" s="2">
        <v>128000</v>
      </c>
      <c r="J311" t="s">
        <v>201</v>
      </c>
      <c r="K311" t="s">
        <v>2509</v>
      </c>
    </row>
    <row r="312" spans="1:11" x14ac:dyDescent="0.25">
      <c r="A312" t="s">
        <v>1007</v>
      </c>
      <c r="B312" s="3">
        <v>46274</v>
      </c>
      <c r="C312" t="s">
        <v>303</v>
      </c>
      <c r="D312" t="s">
        <v>261</v>
      </c>
      <c r="E312">
        <v>29</v>
      </c>
      <c r="F312" t="s">
        <v>2</v>
      </c>
      <c r="G312" t="s">
        <v>36</v>
      </c>
      <c r="H312" t="s">
        <v>2807</v>
      </c>
      <c r="I312" s="2">
        <v>381000</v>
      </c>
      <c r="J312" t="s">
        <v>67</v>
      </c>
      <c r="K312" t="s">
        <v>2513</v>
      </c>
    </row>
    <row r="313" spans="1:11" x14ac:dyDescent="0.25">
      <c r="A313" t="s">
        <v>1008</v>
      </c>
      <c r="B313" s="3">
        <v>46274</v>
      </c>
      <c r="C313" t="s">
        <v>78</v>
      </c>
      <c r="D313" t="s">
        <v>21</v>
      </c>
      <c r="E313">
        <v>27</v>
      </c>
      <c r="F313" t="s">
        <v>2</v>
      </c>
      <c r="G313" t="s">
        <v>36</v>
      </c>
      <c r="H313" t="s">
        <v>2808</v>
      </c>
      <c r="I313" s="2">
        <v>117000</v>
      </c>
      <c r="J313" t="s">
        <v>79</v>
      </c>
      <c r="K313" t="s">
        <v>2500</v>
      </c>
    </row>
    <row r="314" spans="1:11" x14ac:dyDescent="0.25">
      <c r="A314" t="s">
        <v>1009</v>
      </c>
      <c r="B314" s="3">
        <v>46274</v>
      </c>
      <c r="C314" t="s">
        <v>334</v>
      </c>
      <c r="D314" t="s">
        <v>218</v>
      </c>
      <c r="E314">
        <v>59</v>
      </c>
      <c r="F314" t="s">
        <v>2</v>
      </c>
      <c r="G314" t="s">
        <v>85</v>
      </c>
      <c r="H314" t="s">
        <v>2809</v>
      </c>
      <c r="I314" s="2">
        <v>2544000</v>
      </c>
      <c r="J314" t="s">
        <v>181</v>
      </c>
      <c r="K314" t="s">
        <v>2503</v>
      </c>
    </row>
    <row r="315" spans="1:11" x14ac:dyDescent="0.25">
      <c r="A315" t="s">
        <v>1010</v>
      </c>
      <c r="B315" s="3">
        <v>46274</v>
      </c>
      <c r="C315" t="s">
        <v>401</v>
      </c>
      <c r="D315" t="s">
        <v>382</v>
      </c>
      <c r="E315">
        <v>42</v>
      </c>
      <c r="F315" t="s">
        <v>383</v>
      </c>
      <c r="G315" t="s">
        <v>61</v>
      </c>
      <c r="H315" t="s">
        <v>2810</v>
      </c>
      <c r="I315" s="2">
        <v>157000</v>
      </c>
      <c r="J315" t="s">
        <v>19</v>
      </c>
      <c r="K315" t="s">
        <v>2513</v>
      </c>
    </row>
    <row r="316" spans="1:11" x14ac:dyDescent="0.25">
      <c r="A316" t="s">
        <v>1011</v>
      </c>
      <c r="B316" s="3">
        <v>46274</v>
      </c>
      <c r="C316" t="s">
        <v>390</v>
      </c>
      <c r="D316" t="s">
        <v>378</v>
      </c>
      <c r="E316">
        <v>58</v>
      </c>
      <c r="F316" t="s">
        <v>2</v>
      </c>
      <c r="G316" t="s">
        <v>81</v>
      </c>
      <c r="H316" t="s">
        <v>2811</v>
      </c>
      <c r="I316" s="2">
        <v>18000</v>
      </c>
      <c r="J316" t="s">
        <v>206</v>
      </c>
      <c r="K316" t="s">
        <v>2500</v>
      </c>
    </row>
    <row r="317" spans="1:11" x14ac:dyDescent="0.25">
      <c r="A317" t="s">
        <v>1012</v>
      </c>
      <c r="B317" s="3">
        <v>46274</v>
      </c>
      <c r="C317" t="s">
        <v>576</v>
      </c>
      <c r="D317" t="s">
        <v>471</v>
      </c>
      <c r="E317">
        <v>52</v>
      </c>
      <c r="F317" t="s">
        <v>355</v>
      </c>
      <c r="G317" t="s">
        <v>48</v>
      </c>
      <c r="H317" t="s">
        <v>2812</v>
      </c>
      <c r="I317" s="2">
        <v>28000</v>
      </c>
      <c r="J317" t="s">
        <v>106</v>
      </c>
      <c r="K317" t="s">
        <v>2503</v>
      </c>
    </row>
    <row r="318" spans="1:11" x14ac:dyDescent="0.25">
      <c r="A318" t="s">
        <v>1013</v>
      </c>
      <c r="B318" s="3">
        <v>46274</v>
      </c>
      <c r="C318" t="s">
        <v>403</v>
      </c>
      <c r="D318" t="s">
        <v>364</v>
      </c>
      <c r="E318">
        <v>23</v>
      </c>
      <c r="F318" t="s">
        <v>358</v>
      </c>
      <c r="G318" t="s">
        <v>55</v>
      </c>
      <c r="H318" t="s">
        <v>2813</v>
      </c>
      <c r="I318" s="2">
        <v>27000</v>
      </c>
      <c r="J318" t="s">
        <v>117</v>
      </c>
      <c r="K318" t="s">
        <v>2513</v>
      </c>
    </row>
    <row r="319" spans="1:11" x14ac:dyDescent="0.25">
      <c r="A319" t="s">
        <v>1014</v>
      </c>
      <c r="B319" s="3">
        <v>46274</v>
      </c>
      <c r="C319" t="s">
        <v>389</v>
      </c>
      <c r="D319" t="s">
        <v>364</v>
      </c>
      <c r="E319">
        <v>44</v>
      </c>
      <c r="F319" t="s">
        <v>358</v>
      </c>
      <c r="G319" t="s">
        <v>36</v>
      </c>
      <c r="H319" t="s">
        <v>2814</v>
      </c>
      <c r="I319" s="2">
        <v>35000</v>
      </c>
      <c r="J319" t="s">
        <v>77</v>
      </c>
      <c r="K319" t="s">
        <v>2503</v>
      </c>
    </row>
    <row r="320" spans="1:11" x14ac:dyDescent="0.25">
      <c r="A320" t="s">
        <v>1015</v>
      </c>
      <c r="B320" s="3">
        <v>46274</v>
      </c>
      <c r="C320" t="s">
        <v>680</v>
      </c>
      <c r="D320" t="s">
        <v>582</v>
      </c>
      <c r="E320">
        <v>28</v>
      </c>
      <c r="F320" t="s">
        <v>2</v>
      </c>
      <c r="G320" t="s">
        <v>17</v>
      </c>
      <c r="H320" t="s">
        <v>2815</v>
      </c>
      <c r="I320" s="2">
        <v>173000</v>
      </c>
      <c r="J320" t="s">
        <v>93</v>
      </c>
      <c r="K320" t="s">
        <v>2500</v>
      </c>
    </row>
    <row r="321" spans="1:11" x14ac:dyDescent="0.25">
      <c r="A321" t="s">
        <v>1016</v>
      </c>
      <c r="B321" s="3">
        <v>46274</v>
      </c>
      <c r="C321" t="s">
        <v>84</v>
      </c>
      <c r="D321" t="s">
        <v>1</v>
      </c>
      <c r="E321">
        <v>25</v>
      </c>
      <c r="F321" t="s">
        <v>2</v>
      </c>
      <c r="G321" t="s">
        <v>85</v>
      </c>
      <c r="H321" t="s">
        <v>2816</v>
      </c>
      <c r="I321" s="2">
        <v>121000</v>
      </c>
      <c r="J321" t="s">
        <v>87</v>
      </c>
      <c r="K321" t="s">
        <v>2503</v>
      </c>
    </row>
    <row r="322" spans="1:11" x14ac:dyDescent="0.25">
      <c r="A322" t="s">
        <v>1017</v>
      </c>
      <c r="B322" s="3">
        <v>46274</v>
      </c>
      <c r="C322" t="s">
        <v>402</v>
      </c>
      <c r="D322" t="s">
        <v>344</v>
      </c>
      <c r="E322">
        <v>34</v>
      </c>
      <c r="F322" t="s">
        <v>346</v>
      </c>
      <c r="G322" t="s">
        <v>85</v>
      </c>
      <c r="H322" t="s">
        <v>2817</v>
      </c>
      <c r="I322" s="2">
        <v>70000</v>
      </c>
      <c r="J322" t="s">
        <v>27</v>
      </c>
      <c r="K322" t="s">
        <v>2503</v>
      </c>
    </row>
    <row r="323" spans="1:11" x14ac:dyDescent="0.25">
      <c r="A323" t="s">
        <v>1018</v>
      </c>
      <c r="B323" s="3">
        <v>46274</v>
      </c>
      <c r="C323" t="s">
        <v>516</v>
      </c>
      <c r="D323" t="s">
        <v>481</v>
      </c>
      <c r="E323">
        <v>19</v>
      </c>
      <c r="F323" t="s">
        <v>2</v>
      </c>
      <c r="G323" t="s">
        <v>36</v>
      </c>
      <c r="H323" t="s">
        <v>2818</v>
      </c>
      <c r="I323" s="2">
        <v>239000</v>
      </c>
      <c r="J323" t="s">
        <v>314</v>
      </c>
      <c r="K323" t="s">
        <v>2503</v>
      </c>
    </row>
    <row r="324" spans="1:11" x14ac:dyDescent="0.25">
      <c r="A324" t="s">
        <v>1019</v>
      </c>
      <c r="B324" s="3">
        <v>46274</v>
      </c>
      <c r="C324" t="s">
        <v>153</v>
      </c>
      <c r="D324" t="s">
        <v>26</v>
      </c>
      <c r="E324">
        <v>2</v>
      </c>
      <c r="F324" t="s">
        <v>2</v>
      </c>
      <c r="G324" t="s">
        <v>22</v>
      </c>
      <c r="H324" t="s">
        <v>2819</v>
      </c>
      <c r="I324" s="2">
        <v>310000</v>
      </c>
      <c r="J324" t="s">
        <v>93</v>
      </c>
      <c r="K324" t="s">
        <v>2500</v>
      </c>
    </row>
    <row r="325" spans="1:11" x14ac:dyDescent="0.25">
      <c r="A325" t="s">
        <v>1020</v>
      </c>
      <c r="B325" s="3">
        <v>46274</v>
      </c>
      <c r="C325" t="s">
        <v>233</v>
      </c>
      <c r="D325" t="s">
        <v>234</v>
      </c>
      <c r="E325">
        <v>19</v>
      </c>
      <c r="F325" t="s">
        <v>2</v>
      </c>
      <c r="G325" t="s">
        <v>17</v>
      </c>
      <c r="H325" t="s">
        <v>2820</v>
      </c>
      <c r="I325" s="2">
        <v>929000</v>
      </c>
      <c r="J325" t="s">
        <v>87</v>
      </c>
      <c r="K325" t="s">
        <v>2503</v>
      </c>
    </row>
    <row r="326" spans="1:11" x14ac:dyDescent="0.25">
      <c r="A326" t="s">
        <v>1021</v>
      </c>
      <c r="B326" s="3">
        <v>46274</v>
      </c>
      <c r="C326" t="s">
        <v>301</v>
      </c>
      <c r="D326" t="s">
        <v>240</v>
      </c>
      <c r="E326">
        <v>24</v>
      </c>
      <c r="F326" t="s">
        <v>2</v>
      </c>
      <c r="G326" t="s">
        <v>36</v>
      </c>
      <c r="H326" t="s">
        <v>2821</v>
      </c>
      <c r="I326" s="2">
        <v>646000</v>
      </c>
      <c r="J326" t="s">
        <v>259</v>
      </c>
      <c r="K326" t="s">
        <v>2503</v>
      </c>
    </row>
    <row r="327" spans="1:11" x14ac:dyDescent="0.25">
      <c r="A327" t="s">
        <v>1022</v>
      </c>
      <c r="B327" s="3">
        <v>46274</v>
      </c>
      <c r="C327" t="s">
        <v>293</v>
      </c>
      <c r="D327" t="s">
        <v>210</v>
      </c>
      <c r="E327">
        <v>14</v>
      </c>
      <c r="F327" t="s">
        <v>2</v>
      </c>
      <c r="G327" t="s">
        <v>48</v>
      </c>
      <c r="H327" t="s">
        <v>2822</v>
      </c>
      <c r="I327" s="2">
        <v>8161000</v>
      </c>
      <c r="J327" t="s">
        <v>294</v>
      </c>
      <c r="K327" t="s">
        <v>2503</v>
      </c>
    </row>
    <row r="328" spans="1:11" x14ac:dyDescent="0.25">
      <c r="A328" t="s">
        <v>1023</v>
      </c>
      <c r="B328" s="3">
        <v>46274</v>
      </c>
      <c r="C328" t="s">
        <v>628</v>
      </c>
      <c r="D328" t="s">
        <v>629</v>
      </c>
      <c r="E328">
        <v>22</v>
      </c>
      <c r="F328" t="s">
        <v>355</v>
      </c>
      <c r="G328" t="s">
        <v>36</v>
      </c>
      <c r="H328" t="s">
        <v>2823</v>
      </c>
      <c r="I328" s="2">
        <v>17000</v>
      </c>
      <c r="J328" t="s">
        <v>397</v>
      </c>
      <c r="K328" t="s">
        <v>2503</v>
      </c>
    </row>
    <row r="329" spans="1:11" x14ac:dyDescent="0.25">
      <c r="A329" t="s">
        <v>1024</v>
      </c>
      <c r="B329" s="3">
        <v>46274</v>
      </c>
      <c r="C329" t="s">
        <v>377</v>
      </c>
      <c r="D329" t="s">
        <v>378</v>
      </c>
      <c r="E329">
        <v>40</v>
      </c>
      <c r="F329" t="s">
        <v>2</v>
      </c>
      <c r="G329" t="s">
        <v>36</v>
      </c>
      <c r="H329" t="s">
        <v>2824</v>
      </c>
      <c r="I329" s="2">
        <v>22000</v>
      </c>
      <c r="J329" t="s">
        <v>50</v>
      </c>
      <c r="K329" t="s">
        <v>2509</v>
      </c>
    </row>
    <row r="330" spans="1:11" x14ac:dyDescent="0.25">
      <c r="A330" t="s">
        <v>1025</v>
      </c>
      <c r="B330" s="3">
        <v>46274</v>
      </c>
      <c r="C330" t="s">
        <v>473</v>
      </c>
      <c r="D330" t="s">
        <v>474</v>
      </c>
      <c r="E330">
        <v>34</v>
      </c>
      <c r="F330" t="s">
        <v>2</v>
      </c>
      <c r="G330" t="s">
        <v>32</v>
      </c>
      <c r="H330" t="s">
        <v>2825</v>
      </c>
      <c r="I330" s="2">
        <v>2000</v>
      </c>
      <c r="J330" t="s">
        <v>164</v>
      </c>
      <c r="K330" t="s">
        <v>2513</v>
      </c>
    </row>
    <row r="331" spans="1:11" x14ac:dyDescent="0.25">
      <c r="A331" t="s">
        <v>1026</v>
      </c>
      <c r="B331" s="3">
        <v>46274</v>
      </c>
      <c r="C331" t="s">
        <v>610</v>
      </c>
      <c r="D331" t="s">
        <v>582</v>
      </c>
      <c r="E331">
        <v>16</v>
      </c>
      <c r="F331" t="s">
        <v>2</v>
      </c>
      <c r="G331" t="s">
        <v>32</v>
      </c>
      <c r="H331" t="s">
        <v>2826</v>
      </c>
      <c r="I331" s="2">
        <v>157000</v>
      </c>
      <c r="J331" t="s">
        <v>147</v>
      </c>
      <c r="K331" t="s">
        <v>2509</v>
      </c>
    </row>
    <row r="332" spans="1:11" x14ac:dyDescent="0.25">
      <c r="A332" t="s">
        <v>1027</v>
      </c>
      <c r="B332" s="3">
        <v>46274</v>
      </c>
      <c r="C332" t="s">
        <v>632</v>
      </c>
      <c r="D332" t="s">
        <v>587</v>
      </c>
      <c r="E332">
        <v>69</v>
      </c>
      <c r="F332" t="s">
        <v>2</v>
      </c>
      <c r="G332" t="s">
        <v>17</v>
      </c>
      <c r="H332" t="s">
        <v>2827</v>
      </c>
      <c r="I332" s="2">
        <v>44000</v>
      </c>
      <c r="J332" t="s">
        <v>327</v>
      </c>
      <c r="K332" t="s">
        <v>2503</v>
      </c>
    </row>
    <row r="333" spans="1:11" x14ac:dyDescent="0.25">
      <c r="A333" t="s">
        <v>1028</v>
      </c>
      <c r="B333" s="3">
        <v>46274</v>
      </c>
      <c r="C333" t="s">
        <v>666</v>
      </c>
      <c r="D333" t="s">
        <v>599</v>
      </c>
      <c r="E333">
        <v>59</v>
      </c>
      <c r="F333" t="s">
        <v>2</v>
      </c>
      <c r="G333" t="s">
        <v>40</v>
      </c>
      <c r="H333" t="s">
        <v>2828</v>
      </c>
      <c r="I333" s="2">
        <v>70000</v>
      </c>
      <c r="J333" t="s">
        <v>455</v>
      </c>
      <c r="K333" t="s">
        <v>2513</v>
      </c>
    </row>
    <row r="334" spans="1:11" x14ac:dyDescent="0.25">
      <c r="A334" t="s">
        <v>1029</v>
      </c>
      <c r="B334" s="3">
        <v>46274</v>
      </c>
      <c r="C334" t="s">
        <v>72</v>
      </c>
      <c r="D334" t="s">
        <v>29</v>
      </c>
      <c r="E334">
        <v>1</v>
      </c>
      <c r="F334" t="s">
        <v>2</v>
      </c>
      <c r="G334" t="s">
        <v>36</v>
      </c>
      <c r="H334" t="s">
        <v>2829</v>
      </c>
      <c r="I334" s="2">
        <v>275000</v>
      </c>
      <c r="J334" t="s">
        <v>73</v>
      </c>
      <c r="K334" t="s">
        <v>2509</v>
      </c>
    </row>
    <row r="335" spans="1:11" x14ac:dyDescent="0.25">
      <c r="A335" t="s">
        <v>1030</v>
      </c>
      <c r="B335" s="3">
        <v>46274</v>
      </c>
      <c r="C335" t="s">
        <v>374</v>
      </c>
      <c r="D335" t="s">
        <v>366</v>
      </c>
      <c r="E335">
        <v>33</v>
      </c>
      <c r="F335" t="s">
        <v>2</v>
      </c>
      <c r="G335" t="s">
        <v>81</v>
      </c>
      <c r="H335" t="s">
        <v>2830</v>
      </c>
      <c r="I335" s="2">
        <v>28000</v>
      </c>
      <c r="J335" t="s">
        <v>161</v>
      </c>
      <c r="K335" t="s">
        <v>2513</v>
      </c>
    </row>
    <row r="336" spans="1:11" x14ac:dyDescent="0.25">
      <c r="A336" t="s">
        <v>1031</v>
      </c>
      <c r="B336" s="3">
        <v>46274</v>
      </c>
      <c r="C336" t="s">
        <v>686</v>
      </c>
      <c r="D336" t="s">
        <v>589</v>
      </c>
      <c r="E336">
        <v>60</v>
      </c>
      <c r="F336" t="s">
        <v>469</v>
      </c>
      <c r="G336" t="s">
        <v>17</v>
      </c>
      <c r="H336" t="s">
        <v>2831</v>
      </c>
      <c r="I336" s="2">
        <v>14000</v>
      </c>
      <c r="J336" t="s">
        <v>185</v>
      </c>
      <c r="K336" t="s">
        <v>2503</v>
      </c>
    </row>
    <row r="337" spans="1:11" x14ac:dyDescent="0.25">
      <c r="A337" t="s">
        <v>1032</v>
      </c>
      <c r="B337" s="3">
        <v>46274</v>
      </c>
      <c r="C337" t="s">
        <v>418</v>
      </c>
      <c r="D337" t="s">
        <v>349</v>
      </c>
      <c r="E337">
        <v>57</v>
      </c>
      <c r="F337" t="s">
        <v>2</v>
      </c>
      <c r="G337" t="s">
        <v>32</v>
      </c>
      <c r="H337" t="s">
        <v>2832</v>
      </c>
      <c r="I337" s="2">
        <v>4000</v>
      </c>
      <c r="J337" t="s">
        <v>250</v>
      </c>
      <c r="K337" t="s">
        <v>2513</v>
      </c>
    </row>
    <row r="338" spans="1:11" x14ac:dyDescent="0.25">
      <c r="A338" t="s">
        <v>1033</v>
      </c>
      <c r="B338" s="3">
        <v>46274</v>
      </c>
      <c r="C338" t="s">
        <v>509</v>
      </c>
      <c r="D338" t="s">
        <v>471</v>
      </c>
      <c r="E338">
        <v>62</v>
      </c>
      <c r="F338" t="s">
        <v>355</v>
      </c>
      <c r="G338" t="s">
        <v>36</v>
      </c>
      <c r="H338" t="s">
        <v>2833</v>
      </c>
      <c r="I338" s="2">
        <v>38000</v>
      </c>
      <c r="J338" t="s">
        <v>287</v>
      </c>
      <c r="K338" t="s">
        <v>2509</v>
      </c>
    </row>
    <row r="339" spans="1:11" x14ac:dyDescent="0.25">
      <c r="A339" t="s">
        <v>1034</v>
      </c>
      <c r="B339" s="3">
        <v>46274</v>
      </c>
      <c r="C339" t="s">
        <v>566</v>
      </c>
      <c r="D339" t="s">
        <v>479</v>
      </c>
      <c r="E339">
        <v>39</v>
      </c>
      <c r="F339" t="s">
        <v>469</v>
      </c>
      <c r="G339" t="s">
        <v>61</v>
      </c>
      <c r="H339" t="s">
        <v>2834</v>
      </c>
      <c r="I339" s="2">
        <v>35000</v>
      </c>
      <c r="J339" t="s">
        <v>64</v>
      </c>
      <c r="K339" t="s">
        <v>2503</v>
      </c>
    </row>
    <row r="340" spans="1:11" x14ac:dyDescent="0.25">
      <c r="A340" t="s">
        <v>1035</v>
      </c>
      <c r="B340" s="3">
        <v>46274</v>
      </c>
      <c r="C340" t="s">
        <v>91</v>
      </c>
      <c r="D340" t="s">
        <v>47</v>
      </c>
      <c r="E340">
        <v>4</v>
      </c>
      <c r="F340" t="s">
        <v>2</v>
      </c>
      <c r="G340" t="s">
        <v>17</v>
      </c>
      <c r="H340" t="s">
        <v>2835</v>
      </c>
      <c r="I340" s="2">
        <v>360000</v>
      </c>
      <c r="J340" t="s">
        <v>83</v>
      </c>
      <c r="K340" t="s">
        <v>2500</v>
      </c>
    </row>
    <row r="341" spans="1:11" x14ac:dyDescent="0.25">
      <c r="A341" t="s">
        <v>1036</v>
      </c>
      <c r="B341" s="3">
        <v>46274</v>
      </c>
      <c r="C341" t="s">
        <v>454</v>
      </c>
      <c r="D341" t="s">
        <v>344</v>
      </c>
      <c r="E341">
        <v>12</v>
      </c>
      <c r="F341" t="s">
        <v>346</v>
      </c>
      <c r="G341" t="s">
        <v>55</v>
      </c>
      <c r="H341" t="s">
        <v>2836</v>
      </c>
      <c r="I341" s="2">
        <v>50000</v>
      </c>
      <c r="J341" t="s">
        <v>455</v>
      </c>
      <c r="K341" t="s">
        <v>2500</v>
      </c>
    </row>
    <row r="342" spans="1:11" x14ac:dyDescent="0.25">
      <c r="A342" t="s">
        <v>1037</v>
      </c>
      <c r="B342" s="3">
        <v>46274</v>
      </c>
      <c r="C342" t="s">
        <v>534</v>
      </c>
      <c r="D342" t="s">
        <v>488</v>
      </c>
      <c r="E342">
        <v>27</v>
      </c>
      <c r="F342" t="s">
        <v>469</v>
      </c>
      <c r="G342" t="s">
        <v>17</v>
      </c>
      <c r="H342" t="s">
        <v>2837</v>
      </c>
      <c r="I342" s="2">
        <v>44000</v>
      </c>
      <c r="J342" t="s">
        <v>89</v>
      </c>
      <c r="K342" t="s">
        <v>2503</v>
      </c>
    </row>
    <row r="343" spans="1:11" x14ac:dyDescent="0.25">
      <c r="A343" t="s">
        <v>1038</v>
      </c>
      <c r="B343" s="3">
        <v>46274</v>
      </c>
      <c r="C343" t="s">
        <v>609</v>
      </c>
      <c r="D343" t="s">
        <v>585</v>
      </c>
      <c r="E343">
        <v>1</v>
      </c>
      <c r="F343" t="s">
        <v>355</v>
      </c>
      <c r="G343" t="s">
        <v>55</v>
      </c>
      <c r="H343" t="s">
        <v>2838</v>
      </c>
      <c r="I343" s="2">
        <v>22000</v>
      </c>
      <c r="J343" t="s">
        <v>206</v>
      </c>
      <c r="K343" t="s">
        <v>2513</v>
      </c>
    </row>
    <row r="344" spans="1:11" x14ac:dyDescent="0.25">
      <c r="A344" t="s">
        <v>1039</v>
      </c>
      <c r="B344" s="3">
        <v>46274</v>
      </c>
      <c r="C344" t="s">
        <v>120</v>
      </c>
      <c r="D344" t="s">
        <v>54</v>
      </c>
      <c r="E344">
        <v>65</v>
      </c>
      <c r="F344" t="s">
        <v>2</v>
      </c>
      <c r="G344" t="s">
        <v>61</v>
      </c>
      <c r="H344" t="s">
        <v>2839</v>
      </c>
      <c r="I344" s="2">
        <v>88000</v>
      </c>
      <c r="J344" t="s">
        <v>121</v>
      </c>
      <c r="K344" t="s">
        <v>2503</v>
      </c>
    </row>
    <row r="345" spans="1:11" x14ac:dyDescent="0.25">
      <c r="A345" t="s">
        <v>1040</v>
      </c>
      <c r="B345" s="3">
        <v>46274</v>
      </c>
      <c r="C345" t="s">
        <v>254</v>
      </c>
      <c r="D345" t="s">
        <v>213</v>
      </c>
      <c r="E345">
        <v>36</v>
      </c>
      <c r="F345" t="s">
        <v>2</v>
      </c>
      <c r="G345" t="s">
        <v>85</v>
      </c>
      <c r="H345" t="s">
        <v>2840</v>
      </c>
      <c r="I345" s="2">
        <v>3840000</v>
      </c>
      <c r="J345" t="s">
        <v>59</v>
      </c>
      <c r="K345" t="s">
        <v>2503</v>
      </c>
    </row>
    <row r="346" spans="1:11" x14ac:dyDescent="0.25">
      <c r="A346" t="s">
        <v>1041</v>
      </c>
      <c r="B346" s="3">
        <v>46274</v>
      </c>
      <c r="C346" t="s">
        <v>644</v>
      </c>
      <c r="D346" t="s">
        <v>629</v>
      </c>
      <c r="E346">
        <v>25</v>
      </c>
      <c r="F346" t="s">
        <v>355</v>
      </c>
      <c r="G346" t="s">
        <v>61</v>
      </c>
      <c r="H346" t="s">
        <v>2841</v>
      </c>
      <c r="I346" s="2">
        <v>36000</v>
      </c>
      <c r="J346" t="s">
        <v>189</v>
      </c>
      <c r="K346" t="s">
        <v>2509</v>
      </c>
    </row>
    <row r="347" spans="1:11" x14ac:dyDescent="0.25">
      <c r="A347" t="s">
        <v>1042</v>
      </c>
      <c r="B347" s="3">
        <v>46274</v>
      </c>
      <c r="C347" t="s">
        <v>139</v>
      </c>
      <c r="D347" t="s">
        <v>44</v>
      </c>
      <c r="E347">
        <v>69</v>
      </c>
      <c r="F347" t="s">
        <v>2</v>
      </c>
      <c r="G347" t="s">
        <v>81</v>
      </c>
      <c r="H347" t="s">
        <v>2842</v>
      </c>
      <c r="I347" s="2">
        <v>86000</v>
      </c>
      <c r="J347" t="s">
        <v>140</v>
      </c>
      <c r="K347" t="s">
        <v>2509</v>
      </c>
    </row>
    <row r="348" spans="1:11" x14ac:dyDescent="0.25">
      <c r="A348" t="s">
        <v>1043</v>
      </c>
      <c r="B348" s="3">
        <v>46274</v>
      </c>
      <c r="C348" t="s">
        <v>322</v>
      </c>
      <c r="D348" t="s">
        <v>227</v>
      </c>
      <c r="E348">
        <v>31</v>
      </c>
      <c r="F348" t="s">
        <v>2</v>
      </c>
      <c r="G348" t="s">
        <v>17</v>
      </c>
      <c r="H348" t="s">
        <v>2843</v>
      </c>
      <c r="I348" s="2">
        <v>576000</v>
      </c>
      <c r="J348" t="s">
        <v>95</v>
      </c>
      <c r="K348" t="s">
        <v>2503</v>
      </c>
    </row>
    <row r="349" spans="1:11" x14ac:dyDescent="0.25">
      <c r="A349" t="s">
        <v>1044</v>
      </c>
      <c r="B349" s="3">
        <v>46274</v>
      </c>
      <c r="C349" t="s">
        <v>146</v>
      </c>
      <c r="D349" t="s">
        <v>1</v>
      </c>
      <c r="E349">
        <v>26</v>
      </c>
      <c r="F349" t="s">
        <v>2</v>
      </c>
      <c r="G349" t="s">
        <v>36</v>
      </c>
      <c r="H349" t="s">
        <v>2844</v>
      </c>
      <c r="I349" s="2">
        <v>129000</v>
      </c>
      <c r="J349" t="s">
        <v>147</v>
      </c>
      <c r="K349" t="s">
        <v>2503</v>
      </c>
    </row>
    <row r="350" spans="1:11" x14ac:dyDescent="0.25">
      <c r="A350" t="s">
        <v>1045</v>
      </c>
      <c r="B350" s="3">
        <v>46274</v>
      </c>
      <c r="C350" t="s">
        <v>420</v>
      </c>
      <c r="D350" t="s">
        <v>344</v>
      </c>
      <c r="E350">
        <v>63</v>
      </c>
      <c r="F350" t="s">
        <v>346</v>
      </c>
      <c r="G350" t="s">
        <v>17</v>
      </c>
      <c r="H350" t="s">
        <v>2845</v>
      </c>
      <c r="I350" s="2">
        <v>58000</v>
      </c>
      <c r="J350" t="s">
        <v>38</v>
      </c>
      <c r="K350" t="s">
        <v>2513</v>
      </c>
    </row>
    <row r="351" spans="1:11" x14ac:dyDescent="0.25">
      <c r="A351" t="s">
        <v>1046</v>
      </c>
      <c r="B351" s="3">
        <v>46274</v>
      </c>
      <c r="C351" t="s">
        <v>661</v>
      </c>
      <c r="D351" t="s">
        <v>587</v>
      </c>
      <c r="E351">
        <v>29</v>
      </c>
      <c r="F351" t="s">
        <v>2</v>
      </c>
      <c r="G351" t="s">
        <v>22</v>
      </c>
      <c r="H351" t="s">
        <v>2846</v>
      </c>
      <c r="I351" s="2">
        <v>50000</v>
      </c>
      <c r="J351" t="s">
        <v>87</v>
      </c>
      <c r="K351" t="s">
        <v>2509</v>
      </c>
    </row>
    <row r="352" spans="1:11" x14ac:dyDescent="0.25">
      <c r="A352" t="s">
        <v>1047</v>
      </c>
      <c r="B352" s="3">
        <v>46274</v>
      </c>
      <c r="C352" t="s">
        <v>460</v>
      </c>
      <c r="D352" t="s">
        <v>366</v>
      </c>
      <c r="E352">
        <v>40</v>
      </c>
      <c r="F352" t="s">
        <v>2</v>
      </c>
      <c r="G352" t="s">
        <v>55</v>
      </c>
      <c r="H352" t="s">
        <v>2847</v>
      </c>
      <c r="I352" s="2">
        <v>35000</v>
      </c>
      <c r="J352" t="s">
        <v>201</v>
      </c>
      <c r="K352" t="s">
        <v>2509</v>
      </c>
    </row>
    <row r="353" spans="1:11" x14ac:dyDescent="0.25">
      <c r="A353" t="s">
        <v>1048</v>
      </c>
      <c r="B353" s="3">
        <v>46275</v>
      </c>
      <c r="C353" t="s">
        <v>613</v>
      </c>
      <c r="D353" t="s">
        <v>597</v>
      </c>
      <c r="E353">
        <v>2</v>
      </c>
      <c r="F353" t="s">
        <v>355</v>
      </c>
      <c r="G353" t="s">
        <v>32</v>
      </c>
      <c r="H353" t="s">
        <v>2848</v>
      </c>
      <c r="I353" s="2">
        <v>48000</v>
      </c>
      <c r="J353" t="s">
        <v>221</v>
      </c>
      <c r="K353" t="s">
        <v>2503</v>
      </c>
    </row>
    <row r="354" spans="1:11" x14ac:dyDescent="0.25">
      <c r="A354" t="s">
        <v>1049</v>
      </c>
      <c r="B354" s="3">
        <v>46275</v>
      </c>
      <c r="C354" t="s">
        <v>231</v>
      </c>
      <c r="D354" t="s">
        <v>227</v>
      </c>
      <c r="E354">
        <v>14</v>
      </c>
      <c r="F354" t="s">
        <v>2</v>
      </c>
      <c r="G354" t="s">
        <v>40</v>
      </c>
      <c r="H354" t="s">
        <v>2849</v>
      </c>
      <c r="I354" s="2">
        <v>747000</v>
      </c>
      <c r="J354" t="s">
        <v>30</v>
      </c>
      <c r="K354" t="s">
        <v>2513</v>
      </c>
    </row>
    <row r="355" spans="1:11" x14ac:dyDescent="0.25">
      <c r="A355" t="s">
        <v>1050</v>
      </c>
      <c r="B355" s="3">
        <v>46275</v>
      </c>
      <c r="C355" t="s">
        <v>199</v>
      </c>
      <c r="D355" t="s">
        <v>163</v>
      </c>
      <c r="E355">
        <v>8</v>
      </c>
      <c r="F355" t="s">
        <v>2</v>
      </c>
      <c r="G355" t="s">
        <v>36</v>
      </c>
      <c r="H355" t="s">
        <v>2850</v>
      </c>
      <c r="I355" s="2">
        <v>24000</v>
      </c>
      <c r="J355" t="s">
        <v>75</v>
      </c>
      <c r="K355" t="s">
        <v>2500</v>
      </c>
    </row>
    <row r="356" spans="1:11" x14ac:dyDescent="0.25">
      <c r="A356" t="s">
        <v>1051</v>
      </c>
      <c r="B356" s="3">
        <v>46275</v>
      </c>
      <c r="C356" t="s">
        <v>611</v>
      </c>
      <c r="D356" t="s">
        <v>612</v>
      </c>
      <c r="E356">
        <v>41</v>
      </c>
      <c r="F356" t="s">
        <v>2</v>
      </c>
      <c r="G356" t="s">
        <v>85</v>
      </c>
      <c r="H356" t="s">
        <v>2851</v>
      </c>
      <c r="I356" s="2">
        <v>57000</v>
      </c>
      <c r="J356" t="s">
        <v>305</v>
      </c>
      <c r="K356" t="s">
        <v>2509</v>
      </c>
    </row>
    <row r="357" spans="1:11" x14ac:dyDescent="0.25">
      <c r="A357" t="s">
        <v>1052</v>
      </c>
      <c r="B357" s="3">
        <v>46275</v>
      </c>
      <c r="C357" t="s">
        <v>556</v>
      </c>
      <c r="D357" t="s">
        <v>474</v>
      </c>
      <c r="E357">
        <v>63</v>
      </c>
      <c r="F357" t="s">
        <v>2</v>
      </c>
      <c r="G357" t="s">
        <v>55</v>
      </c>
      <c r="H357" t="s">
        <v>2852</v>
      </c>
      <c r="I357" s="2">
        <v>11000</v>
      </c>
      <c r="J357" t="s">
        <v>45</v>
      </c>
      <c r="K357" t="s">
        <v>2509</v>
      </c>
    </row>
    <row r="358" spans="1:11" x14ac:dyDescent="0.25">
      <c r="A358" t="s">
        <v>1053</v>
      </c>
      <c r="B358" s="3">
        <v>46275</v>
      </c>
      <c r="C358" t="s">
        <v>645</v>
      </c>
      <c r="D358" t="s">
        <v>612</v>
      </c>
      <c r="E358">
        <v>5</v>
      </c>
      <c r="F358" t="s">
        <v>2</v>
      </c>
      <c r="G358" t="s">
        <v>55</v>
      </c>
      <c r="H358" t="s">
        <v>2853</v>
      </c>
      <c r="I358" s="2">
        <v>14000</v>
      </c>
      <c r="J358" t="s">
        <v>297</v>
      </c>
      <c r="K358" t="s">
        <v>2503</v>
      </c>
    </row>
    <row r="359" spans="1:11" x14ac:dyDescent="0.25">
      <c r="A359" t="s">
        <v>1054</v>
      </c>
      <c r="B359" s="3">
        <v>46275</v>
      </c>
      <c r="C359" t="s">
        <v>247</v>
      </c>
      <c r="D359" t="s">
        <v>227</v>
      </c>
      <c r="E359">
        <v>39</v>
      </c>
      <c r="F359" t="s">
        <v>2</v>
      </c>
      <c r="G359" t="s">
        <v>61</v>
      </c>
      <c r="H359" t="s">
        <v>2854</v>
      </c>
      <c r="I359" s="2">
        <v>710000</v>
      </c>
      <c r="J359" t="s">
        <v>164</v>
      </c>
      <c r="K359" t="s">
        <v>2509</v>
      </c>
    </row>
    <row r="360" spans="1:11" x14ac:dyDescent="0.25">
      <c r="A360" t="s">
        <v>1055</v>
      </c>
      <c r="B360" s="3">
        <v>46275</v>
      </c>
      <c r="C360" t="s">
        <v>299</v>
      </c>
      <c r="D360" t="s">
        <v>216</v>
      </c>
      <c r="E360">
        <v>53</v>
      </c>
      <c r="F360" t="s">
        <v>2</v>
      </c>
      <c r="G360" t="s">
        <v>17</v>
      </c>
      <c r="H360" t="s">
        <v>2855</v>
      </c>
      <c r="I360" s="2">
        <v>535000</v>
      </c>
      <c r="J360" t="s">
        <v>155</v>
      </c>
      <c r="K360" t="s">
        <v>2500</v>
      </c>
    </row>
    <row r="361" spans="1:11" x14ac:dyDescent="0.25">
      <c r="A361" t="s">
        <v>1056</v>
      </c>
      <c r="B361" s="3">
        <v>46275</v>
      </c>
      <c r="C361" t="s">
        <v>51</v>
      </c>
      <c r="D361" t="s">
        <v>44</v>
      </c>
      <c r="E361">
        <v>7</v>
      </c>
      <c r="F361" t="s">
        <v>2</v>
      </c>
      <c r="G361" t="s">
        <v>36</v>
      </c>
      <c r="H361" t="s">
        <v>2856</v>
      </c>
      <c r="I361" s="2">
        <v>35000</v>
      </c>
      <c r="J361" t="s">
        <v>52</v>
      </c>
      <c r="K361" t="s">
        <v>2500</v>
      </c>
    </row>
    <row r="362" spans="1:11" x14ac:dyDescent="0.25">
      <c r="A362" t="s">
        <v>1057</v>
      </c>
      <c r="B362" s="3">
        <v>46275</v>
      </c>
      <c r="C362" t="s">
        <v>298</v>
      </c>
      <c r="D362" t="s">
        <v>216</v>
      </c>
      <c r="E362">
        <v>4</v>
      </c>
      <c r="F362" t="s">
        <v>2</v>
      </c>
      <c r="G362" t="s">
        <v>22</v>
      </c>
      <c r="H362" t="s">
        <v>2857</v>
      </c>
      <c r="I362" s="2">
        <v>308000</v>
      </c>
      <c r="J362" t="s">
        <v>161</v>
      </c>
      <c r="K362" t="s">
        <v>2509</v>
      </c>
    </row>
    <row r="363" spans="1:11" x14ac:dyDescent="0.25">
      <c r="A363" t="s">
        <v>1058</v>
      </c>
      <c r="B363" s="3">
        <v>46275</v>
      </c>
      <c r="C363" t="s">
        <v>689</v>
      </c>
      <c r="D363" t="s">
        <v>589</v>
      </c>
      <c r="E363">
        <v>20</v>
      </c>
      <c r="F363" t="s">
        <v>469</v>
      </c>
      <c r="G363" t="s">
        <v>48</v>
      </c>
      <c r="H363" t="s">
        <v>2858</v>
      </c>
      <c r="I363" s="2">
        <v>7000</v>
      </c>
      <c r="J363" t="s">
        <v>45</v>
      </c>
      <c r="K363" t="s">
        <v>2509</v>
      </c>
    </row>
    <row r="364" spans="1:11" x14ac:dyDescent="0.25">
      <c r="A364" t="s">
        <v>1059</v>
      </c>
      <c r="B364" s="3">
        <v>46275</v>
      </c>
      <c r="C364" t="s">
        <v>690</v>
      </c>
      <c r="D364" t="s">
        <v>597</v>
      </c>
      <c r="E364">
        <v>36</v>
      </c>
      <c r="F364" t="s">
        <v>355</v>
      </c>
      <c r="G364" t="s">
        <v>48</v>
      </c>
      <c r="H364" t="s">
        <v>2859</v>
      </c>
      <c r="I364" s="2">
        <v>33000</v>
      </c>
      <c r="J364" t="s">
        <v>52</v>
      </c>
      <c r="K364" t="s">
        <v>2503</v>
      </c>
    </row>
    <row r="365" spans="1:11" x14ac:dyDescent="0.25">
      <c r="A365" t="s">
        <v>1060</v>
      </c>
      <c r="B365" s="3">
        <v>46275</v>
      </c>
      <c r="C365" t="s">
        <v>458</v>
      </c>
      <c r="D365" t="s">
        <v>360</v>
      </c>
      <c r="E365">
        <v>55</v>
      </c>
      <c r="F365" t="s">
        <v>358</v>
      </c>
      <c r="G365" t="s">
        <v>22</v>
      </c>
      <c r="H365" t="s">
        <v>2860</v>
      </c>
      <c r="I365" s="2">
        <v>19000</v>
      </c>
      <c r="J365" t="s">
        <v>42</v>
      </c>
      <c r="K365" t="s">
        <v>2503</v>
      </c>
    </row>
    <row r="366" spans="1:11" x14ac:dyDescent="0.25">
      <c r="A366" t="s">
        <v>1061</v>
      </c>
      <c r="B366" s="3">
        <v>46275</v>
      </c>
      <c r="C366" t="s">
        <v>497</v>
      </c>
      <c r="D366" t="s">
        <v>471</v>
      </c>
      <c r="E366">
        <v>57</v>
      </c>
      <c r="F366" t="s">
        <v>355</v>
      </c>
      <c r="G366" t="s">
        <v>36</v>
      </c>
      <c r="H366" t="s">
        <v>2861</v>
      </c>
      <c r="I366" s="2">
        <v>25000</v>
      </c>
      <c r="J366" t="s">
        <v>67</v>
      </c>
      <c r="K366" t="s">
        <v>2513</v>
      </c>
    </row>
    <row r="367" spans="1:11" x14ac:dyDescent="0.25">
      <c r="A367" t="s">
        <v>1062</v>
      </c>
      <c r="B367" s="3">
        <v>46275</v>
      </c>
      <c r="C367" t="s">
        <v>340</v>
      </c>
      <c r="D367" t="s">
        <v>223</v>
      </c>
      <c r="E367">
        <v>46</v>
      </c>
      <c r="F367" t="s">
        <v>2</v>
      </c>
      <c r="G367" t="s">
        <v>17</v>
      </c>
      <c r="H367" t="s">
        <v>2862</v>
      </c>
      <c r="I367" s="2">
        <v>556000</v>
      </c>
      <c r="J367" t="s">
        <v>177</v>
      </c>
      <c r="K367" t="s">
        <v>2513</v>
      </c>
    </row>
    <row r="368" spans="1:11" x14ac:dyDescent="0.25">
      <c r="A368" t="s">
        <v>1063</v>
      </c>
      <c r="B368" s="3">
        <v>46275</v>
      </c>
      <c r="C368" t="s">
        <v>528</v>
      </c>
      <c r="D368" t="s">
        <v>479</v>
      </c>
      <c r="E368">
        <v>67</v>
      </c>
      <c r="F368" t="s">
        <v>469</v>
      </c>
      <c r="G368" t="s">
        <v>81</v>
      </c>
      <c r="H368" t="s">
        <v>2863</v>
      </c>
      <c r="I368" s="2">
        <v>28000</v>
      </c>
      <c r="J368" t="s">
        <v>274</v>
      </c>
      <c r="K368" t="s">
        <v>2513</v>
      </c>
    </row>
    <row r="369" spans="1:11" x14ac:dyDescent="0.25">
      <c r="A369" t="s">
        <v>1064</v>
      </c>
      <c r="B369" s="3">
        <v>46275</v>
      </c>
      <c r="C369" t="s">
        <v>226</v>
      </c>
      <c r="D369" t="s">
        <v>227</v>
      </c>
      <c r="E369">
        <v>51</v>
      </c>
      <c r="F369" t="s">
        <v>2</v>
      </c>
      <c r="G369" t="s">
        <v>17</v>
      </c>
      <c r="H369" t="s">
        <v>2864</v>
      </c>
      <c r="I369" s="2">
        <v>851000</v>
      </c>
      <c r="J369" t="s">
        <v>201</v>
      </c>
      <c r="K369" t="s">
        <v>2509</v>
      </c>
    </row>
    <row r="370" spans="1:11" x14ac:dyDescent="0.25">
      <c r="A370" t="s">
        <v>1065</v>
      </c>
      <c r="B370" s="3">
        <v>46275</v>
      </c>
      <c r="C370" t="s">
        <v>127</v>
      </c>
      <c r="D370" t="s">
        <v>26</v>
      </c>
      <c r="E370">
        <v>36</v>
      </c>
      <c r="F370" t="s">
        <v>2</v>
      </c>
      <c r="G370" t="s">
        <v>85</v>
      </c>
      <c r="H370" t="s">
        <v>2865</v>
      </c>
      <c r="I370" s="2">
        <v>439000</v>
      </c>
      <c r="J370" t="s">
        <v>100</v>
      </c>
      <c r="K370" t="s">
        <v>2503</v>
      </c>
    </row>
    <row r="371" spans="1:11" x14ac:dyDescent="0.25">
      <c r="A371" t="s">
        <v>1066</v>
      </c>
      <c r="B371" s="3">
        <v>46275</v>
      </c>
      <c r="C371" t="s">
        <v>566</v>
      </c>
      <c r="D371" t="s">
        <v>479</v>
      </c>
      <c r="E371">
        <v>13</v>
      </c>
      <c r="F371" t="s">
        <v>469</v>
      </c>
      <c r="G371" t="s">
        <v>61</v>
      </c>
      <c r="H371" t="s">
        <v>2866</v>
      </c>
      <c r="I371" s="2">
        <v>35000</v>
      </c>
      <c r="J371" t="s">
        <v>64</v>
      </c>
      <c r="K371" t="s">
        <v>2503</v>
      </c>
    </row>
    <row r="372" spans="1:11" x14ac:dyDescent="0.25">
      <c r="A372" t="s">
        <v>1067</v>
      </c>
      <c r="B372" s="3">
        <v>46275</v>
      </c>
      <c r="C372" t="s">
        <v>68</v>
      </c>
      <c r="D372" t="s">
        <v>29</v>
      </c>
      <c r="E372">
        <v>47</v>
      </c>
      <c r="F372" t="s">
        <v>2</v>
      </c>
      <c r="G372" t="s">
        <v>40</v>
      </c>
      <c r="H372" t="s">
        <v>2774</v>
      </c>
      <c r="I372" s="2">
        <v>284000</v>
      </c>
      <c r="J372" t="s">
        <v>69</v>
      </c>
      <c r="K372" t="s">
        <v>2500</v>
      </c>
    </row>
    <row r="373" spans="1:11" x14ac:dyDescent="0.25">
      <c r="A373" t="s">
        <v>1068</v>
      </c>
      <c r="B373" s="3">
        <v>46275</v>
      </c>
      <c r="C373" t="s">
        <v>668</v>
      </c>
      <c r="D373" t="s">
        <v>597</v>
      </c>
      <c r="E373">
        <v>55</v>
      </c>
      <c r="F373" t="s">
        <v>355</v>
      </c>
      <c r="G373" t="s">
        <v>85</v>
      </c>
      <c r="H373" t="s">
        <v>2867</v>
      </c>
      <c r="I373" s="2">
        <v>18000</v>
      </c>
      <c r="J373" t="s">
        <v>124</v>
      </c>
      <c r="K373" t="s">
        <v>2513</v>
      </c>
    </row>
    <row r="374" spans="1:11" x14ac:dyDescent="0.25">
      <c r="A374" t="s">
        <v>1069</v>
      </c>
      <c r="B374" s="3">
        <v>46275</v>
      </c>
      <c r="C374" t="s">
        <v>527</v>
      </c>
      <c r="D374" t="s">
        <v>467</v>
      </c>
      <c r="E374">
        <v>49</v>
      </c>
      <c r="F374" t="s">
        <v>469</v>
      </c>
      <c r="G374" t="s">
        <v>85</v>
      </c>
      <c r="H374" t="s">
        <v>2868</v>
      </c>
      <c r="I374" s="2">
        <v>34000</v>
      </c>
      <c r="J374" t="s">
        <v>289</v>
      </c>
      <c r="K374" t="s">
        <v>2513</v>
      </c>
    </row>
    <row r="375" spans="1:11" x14ac:dyDescent="0.25">
      <c r="A375" t="s">
        <v>1070</v>
      </c>
      <c r="B375" s="3">
        <v>46275</v>
      </c>
      <c r="C375" t="s">
        <v>615</v>
      </c>
      <c r="D375" t="s">
        <v>589</v>
      </c>
      <c r="E375">
        <v>13</v>
      </c>
      <c r="F375" t="s">
        <v>469</v>
      </c>
      <c r="G375" t="s">
        <v>55</v>
      </c>
      <c r="H375" t="s">
        <v>2869</v>
      </c>
      <c r="I375" s="2">
        <v>5000</v>
      </c>
      <c r="J375" t="s">
        <v>95</v>
      </c>
      <c r="K375" t="s">
        <v>2509</v>
      </c>
    </row>
    <row r="376" spans="1:11" x14ac:dyDescent="0.25">
      <c r="A376" t="s">
        <v>1071</v>
      </c>
      <c r="B376" s="3">
        <v>46275</v>
      </c>
      <c r="C376" t="s">
        <v>109</v>
      </c>
      <c r="D376" t="s">
        <v>15</v>
      </c>
      <c r="E376">
        <v>10</v>
      </c>
      <c r="F376" t="s">
        <v>2</v>
      </c>
      <c r="G376" t="s">
        <v>85</v>
      </c>
      <c r="H376" t="s">
        <v>2870</v>
      </c>
      <c r="I376" s="2">
        <v>97000</v>
      </c>
      <c r="J376" t="s">
        <v>110</v>
      </c>
      <c r="K376" t="s">
        <v>2513</v>
      </c>
    </row>
    <row r="377" spans="1:11" x14ac:dyDescent="0.25">
      <c r="A377" t="s">
        <v>1072</v>
      </c>
      <c r="B377" s="3">
        <v>46275</v>
      </c>
      <c r="C377" t="s">
        <v>280</v>
      </c>
      <c r="D377" t="s">
        <v>210</v>
      </c>
      <c r="E377">
        <v>27</v>
      </c>
      <c r="F377" t="s">
        <v>2</v>
      </c>
      <c r="G377" t="s">
        <v>81</v>
      </c>
      <c r="H377" t="s">
        <v>2871</v>
      </c>
      <c r="I377" s="2">
        <v>2751000</v>
      </c>
      <c r="J377" t="s">
        <v>126</v>
      </c>
      <c r="K377" t="s">
        <v>2513</v>
      </c>
    </row>
    <row r="378" spans="1:11" x14ac:dyDescent="0.25">
      <c r="A378" t="s">
        <v>1073</v>
      </c>
      <c r="B378" s="3">
        <v>46275</v>
      </c>
      <c r="C378" t="s">
        <v>590</v>
      </c>
      <c r="D378" t="s">
        <v>585</v>
      </c>
      <c r="E378">
        <v>42</v>
      </c>
      <c r="F378" t="s">
        <v>355</v>
      </c>
      <c r="G378" t="s">
        <v>32</v>
      </c>
      <c r="H378" t="s">
        <v>2872</v>
      </c>
      <c r="I378" s="2">
        <v>27000</v>
      </c>
      <c r="J378" t="s">
        <v>246</v>
      </c>
      <c r="K378" t="s">
        <v>2500</v>
      </c>
    </row>
    <row r="379" spans="1:11" x14ac:dyDescent="0.25">
      <c r="A379" t="s">
        <v>1074</v>
      </c>
      <c r="B379" s="3">
        <v>46275</v>
      </c>
      <c r="C379" t="s">
        <v>430</v>
      </c>
      <c r="D379" t="s">
        <v>349</v>
      </c>
      <c r="E379">
        <v>16</v>
      </c>
      <c r="F379" t="s">
        <v>2</v>
      </c>
      <c r="G379" t="s">
        <v>22</v>
      </c>
      <c r="H379" t="s">
        <v>2873</v>
      </c>
      <c r="I379" s="2">
        <v>10000</v>
      </c>
      <c r="J379" t="s">
        <v>64</v>
      </c>
      <c r="K379" t="s">
        <v>2503</v>
      </c>
    </row>
    <row r="380" spans="1:11" x14ac:dyDescent="0.25">
      <c r="A380" t="s">
        <v>1075</v>
      </c>
      <c r="B380" s="3">
        <v>46275</v>
      </c>
      <c r="C380" t="s">
        <v>591</v>
      </c>
      <c r="D380" t="s">
        <v>585</v>
      </c>
      <c r="E380">
        <v>19</v>
      </c>
      <c r="F380" t="s">
        <v>355</v>
      </c>
      <c r="G380" t="s">
        <v>55</v>
      </c>
      <c r="H380" t="s">
        <v>2874</v>
      </c>
      <c r="I380" s="2">
        <v>17000</v>
      </c>
      <c r="J380" t="s">
        <v>368</v>
      </c>
      <c r="K380" t="s">
        <v>2500</v>
      </c>
    </row>
    <row r="381" spans="1:11" x14ac:dyDescent="0.25">
      <c r="A381" t="s">
        <v>1076</v>
      </c>
      <c r="B381" s="3">
        <v>46275</v>
      </c>
      <c r="C381" t="s">
        <v>503</v>
      </c>
      <c r="D381" t="s">
        <v>476</v>
      </c>
      <c r="E381">
        <v>27</v>
      </c>
      <c r="F381" t="s">
        <v>477</v>
      </c>
      <c r="G381" t="s">
        <v>36</v>
      </c>
      <c r="H381" t="s">
        <v>2875</v>
      </c>
      <c r="I381" s="2">
        <v>18000</v>
      </c>
      <c r="J381" t="s">
        <v>259</v>
      </c>
      <c r="K381" t="s">
        <v>2500</v>
      </c>
    </row>
    <row r="382" spans="1:11" x14ac:dyDescent="0.25">
      <c r="A382" t="s">
        <v>1077</v>
      </c>
      <c r="B382" s="3">
        <v>46275</v>
      </c>
      <c r="C382" t="s">
        <v>569</v>
      </c>
      <c r="D382" t="s">
        <v>474</v>
      </c>
      <c r="E382">
        <v>62</v>
      </c>
      <c r="F382" t="s">
        <v>2</v>
      </c>
      <c r="G382" t="s">
        <v>32</v>
      </c>
      <c r="H382" t="s">
        <v>2876</v>
      </c>
      <c r="I382" s="2">
        <v>3000</v>
      </c>
      <c r="J382" t="s">
        <v>161</v>
      </c>
      <c r="K382" t="s">
        <v>2509</v>
      </c>
    </row>
    <row r="383" spans="1:11" x14ac:dyDescent="0.25">
      <c r="A383" t="s">
        <v>1078</v>
      </c>
      <c r="B383" s="3">
        <v>46275</v>
      </c>
      <c r="C383" t="s">
        <v>276</v>
      </c>
      <c r="D383" t="s">
        <v>225</v>
      </c>
      <c r="E383">
        <v>24</v>
      </c>
      <c r="F383" t="s">
        <v>2</v>
      </c>
      <c r="G383" t="s">
        <v>48</v>
      </c>
      <c r="H383" t="s">
        <v>2877</v>
      </c>
      <c r="I383" s="2">
        <v>742000</v>
      </c>
      <c r="J383" t="s">
        <v>38</v>
      </c>
      <c r="K383" t="s">
        <v>2500</v>
      </c>
    </row>
    <row r="384" spans="1:11" x14ac:dyDescent="0.25">
      <c r="A384" t="s">
        <v>1079</v>
      </c>
      <c r="B384" s="3">
        <v>46275</v>
      </c>
      <c r="C384" t="s">
        <v>284</v>
      </c>
      <c r="D384" t="s">
        <v>213</v>
      </c>
      <c r="E384">
        <v>17</v>
      </c>
      <c r="F384" t="s">
        <v>2</v>
      </c>
      <c r="G384" t="s">
        <v>85</v>
      </c>
      <c r="H384" t="s">
        <v>2878</v>
      </c>
      <c r="I384" s="2">
        <v>2006000</v>
      </c>
      <c r="J384" t="s">
        <v>108</v>
      </c>
      <c r="K384" t="s">
        <v>2513</v>
      </c>
    </row>
    <row r="385" spans="1:11" x14ac:dyDescent="0.25">
      <c r="A385" t="s">
        <v>1080</v>
      </c>
      <c r="B385" s="3">
        <v>46275</v>
      </c>
      <c r="C385" t="s">
        <v>338</v>
      </c>
      <c r="D385" t="s">
        <v>213</v>
      </c>
      <c r="E385">
        <v>7</v>
      </c>
      <c r="F385" t="s">
        <v>2</v>
      </c>
      <c r="G385" t="s">
        <v>32</v>
      </c>
      <c r="H385" t="s">
        <v>2879</v>
      </c>
      <c r="I385" s="2">
        <v>1621000</v>
      </c>
      <c r="J385" t="s">
        <v>34</v>
      </c>
      <c r="K385" t="s">
        <v>2513</v>
      </c>
    </row>
    <row r="386" spans="1:11" x14ac:dyDescent="0.25">
      <c r="A386" t="s">
        <v>1081</v>
      </c>
      <c r="B386" s="3">
        <v>46275</v>
      </c>
      <c r="C386" t="s">
        <v>296</v>
      </c>
      <c r="D386" t="s">
        <v>234</v>
      </c>
      <c r="E386">
        <v>38</v>
      </c>
      <c r="F386" t="s">
        <v>2</v>
      </c>
      <c r="G386" t="s">
        <v>36</v>
      </c>
      <c r="H386" t="s">
        <v>2880</v>
      </c>
      <c r="I386" s="2">
        <v>1085000</v>
      </c>
      <c r="J386" t="s">
        <v>297</v>
      </c>
      <c r="K386" t="s">
        <v>2509</v>
      </c>
    </row>
    <row r="387" spans="1:11" x14ac:dyDescent="0.25">
      <c r="A387" t="s">
        <v>1082</v>
      </c>
      <c r="B387" s="3">
        <v>46275</v>
      </c>
      <c r="C387" t="s">
        <v>543</v>
      </c>
      <c r="D387" t="s">
        <v>484</v>
      </c>
      <c r="E387">
        <v>6</v>
      </c>
      <c r="F387" t="s">
        <v>469</v>
      </c>
      <c r="G387" t="s">
        <v>61</v>
      </c>
      <c r="H387" t="s">
        <v>2881</v>
      </c>
      <c r="I387" s="2">
        <v>25000</v>
      </c>
      <c r="J387" t="s">
        <v>77</v>
      </c>
      <c r="K387" t="s">
        <v>2503</v>
      </c>
    </row>
    <row r="388" spans="1:11" x14ac:dyDescent="0.25">
      <c r="A388" t="s">
        <v>1083</v>
      </c>
      <c r="B388" s="3">
        <v>46275</v>
      </c>
      <c r="C388" t="s">
        <v>494</v>
      </c>
      <c r="D388" t="s">
        <v>471</v>
      </c>
      <c r="E388">
        <v>11</v>
      </c>
      <c r="F388" t="s">
        <v>355</v>
      </c>
      <c r="G388" t="s">
        <v>55</v>
      </c>
      <c r="H388" t="s">
        <v>2882</v>
      </c>
      <c r="I388" s="2">
        <v>51000</v>
      </c>
      <c r="J388" t="s">
        <v>181</v>
      </c>
      <c r="K388" t="s">
        <v>2503</v>
      </c>
    </row>
    <row r="389" spans="1:11" x14ac:dyDescent="0.25">
      <c r="A389" t="s">
        <v>1084</v>
      </c>
      <c r="B389" s="3">
        <v>46276</v>
      </c>
      <c r="C389" t="s">
        <v>624</v>
      </c>
      <c r="D389" t="s">
        <v>602</v>
      </c>
      <c r="E389">
        <v>24</v>
      </c>
      <c r="F389" t="s">
        <v>2</v>
      </c>
      <c r="G389" t="s">
        <v>81</v>
      </c>
      <c r="H389" t="s">
        <v>2883</v>
      </c>
      <c r="I389" s="2">
        <v>87000</v>
      </c>
      <c r="J389" t="s">
        <v>181</v>
      </c>
      <c r="K389" t="s">
        <v>2500</v>
      </c>
    </row>
    <row r="390" spans="1:11" x14ac:dyDescent="0.25">
      <c r="A390" t="s">
        <v>1085</v>
      </c>
      <c r="B390" s="3">
        <v>46276</v>
      </c>
      <c r="C390" t="s">
        <v>373</v>
      </c>
      <c r="D390" t="s">
        <v>364</v>
      </c>
      <c r="E390">
        <v>35</v>
      </c>
      <c r="F390" t="s">
        <v>358</v>
      </c>
      <c r="G390" t="s">
        <v>32</v>
      </c>
      <c r="H390" t="s">
        <v>2884</v>
      </c>
      <c r="I390" s="2">
        <v>34000</v>
      </c>
      <c r="J390" t="s">
        <v>206</v>
      </c>
      <c r="K390" t="s">
        <v>2509</v>
      </c>
    </row>
    <row r="391" spans="1:11" x14ac:dyDescent="0.25">
      <c r="A391" t="s">
        <v>1086</v>
      </c>
      <c r="B391" s="3">
        <v>46276</v>
      </c>
      <c r="C391" t="s">
        <v>511</v>
      </c>
      <c r="D391" t="s">
        <v>502</v>
      </c>
      <c r="E391">
        <v>52</v>
      </c>
      <c r="F391" t="s">
        <v>469</v>
      </c>
      <c r="G391" t="s">
        <v>81</v>
      </c>
      <c r="H391" t="s">
        <v>2885</v>
      </c>
      <c r="I391" s="2">
        <v>76000</v>
      </c>
      <c r="J391" t="s">
        <v>512</v>
      </c>
      <c r="K391" t="s">
        <v>2500</v>
      </c>
    </row>
    <row r="392" spans="1:11" x14ac:dyDescent="0.25">
      <c r="A392" t="s">
        <v>1087</v>
      </c>
      <c r="B392" s="3">
        <v>46276</v>
      </c>
      <c r="C392" t="s">
        <v>316</v>
      </c>
      <c r="D392" t="s">
        <v>213</v>
      </c>
      <c r="E392">
        <v>34</v>
      </c>
      <c r="F392" t="s">
        <v>2</v>
      </c>
      <c r="G392" t="s">
        <v>17</v>
      </c>
      <c r="H392" t="s">
        <v>2886</v>
      </c>
      <c r="I392" s="2">
        <v>3491000</v>
      </c>
      <c r="J392" t="s">
        <v>108</v>
      </c>
      <c r="K392" t="s">
        <v>2503</v>
      </c>
    </row>
    <row r="393" spans="1:11" x14ac:dyDescent="0.25">
      <c r="A393" t="s">
        <v>1088</v>
      </c>
      <c r="B393" s="3">
        <v>46276</v>
      </c>
      <c r="C393" t="s">
        <v>664</v>
      </c>
      <c r="D393" t="s">
        <v>612</v>
      </c>
      <c r="E393">
        <v>14</v>
      </c>
      <c r="F393" t="s">
        <v>2</v>
      </c>
      <c r="G393" t="s">
        <v>36</v>
      </c>
      <c r="H393" t="s">
        <v>2887</v>
      </c>
      <c r="I393" s="2">
        <v>15000</v>
      </c>
      <c r="J393" t="s">
        <v>265</v>
      </c>
      <c r="K393" t="s">
        <v>2513</v>
      </c>
    </row>
    <row r="394" spans="1:11" x14ac:dyDescent="0.25">
      <c r="A394" t="s">
        <v>1089</v>
      </c>
      <c r="B394" s="3">
        <v>46276</v>
      </c>
      <c r="C394" t="s">
        <v>39</v>
      </c>
      <c r="D394" t="s">
        <v>21</v>
      </c>
      <c r="E394">
        <v>62</v>
      </c>
      <c r="F394" t="s">
        <v>2</v>
      </c>
      <c r="G394" t="s">
        <v>40</v>
      </c>
      <c r="H394" t="s">
        <v>2888</v>
      </c>
      <c r="I394" s="2">
        <v>35000</v>
      </c>
      <c r="J394" t="s">
        <v>42</v>
      </c>
      <c r="K394" t="s">
        <v>2509</v>
      </c>
    </row>
    <row r="395" spans="1:11" x14ac:dyDescent="0.25">
      <c r="A395" t="s">
        <v>1090</v>
      </c>
      <c r="B395" s="3">
        <v>46276</v>
      </c>
      <c r="C395" t="s">
        <v>515</v>
      </c>
      <c r="D395" t="s">
        <v>488</v>
      </c>
      <c r="E395">
        <v>18</v>
      </c>
      <c r="F395" t="s">
        <v>469</v>
      </c>
      <c r="G395" t="s">
        <v>36</v>
      </c>
      <c r="H395" t="s">
        <v>2889</v>
      </c>
      <c r="I395" s="2">
        <v>45000</v>
      </c>
      <c r="J395" t="s">
        <v>292</v>
      </c>
      <c r="K395" t="s">
        <v>2509</v>
      </c>
    </row>
    <row r="396" spans="1:11" x14ac:dyDescent="0.25">
      <c r="A396" t="s">
        <v>1091</v>
      </c>
      <c r="B396" s="3">
        <v>46276</v>
      </c>
      <c r="C396" t="s">
        <v>388</v>
      </c>
      <c r="D396" t="s">
        <v>351</v>
      </c>
      <c r="E396">
        <v>23</v>
      </c>
      <c r="F396" t="s">
        <v>2</v>
      </c>
      <c r="G396" t="s">
        <v>32</v>
      </c>
      <c r="H396" t="s">
        <v>2890</v>
      </c>
      <c r="I396" s="2">
        <v>233000</v>
      </c>
      <c r="J396" t="s">
        <v>147</v>
      </c>
      <c r="K396" t="s">
        <v>2509</v>
      </c>
    </row>
    <row r="397" spans="1:11" x14ac:dyDescent="0.25">
      <c r="A397" t="s">
        <v>1092</v>
      </c>
      <c r="B397" s="3">
        <v>46276</v>
      </c>
      <c r="C397" t="s">
        <v>278</v>
      </c>
      <c r="D397" t="s">
        <v>261</v>
      </c>
      <c r="E397">
        <v>20</v>
      </c>
      <c r="F397" t="s">
        <v>2</v>
      </c>
      <c r="G397" t="s">
        <v>55</v>
      </c>
      <c r="H397" t="s">
        <v>2891</v>
      </c>
      <c r="I397" s="2">
        <v>507000</v>
      </c>
      <c r="J397" t="s">
        <v>279</v>
      </c>
      <c r="K397" t="s">
        <v>2500</v>
      </c>
    </row>
    <row r="398" spans="1:11" x14ac:dyDescent="0.25">
      <c r="A398" t="s">
        <v>1093</v>
      </c>
      <c r="B398" s="3">
        <v>46276</v>
      </c>
      <c r="C398" t="s">
        <v>308</v>
      </c>
      <c r="D398" t="s">
        <v>227</v>
      </c>
      <c r="E398">
        <v>56</v>
      </c>
      <c r="F398" t="s">
        <v>2</v>
      </c>
      <c r="G398" t="s">
        <v>40</v>
      </c>
      <c r="H398" t="s">
        <v>2892</v>
      </c>
      <c r="I398" s="2">
        <v>789000</v>
      </c>
      <c r="J398" t="s">
        <v>259</v>
      </c>
      <c r="K398" t="s">
        <v>2509</v>
      </c>
    </row>
    <row r="399" spans="1:11" x14ac:dyDescent="0.25">
      <c r="A399" t="s">
        <v>1094</v>
      </c>
      <c r="B399" s="3">
        <v>46276</v>
      </c>
      <c r="C399" t="s">
        <v>381</v>
      </c>
      <c r="D399" t="s">
        <v>382</v>
      </c>
      <c r="E399">
        <v>41</v>
      </c>
      <c r="F399" t="s">
        <v>383</v>
      </c>
      <c r="G399" t="s">
        <v>22</v>
      </c>
      <c r="H399" t="s">
        <v>2893</v>
      </c>
      <c r="I399" s="2">
        <v>148000</v>
      </c>
      <c r="J399" t="s">
        <v>106</v>
      </c>
      <c r="K399" t="s">
        <v>2513</v>
      </c>
    </row>
    <row r="400" spans="1:11" x14ac:dyDescent="0.25">
      <c r="A400" t="s">
        <v>1095</v>
      </c>
      <c r="B400" s="3">
        <v>46276</v>
      </c>
      <c r="C400" t="s">
        <v>492</v>
      </c>
      <c r="D400" t="s">
        <v>467</v>
      </c>
      <c r="E400">
        <v>5</v>
      </c>
      <c r="F400" t="s">
        <v>469</v>
      </c>
      <c r="G400" t="s">
        <v>40</v>
      </c>
      <c r="H400" t="s">
        <v>2894</v>
      </c>
      <c r="I400" s="2">
        <v>21000</v>
      </c>
      <c r="J400" t="s">
        <v>102</v>
      </c>
      <c r="K400" t="s">
        <v>2513</v>
      </c>
    </row>
    <row r="401" spans="1:11" x14ac:dyDescent="0.25">
      <c r="A401" t="s">
        <v>1096</v>
      </c>
      <c r="B401" s="3">
        <v>46276</v>
      </c>
      <c r="C401" t="s">
        <v>88</v>
      </c>
      <c r="D401" t="s">
        <v>26</v>
      </c>
      <c r="E401">
        <v>69</v>
      </c>
      <c r="F401" t="s">
        <v>2</v>
      </c>
      <c r="G401" t="s">
        <v>85</v>
      </c>
      <c r="H401" t="s">
        <v>2895</v>
      </c>
      <c r="I401" s="2">
        <v>209000</v>
      </c>
      <c r="J401" t="s">
        <v>89</v>
      </c>
      <c r="K401" t="s">
        <v>2503</v>
      </c>
    </row>
    <row r="402" spans="1:11" x14ac:dyDescent="0.25">
      <c r="A402" t="s">
        <v>1097</v>
      </c>
      <c r="B402" s="3">
        <v>46276</v>
      </c>
      <c r="C402" t="s">
        <v>194</v>
      </c>
      <c r="D402" t="s">
        <v>47</v>
      </c>
      <c r="E402">
        <v>6</v>
      </c>
      <c r="F402" t="s">
        <v>2</v>
      </c>
      <c r="G402" t="s">
        <v>32</v>
      </c>
      <c r="H402" t="s">
        <v>2896</v>
      </c>
      <c r="I402" s="2">
        <v>284000</v>
      </c>
      <c r="J402" t="s">
        <v>195</v>
      </c>
      <c r="K402" t="s">
        <v>2503</v>
      </c>
    </row>
    <row r="403" spans="1:11" x14ac:dyDescent="0.25">
      <c r="A403" t="s">
        <v>1098</v>
      </c>
      <c r="B403" s="3">
        <v>46276</v>
      </c>
      <c r="C403" t="s">
        <v>304</v>
      </c>
      <c r="D403" t="s">
        <v>227</v>
      </c>
      <c r="E403">
        <v>14</v>
      </c>
      <c r="F403" t="s">
        <v>2</v>
      </c>
      <c r="G403" t="s">
        <v>17</v>
      </c>
      <c r="H403" t="s">
        <v>2897</v>
      </c>
      <c r="I403" s="2">
        <v>1029000</v>
      </c>
      <c r="J403" t="s">
        <v>305</v>
      </c>
      <c r="K403" t="s">
        <v>2500</v>
      </c>
    </row>
    <row r="404" spans="1:11" x14ac:dyDescent="0.25">
      <c r="A404" t="s">
        <v>1099</v>
      </c>
      <c r="B404" s="3">
        <v>46276</v>
      </c>
      <c r="C404" t="s">
        <v>299</v>
      </c>
      <c r="D404" t="s">
        <v>216</v>
      </c>
      <c r="E404">
        <v>12</v>
      </c>
      <c r="F404" t="s">
        <v>2</v>
      </c>
      <c r="G404" t="s">
        <v>17</v>
      </c>
      <c r="H404" t="s">
        <v>2898</v>
      </c>
      <c r="I404" s="2">
        <v>535000</v>
      </c>
      <c r="J404" t="s">
        <v>155</v>
      </c>
      <c r="K404" t="s">
        <v>2509</v>
      </c>
    </row>
    <row r="405" spans="1:11" x14ac:dyDescent="0.25">
      <c r="A405" t="s">
        <v>1100</v>
      </c>
      <c r="B405" s="3">
        <v>46276</v>
      </c>
      <c r="C405" t="s">
        <v>562</v>
      </c>
      <c r="D405" t="s">
        <v>502</v>
      </c>
      <c r="E405">
        <v>48</v>
      </c>
      <c r="F405" t="s">
        <v>469</v>
      </c>
      <c r="G405" t="s">
        <v>55</v>
      </c>
      <c r="H405" t="s">
        <v>2899</v>
      </c>
      <c r="I405" s="2">
        <v>76000</v>
      </c>
      <c r="J405" t="s">
        <v>104</v>
      </c>
      <c r="K405" t="s">
        <v>2509</v>
      </c>
    </row>
    <row r="406" spans="1:11" x14ac:dyDescent="0.25">
      <c r="A406" t="s">
        <v>1101</v>
      </c>
      <c r="B406" s="3">
        <v>46276</v>
      </c>
      <c r="C406" t="s">
        <v>31</v>
      </c>
      <c r="D406" t="s">
        <v>29</v>
      </c>
      <c r="E406">
        <v>46</v>
      </c>
      <c r="F406" t="s">
        <v>2</v>
      </c>
      <c r="G406" t="s">
        <v>32</v>
      </c>
      <c r="H406" t="s">
        <v>2900</v>
      </c>
      <c r="I406" s="2">
        <v>254000</v>
      </c>
      <c r="J406" t="s">
        <v>34</v>
      </c>
      <c r="K406" t="s">
        <v>2513</v>
      </c>
    </row>
    <row r="407" spans="1:11" x14ac:dyDescent="0.25">
      <c r="A407" t="s">
        <v>1102</v>
      </c>
      <c r="B407" s="3">
        <v>46276</v>
      </c>
      <c r="C407" t="s">
        <v>116</v>
      </c>
      <c r="D407" t="s">
        <v>54</v>
      </c>
      <c r="E407">
        <v>44</v>
      </c>
      <c r="F407" t="s">
        <v>2</v>
      </c>
      <c r="G407" t="s">
        <v>22</v>
      </c>
      <c r="H407" t="s">
        <v>2901</v>
      </c>
      <c r="I407" s="2">
        <v>147000</v>
      </c>
      <c r="J407" t="s">
        <v>117</v>
      </c>
      <c r="K407" t="s">
        <v>2503</v>
      </c>
    </row>
    <row r="408" spans="1:11" x14ac:dyDescent="0.25">
      <c r="A408" t="s">
        <v>1103</v>
      </c>
      <c r="B408" s="3">
        <v>46276</v>
      </c>
      <c r="C408" t="s">
        <v>367</v>
      </c>
      <c r="D408" t="s">
        <v>344</v>
      </c>
      <c r="E408">
        <v>24</v>
      </c>
      <c r="F408" t="s">
        <v>346</v>
      </c>
      <c r="G408" t="s">
        <v>32</v>
      </c>
      <c r="H408" t="s">
        <v>2902</v>
      </c>
      <c r="I408" s="2">
        <v>67000</v>
      </c>
      <c r="J408" t="s">
        <v>368</v>
      </c>
      <c r="K408" t="s">
        <v>2513</v>
      </c>
    </row>
    <row r="409" spans="1:11" x14ac:dyDescent="0.25">
      <c r="A409" t="s">
        <v>1104</v>
      </c>
      <c r="B409" s="3">
        <v>46276</v>
      </c>
      <c r="C409" t="s">
        <v>391</v>
      </c>
      <c r="D409" t="s">
        <v>357</v>
      </c>
      <c r="E409">
        <v>42</v>
      </c>
      <c r="F409" t="s">
        <v>358</v>
      </c>
      <c r="G409" t="s">
        <v>36</v>
      </c>
      <c r="H409" t="s">
        <v>2903</v>
      </c>
      <c r="I409" s="2">
        <v>28000</v>
      </c>
      <c r="J409" t="s">
        <v>221</v>
      </c>
      <c r="K409" t="s">
        <v>2513</v>
      </c>
    </row>
    <row r="410" spans="1:11" x14ac:dyDescent="0.25">
      <c r="A410" t="s">
        <v>1105</v>
      </c>
      <c r="B410" s="3">
        <v>46276</v>
      </c>
      <c r="C410" t="s">
        <v>91</v>
      </c>
      <c r="D410" t="s">
        <v>47</v>
      </c>
      <c r="E410">
        <v>56</v>
      </c>
      <c r="F410" t="s">
        <v>2</v>
      </c>
      <c r="G410" t="s">
        <v>17</v>
      </c>
      <c r="H410" t="s">
        <v>2904</v>
      </c>
      <c r="I410" s="2">
        <v>360000</v>
      </c>
      <c r="J410" t="s">
        <v>83</v>
      </c>
      <c r="K410" t="s">
        <v>2509</v>
      </c>
    </row>
    <row r="411" spans="1:11" x14ac:dyDescent="0.25">
      <c r="A411" t="s">
        <v>1106</v>
      </c>
      <c r="B411" s="3">
        <v>46276</v>
      </c>
      <c r="C411" t="s">
        <v>291</v>
      </c>
      <c r="D411" t="s">
        <v>240</v>
      </c>
      <c r="E411">
        <v>23</v>
      </c>
      <c r="F411" t="s">
        <v>2</v>
      </c>
      <c r="G411" t="s">
        <v>40</v>
      </c>
      <c r="H411" t="s">
        <v>2905</v>
      </c>
      <c r="I411" s="2">
        <v>588000</v>
      </c>
      <c r="J411" t="s">
        <v>292</v>
      </c>
      <c r="K411" t="s">
        <v>2513</v>
      </c>
    </row>
    <row r="412" spans="1:11" x14ac:dyDescent="0.25">
      <c r="A412" t="s">
        <v>1107</v>
      </c>
      <c r="B412" s="3">
        <v>46276</v>
      </c>
      <c r="C412" t="s">
        <v>636</v>
      </c>
      <c r="D412" t="s">
        <v>602</v>
      </c>
      <c r="E412">
        <v>4</v>
      </c>
      <c r="F412" t="s">
        <v>2</v>
      </c>
      <c r="G412" t="s">
        <v>32</v>
      </c>
      <c r="H412" t="s">
        <v>2906</v>
      </c>
      <c r="I412" s="2">
        <v>116000</v>
      </c>
      <c r="J412" t="s">
        <v>183</v>
      </c>
      <c r="K412" t="s">
        <v>2500</v>
      </c>
    </row>
    <row r="413" spans="1:11" x14ac:dyDescent="0.25">
      <c r="A413" t="s">
        <v>1108</v>
      </c>
      <c r="B413" s="3">
        <v>46276</v>
      </c>
      <c r="C413" t="s">
        <v>20</v>
      </c>
      <c r="D413" t="s">
        <v>21</v>
      </c>
      <c r="E413">
        <v>28</v>
      </c>
      <c r="F413" t="s">
        <v>2</v>
      </c>
      <c r="G413" t="s">
        <v>22</v>
      </c>
      <c r="H413" t="s">
        <v>2907</v>
      </c>
      <c r="I413" s="2">
        <v>31000</v>
      </c>
      <c r="J413" t="s">
        <v>24</v>
      </c>
      <c r="K413" t="s">
        <v>2509</v>
      </c>
    </row>
    <row r="414" spans="1:11" x14ac:dyDescent="0.25">
      <c r="A414" t="s">
        <v>1109</v>
      </c>
      <c r="B414" s="3">
        <v>46276</v>
      </c>
      <c r="C414" t="s">
        <v>559</v>
      </c>
      <c r="D414" t="s">
        <v>502</v>
      </c>
      <c r="E414">
        <v>56</v>
      </c>
      <c r="F414" t="s">
        <v>469</v>
      </c>
      <c r="G414" t="s">
        <v>61</v>
      </c>
      <c r="H414" t="s">
        <v>2908</v>
      </c>
      <c r="I414" s="2">
        <v>92000</v>
      </c>
      <c r="J414" t="s">
        <v>324</v>
      </c>
      <c r="K414" t="s">
        <v>2513</v>
      </c>
    </row>
    <row r="415" spans="1:11" x14ac:dyDescent="0.25">
      <c r="A415" t="s">
        <v>1110</v>
      </c>
      <c r="B415" s="3">
        <v>46276</v>
      </c>
      <c r="C415" t="s">
        <v>200</v>
      </c>
      <c r="D415" t="s">
        <v>66</v>
      </c>
      <c r="E415">
        <v>47</v>
      </c>
      <c r="F415" t="s">
        <v>2</v>
      </c>
      <c r="G415" t="s">
        <v>81</v>
      </c>
      <c r="H415" t="s">
        <v>2909</v>
      </c>
      <c r="I415" s="2">
        <v>225000</v>
      </c>
      <c r="J415" t="s">
        <v>201</v>
      </c>
      <c r="K415" t="s">
        <v>2513</v>
      </c>
    </row>
    <row r="416" spans="1:11" x14ac:dyDescent="0.25">
      <c r="A416" t="s">
        <v>1111</v>
      </c>
      <c r="B416" s="3">
        <v>46276</v>
      </c>
      <c r="C416" t="s">
        <v>390</v>
      </c>
      <c r="D416" t="s">
        <v>378</v>
      </c>
      <c r="E416">
        <v>33</v>
      </c>
      <c r="F416" t="s">
        <v>2</v>
      </c>
      <c r="G416" t="s">
        <v>81</v>
      </c>
      <c r="H416" t="s">
        <v>2910</v>
      </c>
      <c r="I416" s="2">
        <v>18000</v>
      </c>
      <c r="J416" t="s">
        <v>206</v>
      </c>
      <c r="K416" t="s">
        <v>2500</v>
      </c>
    </row>
    <row r="417" spans="1:11" x14ac:dyDescent="0.25">
      <c r="A417" t="s">
        <v>1112</v>
      </c>
      <c r="B417" s="3">
        <v>46277</v>
      </c>
      <c r="C417" t="s">
        <v>198</v>
      </c>
      <c r="D417" t="s">
        <v>1</v>
      </c>
      <c r="E417">
        <v>20</v>
      </c>
      <c r="F417" t="s">
        <v>2</v>
      </c>
      <c r="G417" t="s">
        <v>81</v>
      </c>
      <c r="H417" t="s">
        <v>2808</v>
      </c>
      <c r="I417" s="2">
        <v>76000</v>
      </c>
      <c r="J417" t="s">
        <v>140</v>
      </c>
      <c r="K417" t="s">
        <v>2513</v>
      </c>
    </row>
    <row r="418" spans="1:11" x14ac:dyDescent="0.25">
      <c r="A418" t="s">
        <v>1113</v>
      </c>
      <c r="B418" s="3">
        <v>46277</v>
      </c>
      <c r="C418" t="s">
        <v>307</v>
      </c>
      <c r="D418" t="s">
        <v>210</v>
      </c>
      <c r="E418">
        <v>41</v>
      </c>
      <c r="F418" t="s">
        <v>2</v>
      </c>
      <c r="G418" t="s">
        <v>61</v>
      </c>
      <c r="H418" t="s">
        <v>2911</v>
      </c>
      <c r="I418" s="2">
        <v>8538000</v>
      </c>
      <c r="J418" t="s">
        <v>57</v>
      </c>
      <c r="K418" t="s">
        <v>2500</v>
      </c>
    </row>
    <row r="419" spans="1:11" x14ac:dyDescent="0.25">
      <c r="A419" t="s">
        <v>1114</v>
      </c>
      <c r="B419" s="3">
        <v>46277</v>
      </c>
      <c r="C419" t="s">
        <v>122</v>
      </c>
      <c r="D419" t="s">
        <v>54</v>
      </c>
      <c r="E419">
        <v>14</v>
      </c>
      <c r="F419" t="s">
        <v>2</v>
      </c>
      <c r="G419" t="s">
        <v>17</v>
      </c>
      <c r="H419" t="s">
        <v>2912</v>
      </c>
      <c r="I419" s="2">
        <v>169000</v>
      </c>
      <c r="J419" t="s">
        <v>98</v>
      </c>
      <c r="K419" t="s">
        <v>2509</v>
      </c>
    </row>
    <row r="420" spans="1:11" x14ac:dyDescent="0.25">
      <c r="A420" t="s">
        <v>1115</v>
      </c>
      <c r="B420" s="3">
        <v>46277</v>
      </c>
      <c r="C420" t="s">
        <v>60</v>
      </c>
      <c r="D420" t="s">
        <v>44</v>
      </c>
      <c r="E420">
        <v>57</v>
      </c>
      <c r="F420" t="s">
        <v>2</v>
      </c>
      <c r="G420" t="s">
        <v>61</v>
      </c>
      <c r="H420" t="s">
        <v>2913</v>
      </c>
      <c r="I420" s="2">
        <v>66000</v>
      </c>
      <c r="J420" t="s">
        <v>27</v>
      </c>
      <c r="K420" t="s">
        <v>2503</v>
      </c>
    </row>
    <row r="421" spans="1:11" x14ac:dyDescent="0.25">
      <c r="A421" t="s">
        <v>1116</v>
      </c>
      <c r="B421" s="3">
        <v>46277</v>
      </c>
      <c r="C421" t="s">
        <v>94</v>
      </c>
      <c r="D421" t="s">
        <v>15</v>
      </c>
      <c r="E421">
        <v>33</v>
      </c>
      <c r="F421" t="s">
        <v>2</v>
      </c>
      <c r="G421" t="s">
        <v>22</v>
      </c>
      <c r="H421" t="s">
        <v>2914</v>
      </c>
      <c r="I421" s="2">
        <v>148000</v>
      </c>
      <c r="J421" t="s">
        <v>95</v>
      </c>
      <c r="K421" t="s">
        <v>2513</v>
      </c>
    </row>
    <row r="422" spans="1:11" x14ac:dyDescent="0.25">
      <c r="A422" t="s">
        <v>1117</v>
      </c>
      <c r="B422" s="3">
        <v>46277</v>
      </c>
      <c r="C422" t="s">
        <v>329</v>
      </c>
      <c r="D422" t="s">
        <v>227</v>
      </c>
      <c r="E422">
        <v>9</v>
      </c>
      <c r="F422" t="s">
        <v>2</v>
      </c>
      <c r="G422" t="s">
        <v>85</v>
      </c>
      <c r="H422" t="s">
        <v>2915</v>
      </c>
      <c r="I422" s="2">
        <v>632000</v>
      </c>
      <c r="J422" t="s">
        <v>330</v>
      </c>
      <c r="K422" t="s">
        <v>2513</v>
      </c>
    </row>
    <row r="423" spans="1:11" x14ac:dyDescent="0.25">
      <c r="A423" t="s">
        <v>1118</v>
      </c>
      <c r="B423" s="3">
        <v>46277</v>
      </c>
      <c r="C423" t="s">
        <v>143</v>
      </c>
      <c r="D423" t="s">
        <v>47</v>
      </c>
      <c r="E423">
        <v>59</v>
      </c>
      <c r="F423" t="s">
        <v>2</v>
      </c>
      <c r="G423" t="s">
        <v>48</v>
      </c>
      <c r="H423" t="s">
        <v>2916</v>
      </c>
      <c r="I423" s="2">
        <v>171000</v>
      </c>
      <c r="J423" t="s">
        <v>144</v>
      </c>
      <c r="K423" t="s">
        <v>2503</v>
      </c>
    </row>
    <row r="424" spans="1:11" x14ac:dyDescent="0.25">
      <c r="A424" t="s">
        <v>1119</v>
      </c>
      <c r="B424" s="3">
        <v>46277</v>
      </c>
      <c r="C424" t="s">
        <v>524</v>
      </c>
      <c r="D424" t="s">
        <v>474</v>
      </c>
      <c r="E424">
        <v>53</v>
      </c>
      <c r="F424" t="s">
        <v>2</v>
      </c>
      <c r="G424" t="s">
        <v>17</v>
      </c>
      <c r="H424" t="s">
        <v>2917</v>
      </c>
      <c r="I424" s="2">
        <v>8000</v>
      </c>
      <c r="J424" t="s">
        <v>257</v>
      </c>
      <c r="K424" t="s">
        <v>2509</v>
      </c>
    </row>
    <row r="425" spans="1:11" x14ac:dyDescent="0.25">
      <c r="A425" t="s">
        <v>1120</v>
      </c>
      <c r="B425" s="3">
        <v>46277</v>
      </c>
      <c r="C425" t="s">
        <v>590</v>
      </c>
      <c r="D425" t="s">
        <v>585</v>
      </c>
      <c r="E425">
        <v>46</v>
      </c>
      <c r="F425" t="s">
        <v>355</v>
      </c>
      <c r="G425" t="s">
        <v>32</v>
      </c>
      <c r="H425" t="s">
        <v>2918</v>
      </c>
      <c r="I425" s="2">
        <v>27000</v>
      </c>
      <c r="J425" t="s">
        <v>246</v>
      </c>
      <c r="K425" t="s">
        <v>2500</v>
      </c>
    </row>
    <row r="426" spans="1:11" x14ac:dyDescent="0.25">
      <c r="A426" t="s">
        <v>1121</v>
      </c>
      <c r="B426" s="3">
        <v>46277</v>
      </c>
      <c r="C426" t="s">
        <v>413</v>
      </c>
      <c r="D426" t="s">
        <v>360</v>
      </c>
      <c r="E426">
        <v>66</v>
      </c>
      <c r="F426" t="s">
        <v>358</v>
      </c>
      <c r="G426" t="s">
        <v>17</v>
      </c>
      <c r="H426" t="s">
        <v>2919</v>
      </c>
      <c r="I426" s="2">
        <v>18000</v>
      </c>
      <c r="J426" t="s">
        <v>368</v>
      </c>
      <c r="K426" t="s">
        <v>2509</v>
      </c>
    </row>
    <row r="427" spans="1:11" x14ac:dyDescent="0.25">
      <c r="A427" t="s">
        <v>1122</v>
      </c>
      <c r="B427" s="3">
        <v>46277</v>
      </c>
      <c r="C427" t="s">
        <v>371</v>
      </c>
      <c r="D427" t="s">
        <v>364</v>
      </c>
      <c r="E427">
        <v>53</v>
      </c>
      <c r="F427" t="s">
        <v>358</v>
      </c>
      <c r="G427" t="s">
        <v>40</v>
      </c>
      <c r="H427" t="s">
        <v>2920</v>
      </c>
      <c r="I427" s="2">
        <v>25000</v>
      </c>
      <c r="J427" t="s">
        <v>121</v>
      </c>
      <c r="K427" t="s">
        <v>2500</v>
      </c>
    </row>
    <row r="428" spans="1:11" x14ac:dyDescent="0.25">
      <c r="A428" t="s">
        <v>1123</v>
      </c>
      <c r="B428" s="3">
        <v>46277</v>
      </c>
      <c r="C428" t="s">
        <v>504</v>
      </c>
      <c r="D428" t="s">
        <v>474</v>
      </c>
      <c r="E428">
        <v>11</v>
      </c>
      <c r="F428" t="s">
        <v>2</v>
      </c>
      <c r="G428" t="s">
        <v>17</v>
      </c>
      <c r="H428" t="s">
        <v>2921</v>
      </c>
      <c r="I428" s="2">
        <v>14000</v>
      </c>
      <c r="J428" t="s">
        <v>274</v>
      </c>
      <c r="K428" t="s">
        <v>2500</v>
      </c>
    </row>
    <row r="429" spans="1:11" x14ac:dyDescent="0.25">
      <c r="A429" t="s">
        <v>1124</v>
      </c>
      <c r="B429" s="3">
        <v>46277</v>
      </c>
      <c r="C429" t="s">
        <v>519</v>
      </c>
      <c r="D429" t="s">
        <v>488</v>
      </c>
      <c r="E429">
        <v>61</v>
      </c>
      <c r="F429" t="s">
        <v>469</v>
      </c>
      <c r="G429" t="s">
        <v>32</v>
      </c>
      <c r="H429" t="s">
        <v>2922</v>
      </c>
      <c r="I429" s="2">
        <v>50000</v>
      </c>
      <c r="J429" t="s">
        <v>126</v>
      </c>
      <c r="K429" t="s">
        <v>2513</v>
      </c>
    </row>
    <row r="430" spans="1:11" x14ac:dyDescent="0.25">
      <c r="A430" t="s">
        <v>1125</v>
      </c>
      <c r="B430" s="3">
        <v>46277</v>
      </c>
      <c r="C430" t="s">
        <v>653</v>
      </c>
      <c r="D430" t="s">
        <v>585</v>
      </c>
      <c r="E430">
        <v>50</v>
      </c>
      <c r="F430" t="s">
        <v>355</v>
      </c>
      <c r="G430" t="s">
        <v>81</v>
      </c>
      <c r="H430" t="s">
        <v>2923</v>
      </c>
      <c r="I430" s="2">
        <v>17000</v>
      </c>
      <c r="J430" t="s">
        <v>250</v>
      </c>
      <c r="K430" t="s">
        <v>2500</v>
      </c>
    </row>
    <row r="431" spans="1:11" x14ac:dyDescent="0.25">
      <c r="A431" t="s">
        <v>1126</v>
      </c>
      <c r="B431" s="3">
        <v>46277</v>
      </c>
      <c r="C431" t="s">
        <v>352</v>
      </c>
      <c r="D431" t="s">
        <v>344</v>
      </c>
      <c r="E431">
        <v>1</v>
      </c>
      <c r="F431" t="s">
        <v>346</v>
      </c>
      <c r="G431" t="s">
        <v>48</v>
      </c>
      <c r="H431" t="s">
        <v>2924</v>
      </c>
      <c r="I431" s="2">
        <v>45000</v>
      </c>
      <c r="J431" t="s">
        <v>189</v>
      </c>
      <c r="K431" t="s">
        <v>2500</v>
      </c>
    </row>
    <row r="432" spans="1:11" x14ac:dyDescent="0.25">
      <c r="A432" t="s">
        <v>1127</v>
      </c>
      <c r="B432" s="3">
        <v>46277</v>
      </c>
      <c r="C432" t="s">
        <v>105</v>
      </c>
      <c r="D432" t="s">
        <v>44</v>
      </c>
      <c r="E432">
        <v>57</v>
      </c>
      <c r="F432" t="s">
        <v>2</v>
      </c>
      <c r="G432" t="s">
        <v>40</v>
      </c>
      <c r="H432" t="s">
        <v>2925</v>
      </c>
      <c r="I432" s="2">
        <v>28000</v>
      </c>
      <c r="J432" t="s">
        <v>106</v>
      </c>
      <c r="K432" t="s">
        <v>2503</v>
      </c>
    </row>
    <row r="433" spans="1:11" x14ac:dyDescent="0.25">
      <c r="A433" t="s">
        <v>1128</v>
      </c>
      <c r="B433" s="3">
        <v>46277</v>
      </c>
      <c r="C433" t="s">
        <v>255</v>
      </c>
      <c r="D433" t="s">
        <v>234</v>
      </c>
      <c r="E433">
        <v>31</v>
      </c>
      <c r="F433" t="s">
        <v>2</v>
      </c>
      <c r="G433" t="s">
        <v>61</v>
      </c>
      <c r="H433" t="s">
        <v>2926</v>
      </c>
      <c r="I433" s="2">
        <v>392000</v>
      </c>
      <c r="J433" t="s">
        <v>38</v>
      </c>
      <c r="K433" t="s">
        <v>2500</v>
      </c>
    </row>
    <row r="434" spans="1:11" x14ac:dyDescent="0.25">
      <c r="A434" t="s">
        <v>1129</v>
      </c>
      <c r="B434" s="3">
        <v>46277</v>
      </c>
      <c r="C434" t="s">
        <v>228</v>
      </c>
      <c r="D434" t="s">
        <v>218</v>
      </c>
      <c r="E434">
        <v>36</v>
      </c>
      <c r="F434" t="s">
        <v>2</v>
      </c>
      <c r="G434" t="s">
        <v>48</v>
      </c>
      <c r="H434" t="s">
        <v>2927</v>
      </c>
      <c r="I434" s="2">
        <v>1819000</v>
      </c>
      <c r="J434" t="s">
        <v>67</v>
      </c>
      <c r="K434" t="s">
        <v>2509</v>
      </c>
    </row>
    <row r="435" spans="1:11" x14ac:dyDescent="0.25">
      <c r="A435" t="s">
        <v>1130</v>
      </c>
      <c r="B435" s="3">
        <v>46277</v>
      </c>
      <c r="C435" t="s">
        <v>395</v>
      </c>
      <c r="D435" t="s">
        <v>382</v>
      </c>
      <c r="E435">
        <v>23</v>
      </c>
      <c r="F435" t="s">
        <v>383</v>
      </c>
      <c r="G435" t="s">
        <v>61</v>
      </c>
      <c r="H435" t="s">
        <v>2928</v>
      </c>
      <c r="I435" s="2">
        <v>59000</v>
      </c>
      <c r="J435" t="s">
        <v>330</v>
      </c>
      <c r="K435" t="s">
        <v>2509</v>
      </c>
    </row>
    <row r="436" spans="1:11" x14ac:dyDescent="0.25">
      <c r="A436" t="s">
        <v>1131</v>
      </c>
      <c r="B436" s="3">
        <v>46277</v>
      </c>
      <c r="C436" t="s">
        <v>70</v>
      </c>
      <c r="D436" t="s">
        <v>1</v>
      </c>
      <c r="E436">
        <v>39</v>
      </c>
      <c r="F436" t="s">
        <v>2</v>
      </c>
      <c r="G436" t="s">
        <v>48</v>
      </c>
      <c r="H436" t="s">
        <v>2754</v>
      </c>
      <c r="I436" s="2">
        <v>59000</v>
      </c>
      <c r="J436" t="s">
        <v>71</v>
      </c>
      <c r="K436" t="s">
        <v>2509</v>
      </c>
    </row>
    <row r="437" spans="1:11" x14ac:dyDescent="0.25">
      <c r="A437" t="s">
        <v>1132</v>
      </c>
      <c r="B437" s="3">
        <v>46277</v>
      </c>
      <c r="C437" t="s">
        <v>618</v>
      </c>
      <c r="D437" t="s">
        <v>587</v>
      </c>
      <c r="E437">
        <v>25</v>
      </c>
      <c r="F437" t="s">
        <v>2</v>
      </c>
      <c r="G437" t="s">
        <v>40</v>
      </c>
      <c r="H437" t="s">
        <v>2929</v>
      </c>
      <c r="I437" s="2">
        <v>17000</v>
      </c>
      <c r="J437" t="s">
        <v>79</v>
      </c>
      <c r="K437" t="s">
        <v>2503</v>
      </c>
    </row>
    <row r="438" spans="1:11" x14ac:dyDescent="0.25">
      <c r="A438" t="s">
        <v>1133</v>
      </c>
      <c r="B438" s="3">
        <v>46277</v>
      </c>
      <c r="C438" t="s">
        <v>334</v>
      </c>
      <c r="D438" t="s">
        <v>218</v>
      </c>
      <c r="E438">
        <v>18</v>
      </c>
      <c r="F438" t="s">
        <v>2</v>
      </c>
      <c r="G438" t="s">
        <v>85</v>
      </c>
      <c r="H438" t="s">
        <v>2930</v>
      </c>
      <c r="I438" s="2">
        <v>2544000</v>
      </c>
      <c r="J438" t="s">
        <v>181</v>
      </c>
      <c r="K438" t="s">
        <v>2509</v>
      </c>
    </row>
    <row r="439" spans="1:11" x14ac:dyDescent="0.25">
      <c r="A439" t="s">
        <v>1134</v>
      </c>
      <c r="B439" s="3">
        <v>46277</v>
      </c>
      <c r="C439" t="s">
        <v>343</v>
      </c>
      <c r="D439" t="s">
        <v>344</v>
      </c>
      <c r="E439">
        <v>43</v>
      </c>
      <c r="F439" t="s">
        <v>346</v>
      </c>
      <c r="G439" t="s">
        <v>48</v>
      </c>
      <c r="H439" t="s">
        <v>2931</v>
      </c>
      <c r="I439" s="2">
        <v>51000</v>
      </c>
      <c r="J439" t="s">
        <v>147</v>
      </c>
      <c r="K439" t="s">
        <v>2509</v>
      </c>
    </row>
    <row r="440" spans="1:11" x14ac:dyDescent="0.25">
      <c r="A440" t="s">
        <v>1135</v>
      </c>
      <c r="B440" s="3">
        <v>46277</v>
      </c>
      <c r="C440" t="s">
        <v>267</v>
      </c>
      <c r="D440" t="s">
        <v>227</v>
      </c>
      <c r="E440">
        <v>4</v>
      </c>
      <c r="F440" t="s">
        <v>2</v>
      </c>
      <c r="G440" t="s">
        <v>17</v>
      </c>
      <c r="H440" t="s">
        <v>2932</v>
      </c>
      <c r="I440" s="2">
        <v>579000</v>
      </c>
      <c r="J440" t="s">
        <v>183</v>
      </c>
      <c r="K440" t="s">
        <v>2513</v>
      </c>
    </row>
    <row r="441" spans="1:11" x14ac:dyDescent="0.25">
      <c r="A441" t="s">
        <v>1136</v>
      </c>
      <c r="B441" s="3">
        <v>46277</v>
      </c>
      <c r="C441" t="s">
        <v>63</v>
      </c>
      <c r="D441" t="s">
        <v>26</v>
      </c>
      <c r="E441">
        <v>26</v>
      </c>
      <c r="F441" t="s">
        <v>2</v>
      </c>
      <c r="G441" t="s">
        <v>55</v>
      </c>
      <c r="H441" t="s">
        <v>2933</v>
      </c>
      <c r="I441" s="2">
        <v>515000</v>
      </c>
      <c r="J441" t="s">
        <v>64</v>
      </c>
      <c r="K441" t="s">
        <v>2509</v>
      </c>
    </row>
    <row r="442" spans="1:11" x14ac:dyDescent="0.25">
      <c r="A442" t="s">
        <v>1137</v>
      </c>
      <c r="B442" s="3">
        <v>46277</v>
      </c>
      <c r="C442" t="s">
        <v>343</v>
      </c>
      <c r="D442" t="s">
        <v>344</v>
      </c>
      <c r="E442">
        <v>58</v>
      </c>
      <c r="F442" t="s">
        <v>346</v>
      </c>
      <c r="G442" t="s">
        <v>48</v>
      </c>
      <c r="H442" t="s">
        <v>2934</v>
      </c>
      <c r="I442" s="2">
        <v>51000</v>
      </c>
      <c r="J442" t="s">
        <v>147</v>
      </c>
      <c r="K442" t="s">
        <v>2503</v>
      </c>
    </row>
    <row r="443" spans="1:11" x14ac:dyDescent="0.25">
      <c r="A443" t="s">
        <v>1138</v>
      </c>
      <c r="B443" s="3">
        <v>46277</v>
      </c>
      <c r="C443" t="s">
        <v>547</v>
      </c>
      <c r="D443" t="s">
        <v>481</v>
      </c>
      <c r="E443">
        <v>42</v>
      </c>
      <c r="F443" t="s">
        <v>2</v>
      </c>
      <c r="G443" t="s">
        <v>40</v>
      </c>
      <c r="H443" t="s">
        <v>2935</v>
      </c>
      <c r="I443" s="2">
        <v>263000</v>
      </c>
      <c r="J443" t="s">
        <v>69</v>
      </c>
      <c r="K443" t="s">
        <v>2500</v>
      </c>
    </row>
    <row r="444" spans="1:11" x14ac:dyDescent="0.25">
      <c r="A444" t="s">
        <v>1139</v>
      </c>
      <c r="B444" s="3">
        <v>46277</v>
      </c>
      <c r="C444" t="s">
        <v>462</v>
      </c>
      <c r="D444" t="s">
        <v>349</v>
      </c>
      <c r="E444">
        <v>34</v>
      </c>
      <c r="F444" t="s">
        <v>2</v>
      </c>
      <c r="G444" t="s">
        <v>61</v>
      </c>
      <c r="H444" t="s">
        <v>2936</v>
      </c>
      <c r="I444" s="2">
        <v>2000</v>
      </c>
      <c r="J444" t="s">
        <v>310</v>
      </c>
      <c r="K444" t="s">
        <v>2509</v>
      </c>
    </row>
    <row r="445" spans="1:11" x14ac:dyDescent="0.25">
      <c r="A445" t="s">
        <v>1140</v>
      </c>
      <c r="B445" s="3">
        <v>46277</v>
      </c>
      <c r="C445" t="s">
        <v>43</v>
      </c>
      <c r="D445" t="s">
        <v>44</v>
      </c>
      <c r="E445">
        <v>7</v>
      </c>
      <c r="F445" t="s">
        <v>2</v>
      </c>
      <c r="G445" t="s">
        <v>22</v>
      </c>
      <c r="H445" t="s">
        <v>2937</v>
      </c>
      <c r="I445" s="2">
        <v>88000</v>
      </c>
      <c r="J445" t="s">
        <v>45</v>
      </c>
      <c r="K445" t="s">
        <v>2500</v>
      </c>
    </row>
    <row r="446" spans="1:11" x14ac:dyDescent="0.25">
      <c r="A446" t="s">
        <v>1141</v>
      </c>
      <c r="B446" s="3">
        <v>46277</v>
      </c>
      <c r="C446" t="s">
        <v>649</v>
      </c>
      <c r="D446" t="s">
        <v>597</v>
      </c>
      <c r="E446">
        <v>69</v>
      </c>
      <c r="F446" t="s">
        <v>355</v>
      </c>
      <c r="G446" t="s">
        <v>85</v>
      </c>
      <c r="H446" t="s">
        <v>2938</v>
      </c>
      <c r="I446" s="2">
        <v>42000</v>
      </c>
      <c r="J446" t="s">
        <v>361</v>
      </c>
      <c r="K446" t="s">
        <v>2500</v>
      </c>
    </row>
    <row r="447" spans="1:11" x14ac:dyDescent="0.25">
      <c r="A447" t="s">
        <v>1142</v>
      </c>
      <c r="B447" s="3">
        <v>46277</v>
      </c>
      <c r="C447" t="s">
        <v>58</v>
      </c>
      <c r="D447" t="s">
        <v>21</v>
      </c>
      <c r="E447">
        <v>34</v>
      </c>
      <c r="F447" t="s">
        <v>2</v>
      </c>
      <c r="G447" t="s">
        <v>22</v>
      </c>
      <c r="H447" t="s">
        <v>2939</v>
      </c>
      <c r="I447" s="2">
        <v>48000</v>
      </c>
      <c r="J447" t="s">
        <v>59</v>
      </c>
      <c r="K447" t="s">
        <v>2500</v>
      </c>
    </row>
    <row r="448" spans="1:11" x14ac:dyDescent="0.25">
      <c r="A448" t="s">
        <v>1143</v>
      </c>
      <c r="B448" s="3">
        <v>46277</v>
      </c>
      <c r="C448" t="s">
        <v>571</v>
      </c>
      <c r="D448" t="s">
        <v>488</v>
      </c>
      <c r="E448">
        <v>61</v>
      </c>
      <c r="F448" t="s">
        <v>469</v>
      </c>
      <c r="G448" t="s">
        <v>81</v>
      </c>
      <c r="H448" t="s">
        <v>2940</v>
      </c>
      <c r="I448" s="2">
        <v>121000</v>
      </c>
      <c r="J448" t="s">
        <v>289</v>
      </c>
      <c r="K448" t="s">
        <v>2503</v>
      </c>
    </row>
    <row r="449" spans="1:11" x14ac:dyDescent="0.25">
      <c r="A449" t="s">
        <v>1144</v>
      </c>
      <c r="B449" s="3">
        <v>46277</v>
      </c>
      <c r="C449" t="s">
        <v>688</v>
      </c>
      <c r="D449" t="s">
        <v>589</v>
      </c>
      <c r="E449">
        <v>28</v>
      </c>
      <c r="F449" t="s">
        <v>469</v>
      </c>
      <c r="G449" t="s">
        <v>85</v>
      </c>
      <c r="H449" t="s">
        <v>2508</v>
      </c>
      <c r="I449" s="2">
        <v>16000</v>
      </c>
      <c r="J449" t="s">
        <v>133</v>
      </c>
      <c r="K449" t="s">
        <v>2500</v>
      </c>
    </row>
    <row r="450" spans="1:11" x14ac:dyDescent="0.25">
      <c r="A450" t="s">
        <v>1145</v>
      </c>
      <c r="B450" s="3">
        <v>46277</v>
      </c>
      <c r="C450" t="s">
        <v>683</v>
      </c>
      <c r="D450" t="s">
        <v>594</v>
      </c>
      <c r="E450">
        <v>67</v>
      </c>
      <c r="F450" t="s">
        <v>595</v>
      </c>
      <c r="G450" t="s">
        <v>55</v>
      </c>
      <c r="H450" t="s">
        <v>2743</v>
      </c>
      <c r="I450" s="2">
        <v>7000</v>
      </c>
      <c r="J450" t="s">
        <v>75</v>
      </c>
      <c r="K450" t="s">
        <v>2513</v>
      </c>
    </row>
    <row r="451" spans="1:11" x14ac:dyDescent="0.25">
      <c r="A451" t="s">
        <v>1146</v>
      </c>
      <c r="B451" s="3">
        <v>46277</v>
      </c>
      <c r="C451" t="s">
        <v>370</v>
      </c>
      <c r="D451" t="s">
        <v>344</v>
      </c>
      <c r="E451">
        <v>63</v>
      </c>
      <c r="F451" t="s">
        <v>346</v>
      </c>
      <c r="G451" t="s">
        <v>32</v>
      </c>
      <c r="H451" t="s">
        <v>2941</v>
      </c>
      <c r="I451" s="2">
        <v>60000</v>
      </c>
      <c r="J451" t="s">
        <v>24</v>
      </c>
      <c r="K451" t="s">
        <v>2500</v>
      </c>
    </row>
    <row r="452" spans="1:11" x14ac:dyDescent="0.25">
      <c r="A452" t="s">
        <v>1147</v>
      </c>
      <c r="B452" s="3">
        <v>46278</v>
      </c>
      <c r="C452" t="s">
        <v>74</v>
      </c>
      <c r="D452" t="s">
        <v>15</v>
      </c>
      <c r="E452">
        <v>4</v>
      </c>
      <c r="F452" t="s">
        <v>2</v>
      </c>
      <c r="G452" t="s">
        <v>36</v>
      </c>
      <c r="H452" t="s">
        <v>2942</v>
      </c>
      <c r="I452" s="2">
        <v>259000</v>
      </c>
      <c r="J452" t="s">
        <v>75</v>
      </c>
      <c r="K452" t="s">
        <v>2509</v>
      </c>
    </row>
    <row r="453" spans="1:11" x14ac:dyDescent="0.25">
      <c r="A453" t="s">
        <v>1148</v>
      </c>
      <c r="B453" s="3">
        <v>46278</v>
      </c>
      <c r="C453" t="s">
        <v>318</v>
      </c>
      <c r="D453" t="s">
        <v>240</v>
      </c>
      <c r="E453">
        <v>42</v>
      </c>
      <c r="F453" t="s">
        <v>2</v>
      </c>
      <c r="G453" t="s">
        <v>55</v>
      </c>
      <c r="H453" t="s">
        <v>2943</v>
      </c>
      <c r="I453" s="2">
        <v>553000</v>
      </c>
      <c r="J453" t="s">
        <v>24</v>
      </c>
      <c r="K453" t="s">
        <v>2500</v>
      </c>
    </row>
    <row r="454" spans="1:11" x14ac:dyDescent="0.25">
      <c r="A454" t="s">
        <v>1149</v>
      </c>
      <c r="B454" s="3">
        <v>46278</v>
      </c>
      <c r="C454" t="s">
        <v>307</v>
      </c>
      <c r="D454" t="s">
        <v>210</v>
      </c>
      <c r="E454">
        <v>43</v>
      </c>
      <c r="F454" t="s">
        <v>2</v>
      </c>
      <c r="G454" t="s">
        <v>61</v>
      </c>
      <c r="H454" t="s">
        <v>2944</v>
      </c>
      <c r="I454" s="2">
        <v>8538000</v>
      </c>
      <c r="J454" t="s">
        <v>57</v>
      </c>
      <c r="K454" t="s">
        <v>2503</v>
      </c>
    </row>
    <row r="455" spans="1:11" x14ac:dyDescent="0.25">
      <c r="A455" t="s">
        <v>1150</v>
      </c>
      <c r="B455" s="3">
        <v>46278</v>
      </c>
      <c r="C455" t="s">
        <v>466</v>
      </c>
      <c r="D455" t="s">
        <v>467</v>
      </c>
      <c r="E455">
        <v>67</v>
      </c>
      <c r="F455" t="s">
        <v>469</v>
      </c>
      <c r="G455" t="s">
        <v>40</v>
      </c>
      <c r="H455" t="s">
        <v>2945</v>
      </c>
      <c r="I455" s="2">
        <v>45000</v>
      </c>
      <c r="J455" t="s">
        <v>106</v>
      </c>
      <c r="K455" t="s">
        <v>2500</v>
      </c>
    </row>
    <row r="456" spans="1:11" x14ac:dyDescent="0.25">
      <c r="A456" t="s">
        <v>1151</v>
      </c>
      <c r="B456" s="3">
        <v>46278</v>
      </c>
      <c r="C456" t="s">
        <v>214</v>
      </c>
      <c r="D456" t="s">
        <v>210</v>
      </c>
      <c r="E456">
        <v>37</v>
      </c>
      <c r="F456" t="s">
        <v>2</v>
      </c>
      <c r="G456" t="s">
        <v>32</v>
      </c>
      <c r="H456" t="s">
        <v>2946</v>
      </c>
      <c r="I456" s="2">
        <v>10116000</v>
      </c>
      <c r="J456" t="s">
        <v>100</v>
      </c>
      <c r="K456" t="s">
        <v>2503</v>
      </c>
    </row>
    <row r="457" spans="1:11" x14ac:dyDescent="0.25">
      <c r="A457" t="s">
        <v>1152</v>
      </c>
      <c r="B457" s="3">
        <v>46278</v>
      </c>
      <c r="C457" t="s">
        <v>232</v>
      </c>
      <c r="D457" t="s">
        <v>225</v>
      </c>
      <c r="E457">
        <v>58</v>
      </c>
      <c r="F457" t="s">
        <v>2</v>
      </c>
      <c r="G457" t="s">
        <v>61</v>
      </c>
      <c r="H457" t="s">
        <v>2947</v>
      </c>
      <c r="I457" s="2">
        <v>560000</v>
      </c>
      <c r="J457" t="s">
        <v>30</v>
      </c>
      <c r="K457" t="s">
        <v>2509</v>
      </c>
    </row>
    <row r="458" spans="1:11" x14ac:dyDescent="0.25">
      <c r="A458" t="s">
        <v>1153</v>
      </c>
      <c r="B458" s="3">
        <v>46278</v>
      </c>
      <c r="C458" t="s">
        <v>209</v>
      </c>
      <c r="D458" t="s">
        <v>210</v>
      </c>
      <c r="E458">
        <v>26</v>
      </c>
      <c r="F458" t="s">
        <v>2</v>
      </c>
      <c r="G458" t="s">
        <v>55</v>
      </c>
      <c r="H458" t="s">
        <v>2948</v>
      </c>
      <c r="I458" s="2">
        <v>4229000</v>
      </c>
      <c r="J458" t="s">
        <v>183</v>
      </c>
      <c r="K458" t="s">
        <v>2503</v>
      </c>
    </row>
    <row r="459" spans="1:11" x14ac:dyDescent="0.25">
      <c r="A459" t="s">
        <v>1154</v>
      </c>
      <c r="B459" s="3">
        <v>46278</v>
      </c>
      <c r="C459" t="s">
        <v>46</v>
      </c>
      <c r="D459" t="s">
        <v>47</v>
      </c>
      <c r="E459">
        <v>67</v>
      </c>
      <c r="F459" t="s">
        <v>2</v>
      </c>
      <c r="G459" t="s">
        <v>48</v>
      </c>
      <c r="H459" t="s">
        <v>2949</v>
      </c>
      <c r="I459" s="2">
        <v>130000</v>
      </c>
      <c r="J459" t="s">
        <v>50</v>
      </c>
      <c r="K459" t="s">
        <v>2509</v>
      </c>
    </row>
    <row r="460" spans="1:11" x14ac:dyDescent="0.25">
      <c r="A460" t="s">
        <v>1155</v>
      </c>
      <c r="B460" s="3">
        <v>46278</v>
      </c>
      <c r="C460" t="s">
        <v>92</v>
      </c>
      <c r="D460" t="s">
        <v>47</v>
      </c>
      <c r="E460">
        <v>31</v>
      </c>
      <c r="F460" t="s">
        <v>2</v>
      </c>
      <c r="G460" t="s">
        <v>55</v>
      </c>
      <c r="H460" t="s">
        <v>2950</v>
      </c>
      <c r="I460" s="2">
        <v>294000</v>
      </c>
      <c r="J460" t="s">
        <v>93</v>
      </c>
      <c r="K460" t="s">
        <v>2509</v>
      </c>
    </row>
    <row r="461" spans="1:11" x14ac:dyDescent="0.25">
      <c r="A461" t="s">
        <v>1156</v>
      </c>
      <c r="B461" s="3">
        <v>46278</v>
      </c>
      <c r="C461" t="s">
        <v>256</v>
      </c>
      <c r="D461" t="s">
        <v>210</v>
      </c>
      <c r="E461">
        <v>1</v>
      </c>
      <c r="F461" t="s">
        <v>2</v>
      </c>
      <c r="G461" t="s">
        <v>81</v>
      </c>
      <c r="H461" t="s">
        <v>2951</v>
      </c>
      <c r="I461" s="2">
        <v>11002000</v>
      </c>
      <c r="J461" t="s">
        <v>257</v>
      </c>
      <c r="K461" t="s">
        <v>2500</v>
      </c>
    </row>
    <row r="462" spans="1:11" x14ac:dyDescent="0.25">
      <c r="A462" t="s">
        <v>1157</v>
      </c>
      <c r="B462" s="3">
        <v>46278</v>
      </c>
      <c r="C462" t="s">
        <v>307</v>
      </c>
      <c r="D462" t="s">
        <v>210</v>
      </c>
      <c r="E462">
        <v>69</v>
      </c>
      <c r="F462" t="s">
        <v>2</v>
      </c>
      <c r="G462" t="s">
        <v>61</v>
      </c>
      <c r="H462" t="s">
        <v>2952</v>
      </c>
      <c r="I462" s="2">
        <v>8538000</v>
      </c>
      <c r="J462" t="s">
        <v>57</v>
      </c>
      <c r="K462" t="s">
        <v>2509</v>
      </c>
    </row>
    <row r="463" spans="1:11" x14ac:dyDescent="0.25">
      <c r="A463" t="s">
        <v>1158</v>
      </c>
      <c r="B463" s="3">
        <v>46278</v>
      </c>
      <c r="C463" t="s">
        <v>681</v>
      </c>
      <c r="D463" t="s">
        <v>589</v>
      </c>
      <c r="E463">
        <v>2</v>
      </c>
      <c r="F463" t="s">
        <v>469</v>
      </c>
      <c r="G463" t="s">
        <v>36</v>
      </c>
      <c r="H463" t="s">
        <v>2953</v>
      </c>
      <c r="I463" s="2">
        <v>7000</v>
      </c>
      <c r="J463" t="s">
        <v>259</v>
      </c>
      <c r="K463" t="s">
        <v>2503</v>
      </c>
    </row>
    <row r="464" spans="1:11" x14ac:dyDescent="0.25">
      <c r="A464" t="s">
        <v>1159</v>
      </c>
      <c r="B464" s="3">
        <v>46278</v>
      </c>
      <c r="C464" t="s">
        <v>641</v>
      </c>
      <c r="D464" t="s">
        <v>589</v>
      </c>
      <c r="E464">
        <v>8</v>
      </c>
      <c r="F464" t="s">
        <v>469</v>
      </c>
      <c r="G464" t="s">
        <v>32</v>
      </c>
      <c r="H464" t="s">
        <v>2954</v>
      </c>
      <c r="I464" s="2">
        <v>21000</v>
      </c>
      <c r="J464" t="s">
        <v>124</v>
      </c>
      <c r="K464" t="s">
        <v>2500</v>
      </c>
    </row>
    <row r="465" spans="1:11" x14ac:dyDescent="0.25">
      <c r="A465" t="s">
        <v>1160</v>
      </c>
      <c r="B465" s="3">
        <v>46278</v>
      </c>
      <c r="C465" t="s">
        <v>328</v>
      </c>
      <c r="D465" t="s">
        <v>240</v>
      </c>
      <c r="E465">
        <v>44</v>
      </c>
      <c r="F465" t="s">
        <v>2</v>
      </c>
      <c r="G465" t="s">
        <v>85</v>
      </c>
      <c r="H465" t="s">
        <v>2955</v>
      </c>
      <c r="I465" s="2">
        <v>381000</v>
      </c>
      <c r="J465" t="s">
        <v>189</v>
      </c>
      <c r="K465" t="s">
        <v>2509</v>
      </c>
    </row>
    <row r="466" spans="1:11" x14ac:dyDescent="0.25">
      <c r="A466" t="s">
        <v>1161</v>
      </c>
      <c r="B466" s="3">
        <v>46278</v>
      </c>
      <c r="C466" t="s">
        <v>200</v>
      </c>
      <c r="D466" t="s">
        <v>66</v>
      </c>
      <c r="E466">
        <v>8</v>
      </c>
      <c r="F466" t="s">
        <v>2</v>
      </c>
      <c r="G466" t="s">
        <v>81</v>
      </c>
      <c r="H466" t="s">
        <v>2956</v>
      </c>
      <c r="I466" s="2">
        <v>225000</v>
      </c>
      <c r="J466" t="s">
        <v>201</v>
      </c>
      <c r="K466" t="s">
        <v>2513</v>
      </c>
    </row>
    <row r="467" spans="1:11" x14ac:dyDescent="0.25">
      <c r="A467" t="s">
        <v>1162</v>
      </c>
      <c r="B467" s="3">
        <v>46278</v>
      </c>
      <c r="C467" t="s">
        <v>428</v>
      </c>
      <c r="D467" t="s">
        <v>357</v>
      </c>
      <c r="E467">
        <v>55</v>
      </c>
      <c r="F467" t="s">
        <v>358</v>
      </c>
      <c r="G467" t="s">
        <v>55</v>
      </c>
      <c r="H467" t="s">
        <v>2957</v>
      </c>
      <c r="I467" s="2">
        <v>30000</v>
      </c>
      <c r="J467" t="s">
        <v>38</v>
      </c>
      <c r="K467" t="s">
        <v>2509</v>
      </c>
    </row>
    <row r="468" spans="1:11" x14ac:dyDescent="0.25">
      <c r="A468" t="s">
        <v>1163</v>
      </c>
      <c r="B468" s="3">
        <v>46278</v>
      </c>
      <c r="C468" t="s">
        <v>466</v>
      </c>
      <c r="D468" t="s">
        <v>467</v>
      </c>
      <c r="E468">
        <v>24</v>
      </c>
      <c r="F468" t="s">
        <v>469</v>
      </c>
      <c r="G468" t="s">
        <v>40</v>
      </c>
      <c r="H468" t="s">
        <v>2958</v>
      </c>
      <c r="I468" s="2">
        <v>45000</v>
      </c>
      <c r="J468" t="s">
        <v>106</v>
      </c>
      <c r="K468" t="s">
        <v>2500</v>
      </c>
    </row>
    <row r="469" spans="1:11" x14ac:dyDescent="0.25">
      <c r="A469" t="s">
        <v>1164</v>
      </c>
      <c r="B469" s="3">
        <v>46278</v>
      </c>
      <c r="C469" t="s">
        <v>662</v>
      </c>
      <c r="D469" t="s">
        <v>599</v>
      </c>
      <c r="E469">
        <v>1</v>
      </c>
      <c r="F469" t="s">
        <v>2</v>
      </c>
      <c r="G469" t="s">
        <v>32</v>
      </c>
      <c r="H469" t="s">
        <v>2959</v>
      </c>
      <c r="I469" s="2">
        <v>84000</v>
      </c>
      <c r="J469" t="s">
        <v>83</v>
      </c>
      <c r="K469" t="s">
        <v>2503</v>
      </c>
    </row>
    <row r="470" spans="1:11" x14ac:dyDescent="0.25">
      <c r="A470" t="s">
        <v>1165</v>
      </c>
      <c r="B470" s="3">
        <v>46278</v>
      </c>
      <c r="C470" t="s">
        <v>450</v>
      </c>
      <c r="D470" t="s">
        <v>349</v>
      </c>
      <c r="E470">
        <v>63</v>
      </c>
      <c r="F470" t="s">
        <v>2</v>
      </c>
      <c r="G470" t="s">
        <v>22</v>
      </c>
      <c r="H470" t="s">
        <v>2960</v>
      </c>
      <c r="I470" s="2">
        <v>15000</v>
      </c>
      <c r="J470" t="s">
        <v>121</v>
      </c>
      <c r="K470" t="s">
        <v>2513</v>
      </c>
    </row>
    <row r="471" spans="1:11" x14ac:dyDescent="0.25">
      <c r="A471" t="s">
        <v>1166</v>
      </c>
      <c r="B471" s="3">
        <v>46278</v>
      </c>
      <c r="C471" t="s">
        <v>426</v>
      </c>
      <c r="D471" t="s">
        <v>357</v>
      </c>
      <c r="E471">
        <v>24</v>
      </c>
      <c r="F471" t="s">
        <v>358</v>
      </c>
      <c r="G471" t="s">
        <v>40</v>
      </c>
      <c r="H471" t="s">
        <v>2961</v>
      </c>
      <c r="I471" s="2">
        <v>25000</v>
      </c>
      <c r="J471" t="s">
        <v>42</v>
      </c>
      <c r="K471" t="s">
        <v>2513</v>
      </c>
    </row>
    <row r="472" spans="1:11" x14ac:dyDescent="0.25">
      <c r="A472" t="s">
        <v>1167</v>
      </c>
      <c r="B472" s="3">
        <v>46278</v>
      </c>
      <c r="C472" t="s">
        <v>549</v>
      </c>
      <c r="D472" t="s">
        <v>474</v>
      </c>
      <c r="E472">
        <v>32</v>
      </c>
      <c r="F472" t="s">
        <v>2</v>
      </c>
      <c r="G472" t="s">
        <v>81</v>
      </c>
      <c r="H472" t="s">
        <v>2962</v>
      </c>
      <c r="I472" s="2">
        <v>11000</v>
      </c>
      <c r="J472" t="s">
        <v>297</v>
      </c>
      <c r="K472" t="s">
        <v>2513</v>
      </c>
    </row>
    <row r="473" spans="1:11" x14ac:dyDescent="0.25">
      <c r="A473" t="s">
        <v>1168</v>
      </c>
      <c r="B473" s="3">
        <v>46278</v>
      </c>
      <c r="C473" t="s">
        <v>191</v>
      </c>
      <c r="D473" t="s">
        <v>163</v>
      </c>
      <c r="E473">
        <v>21</v>
      </c>
      <c r="F473" t="s">
        <v>2</v>
      </c>
      <c r="G473" t="s">
        <v>48</v>
      </c>
      <c r="H473" t="s">
        <v>2963</v>
      </c>
      <c r="I473" s="2">
        <v>26000</v>
      </c>
      <c r="J473" t="s">
        <v>95</v>
      </c>
      <c r="K473" t="s">
        <v>2500</v>
      </c>
    </row>
    <row r="474" spans="1:11" x14ac:dyDescent="0.25">
      <c r="A474" t="s">
        <v>1169</v>
      </c>
      <c r="B474" s="3">
        <v>46278</v>
      </c>
      <c r="C474" t="s">
        <v>332</v>
      </c>
      <c r="D474" t="s">
        <v>223</v>
      </c>
      <c r="E474">
        <v>57</v>
      </c>
      <c r="F474" t="s">
        <v>2</v>
      </c>
      <c r="G474" t="s">
        <v>48</v>
      </c>
      <c r="H474" t="s">
        <v>2964</v>
      </c>
      <c r="I474" s="2">
        <v>481000</v>
      </c>
      <c r="J474" t="s">
        <v>279</v>
      </c>
      <c r="K474" t="s">
        <v>2513</v>
      </c>
    </row>
    <row r="475" spans="1:11" x14ac:dyDescent="0.25">
      <c r="A475" t="s">
        <v>1170</v>
      </c>
      <c r="B475" s="3">
        <v>46278</v>
      </c>
      <c r="C475" t="s">
        <v>197</v>
      </c>
      <c r="D475" t="s">
        <v>21</v>
      </c>
      <c r="E475">
        <v>33</v>
      </c>
      <c r="F475" t="s">
        <v>2</v>
      </c>
      <c r="G475" t="s">
        <v>85</v>
      </c>
      <c r="H475" t="s">
        <v>2965</v>
      </c>
      <c r="I475" s="2">
        <v>26000</v>
      </c>
      <c r="J475" t="s">
        <v>171</v>
      </c>
      <c r="K475" t="s">
        <v>2500</v>
      </c>
    </row>
    <row r="476" spans="1:11" x14ac:dyDescent="0.25">
      <c r="A476" t="s">
        <v>1171</v>
      </c>
      <c r="B476" s="3">
        <v>46278</v>
      </c>
      <c r="C476" t="s">
        <v>446</v>
      </c>
      <c r="D476" t="s">
        <v>382</v>
      </c>
      <c r="E476">
        <v>5</v>
      </c>
      <c r="F476" t="s">
        <v>383</v>
      </c>
      <c r="G476" t="s">
        <v>32</v>
      </c>
      <c r="H476" t="s">
        <v>2966</v>
      </c>
      <c r="I476" s="2">
        <v>89000</v>
      </c>
      <c r="J476" t="s">
        <v>183</v>
      </c>
      <c r="K476" t="s">
        <v>2503</v>
      </c>
    </row>
    <row r="477" spans="1:11" x14ac:dyDescent="0.25">
      <c r="A477" t="s">
        <v>1172</v>
      </c>
      <c r="B477" s="3">
        <v>46278</v>
      </c>
      <c r="C477" t="s">
        <v>546</v>
      </c>
      <c r="D477" t="s">
        <v>490</v>
      </c>
      <c r="E477">
        <v>37</v>
      </c>
      <c r="F477" t="s">
        <v>355</v>
      </c>
      <c r="G477" t="s">
        <v>36</v>
      </c>
      <c r="H477" t="s">
        <v>2967</v>
      </c>
      <c r="I477" s="2">
        <v>23000</v>
      </c>
      <c r="J477" t="s">
        <v>57</v>
      </c>
      <c r="K477" t="s">
        <v>2500</v>
      </c>
    </row>
    <row r="478" spans="1:11" x14ac:dyDescent="0.25">
      <c r="A478" t="s">
        <v>1173</v>
      </c>
      <c r="B478" s="3">
        <v>46278</v>
      </c>
      <c r="C478" t="s">
        <v>436</v>
      </c>
      <c r="D478" t="s">
        <v>366</v>
      </c>
      <c r="E478">
        <v>48</v>
      </c>
      <c r="F478" t="s">
        <v>2</v>
      </c>
      <c r="G478" t="s">
        <v>85</v>
      </c>
      <c r="H478" t="s">
        <v>2968</v>
      </c>
      <c r="I478" s="2">
        <v>51000</v>
      </c>
      <c r="J478" t="s">
        <v>19</v>
      </c>
      <c r="K478" t="s">
        <v>2503</v>
      </c>
    </row>
    <row r="479" spans="1:11" x14ac:dyDescent="0.25">
      <c r="A479" t="s">
        <v>1174</v>
      </c>
      <c r="B479" s="3">
        <v>46278</v>
      </c>
      <c r="C479" t="s">
        <v>212</v>
      </c>
      <c r="D479" t="s">
        <v>213</v>
      </c>
      <c r="E479">
        <v>7</v>
      </c>
      <c r="F479" t="s">
        <v>2</v>
      </c>
      <c r="G479" t="s">
        <v>36</v>
      </c>
      <c r="H479" t="s">
        <v>2969</v>
      </c>
      <c r="I479" s="2">
        <v>2642000</v>
      </c>
      <c r="J479" t="s">
        <v>129</v>
      </c>
      <c r="K479" t="s">
        <v>2509</v>
      </c>
    </row>
    <row r="480" spans="1:11" x14ac:dyDescent="0.25">
      <c r="A480" t="s">
        <v>1175</v>
      </c>
      <c r="B480" s="3">
        <v>46278</v>
      </c>
      <c r="C480" t="s">
        <v>638</v>
      </c>
      <c r="D480" t="s">
        <v>612</v>
      </c>
      <c r="E480">
        <v>49</v>
      </c>
      <c r="F480" t="s">
        <v>2</v>
      </c>
      <c r="G480" t="s">
        <v>81</v>
      </c>
      <c r="H480" t="s">
        <v>2970</v>
      </c>
      <c r="I480" s="2">
        <v>29000</v>
      </c>
      <c r="J480" t="s">
        <v>100</v>
      </c>
      <c r="K480" t="s">
        <v>2500</v>
      </c>
    </row>
    <row r="481" spans="1:11" x14ac:dyDescent="0.25">
      <c r="A481" t="s">
        <v>1176</v>
      </c>
      <c r="B481" s="3">
        <v>46278</v>
      </c>
      <c r="C481" t="s">
        <v>489</v>
      </c>
      <c r="D481" t="s">
        <v>490</v>
      </c>
      <c r="E481">
        <v>25</v>
      </c>
      <c r="F481" t="s">
        <v>355</v>
      </c>
      <c r="G481" t="s">
        <v>22</v>
      </c>
      <c r="H481" t="s">
        <v>2971</v>
      </c>
      <c r="I481" s="2">
        <v>40000</v>
      </c>
      <c r="J481" t="s">
        <v>183</v>
      </c>
      <c r="K481" t="s">
        <v>2509</v>
      </c>
    </row>
    <row r="482" spans="1:11" x14ac:dyDescent="0.25">
      <c r="A482" t="s">
        <v>1177</v>
      </c>
      <c r="B482" s="3">
        <v>46278</v>
      </c>
      <c r="C482" t="s">
        <v>238</v>
      </c>
      <c r="D482" t="s">
        <v>216</v>
      </c>
      <c r="E482">
        <v>32</v>
      </c>
      <c r="F482" t="s">
        <v>2</v>
      </c>
      <c r="G482" t="s">
        <v>55</v>
      </c>
      <c r="H482" t="s">
        <v>2972</v>
      </c>
      <c r="I482" s="2">
        <v>789000</v>
      </c>
      <c r="J482" t="s">
        <v>126</v>
      </c>
      <c r="K482" t="s">
        <v>2513</v>
      </c>
    </row>
    <row r="483" spans="1:11" x14ac:dyDescent="0.25">
      <c r="A483" t="s">
        <v>1178</v>
      </c>
      <c r="B483" s="3">
        <v>46278</v>
      </c>
      <c r="C483" t="s">
        <v>413</v>
      </c>
      <c r="D483" t="s">
        <v>360</v>
      </c>
      <c r="E483">
        <v>11</v>
      </c>
      <c r="F483" t="s">
        <v>358</v>
      </c>
      <c r="G483" t="s">
        <v>17</v>
      </c>
      <c r="H483" t="s">
        <v>2973</v>
      </c>
      <c r="I483" s="2">
        <v>18000</v>
      </c>
      <c r="J483" t="s">
        <v>368</v>
      </c>
      <c r="K483" t="s">
        <v>2513</v>
      </c>
    </row>
    <row r="484" spans="1:11" x14ac:dyDescent="0.25">
      <c r="A484" t="s">
        <v>1179</v>
      </c>
      <c r="B484" s="3">
        <v>46278</v>
      </c>
      <c r="C484" t="s">
        <v>191</v>
      </c>
      <c r="D484" t="s">
        <v>163</v>
      </c>
      <c r="E484">
        <v>36</v>
      </c>
      <c r="F484" t="s">
        <v>2</v>
      </c>
      <c r="G484" t="s">
        <v>48</v>
      </c>
      <c r="H484" t="s">
        <v>2974</v>
      </c>
      <c r="I484" s="2">
        <v>26000</v>
      </c>
      <c r="J484" t="s">
        <v>95</v>
      </c>
      <c r="K484" t="s">
        <v>2500</v>
      </c>
    </row>
    <row r="485" spans="1:11" x14ac:dyDescent="0.25">
      <c r="A485" t="s">
        <v>1180</v>
      </c>
      <c r="B485" s="3">
        <v>46278</v>
      </c>
      <c r="C485" t="s">
        <v>430</v>
      </c>
      <c r="D485" t="s">
        <v>349</v>
      </c>
      <c r="E485">
        <v>47</v>
      </c>
      <c r="F485" t="s">
        <v>2</v>
      </c>
      <c r="G485" t="s">
        <v>22</v>
      </c>
      <c r="H485" t="s">
        <v>2975</v>
      </c>
      <c r="I485" s="2">
        <v>10000</v>
      </c>
      <c r="J485" t="s">
        <v>64</v>
      </c>
      <c r="K485" t="s">
        <v>2513</v>
      </c>
    </row>
    <row r="486" spans="1:11" x14ac:dyDescent="0.25">
      <c r="A486" t="s">
        <v>1181</v>
      </c>
      <c r="B486" s="3">
        <v>46278</v>
      </c>
      <c r="C486" t="s">
        <v>518</v>
      </c>
      <c r="D486" t="s">
        <v>467</v>
      </c>
      <c r="E486">
        <v>1</v>
      </c>
      <c r="F486" t="s">
        <v>469</v>
      </c>
      <c r="G486" t="s">
        <v>40</v>
      </c>
      <c r="H486" t="s">
        <v>2976</v>
      </c>
      <c r="I486" s="2">
        <v>36000</v>
      </c>
      <c r="J486" t="s">
        <v>98</v>
      </c>
      <c r="K486" t="s">
        <v>2500</v>
      </c>
    </row>
    <row r="487" spans="1:11" x14ac:dyDescent="0.25">
      <c r="A487" t="s">
        <v>1182</v>
      </c>
      <c r="B487" s="3">
        <v>46278</v>
      </c>
      <c r="C487" t="s">
        <v>270</v>
      </c>
      <c r="D487" t="s">
        <v>213</v>
      </c>
      <c r="E487">
        <v>1</v>
      </c>
      <c r="F487" t="s">
        <v>2</v>
      </c>
      <c r="G487" t="s">
        <v>40</v>
      </c>
      <c r="H487" t="s">
        <v>2977</v>
      </c>
      <c r="I487" s="2">
        <v>5152000</v>
      </c>
      <c r="J487" t="s">
        <v>64</v>
      </c>
      <c r="K487" t="s">
        <v>2509</v>
      </c>
    </row>
    <row r="488" spans="1:11" x14ac:dyDescent="0.25">
      <c r="A488" t="s">
        <v>1183</v>
      </c>
      <c r="B488" s="3">
        <v>46278</v>
      </c>
      <c r="C488" t="s">
        <v>125</v>
      </c>
      <c r="D488" t="s">
        <v>15</v>
      </c>
      <c r="E488">
        <v>48</v>
      </c>
      <c r="F488" t="s">
        <v>2</v>
      </c>
      <c r="G488" t="s">
        <v>85</v>
      </c>
      <c r="H488" t="s">
        <v>2978</v>
      </c>
      <c r="I488" s="2">
        <v>87000</v>
      </c>
      <c r="J488" t="s">
        <v>126</v>
      </c>
      <c r="K488" t="s">
        <v>2500</v>
      </c>
    </row>
    <row r="489" spans="1:11" x14ac:dyDescent="0.25">
      <c r="A489" t="s">
        <v>1184</v>
      </c>
      <c r="B489" s="3">
        <v>46279</v>
      </c>
      <c r="C489" t="s">
        <v>283</v>
      </c>
      <c r="D489" t="s">
        <v>234</v>
      </c>
      <c r="E489">
        <v>21</v>
      </c>
      <c r="F489" t="s">
        <v>2</v>
      </c>
      <c r="G489" t="s">
        <v>36</v>
      </c>
      <c r="H489" t="s">
        <v>2979</v>
      </c>
      <c r="I489" s="2">
        <v>490000</v>
      </c>
      <c r="J489" t="s">
        <v>59</v>
      </c>
      <c r="K489" t="s">
        <v>2503</v>
      </c>
    </row>
    <row r="490" spans="1:11" x14ac:dyDescent="0.25">
      <c r="A490" t="s">
        <v>1185</v>
      </c>
      <c r="B490" s="3">
        <v>46279</v>
      </c>
      <c r="C490" t="s">
        <v>501</v>
      </c>
      <c r="D490" t="s">
        <v>502</v>
      </c>
      <c r="E490">
        <v>64</v>
      </c>
      <c r="F490" t="s">
        <v>469</v>
      </c>
      <c r="G490" t="s">
        <v>40</v>
      </c>
      <c r="H490" t="s">
        <v>2980</v>
      </c>
      <c r="I490" s="2">
        <v>112000</v>
      </c>
      <c r="J490" t="s">
        <v>292</v>
      </c>
      <c r="K490" t="s">
        <v>2509</v>
      </c>
    </row>
    <row r="491" spans="1:11" x14ac:dyDescent="0.25">
      <c r="A491" t="s">
        <v>1186</v>
      </c>
      <c r="B491" s="3">
        <v>46279</v>
      </c>
      <c r="C491" t="s">
        <v>536</v>
      </c>
      <c r="D491" t="s">
        <v>481</v>
      </c>
      <c r="E491">
        <v>8</v>
      </c>
      <c r="F491" t="s">
        <v>2</v>
      </c>
      <c r="G491" t="s">
        <v>22</v>
      </c>
      <c r="H491" t="s">
        <v>2981</v>
      </c>
      <c r="I491" s="2">
        <v>193000</v>
      </c>
      <c r="J491" t="s">
        <v>221</v>
      </c>
      <c r="K491" t="s">
        <v>2500</v>
      </c>
    </row>
    <row r="492" spans="1:11" x14ac:dyDescent="0.25">
      <c r="A492" t="s">
        <v>1187</v>
      </c>
      <c r="B492" s="3">
        <v>46279</v>
      </c>
      <c r="C492" t="s">
        <v>248</v>
      </c>
      <c r="D492" t="s">
        <v>240</v>
      </c>
      <c r="E492">
        <v>22</v>
      </c>
      <c r="F492" t="s">
        <v>2</v>
      </c>
      <c r="G492" t="s">
        <v>55</v>
      </c>
      <c r="H492" t="s">
        <v>2982</v>
      </c>
      <c r="I492" s="2">
        <v>468000</v>
      </c>
      <c r="J492" t="s">
        <v>126</v>
      </c>
      <c r="K492" t="s">
        <v>2500</v>
      </c>
    </row>
    <row r="493" spans="1:11" x14ac:dyDescent="0.25">
      <c r="A493" t="s">
        <v>1188</v>
      </c>
      <c r="B493" s="3">
        <v>46279</v>
      </c>
      <c r="C493" t="s">
        <v>557</v>
      </c>
      <c r="D493" t="s">
        <v>474</v>
      </c>
      <c r="E493">
        <v>54</v>
      </c>
      <c r="F493" t="s">
        <v>2</v>
      </c>
      <c r="G493" t="s">
        <v>22</v>
      </c>
      <c r="H493" t="s">
        <v>2983</v>
      </c>
      <c r="I493" s="2">
        <v>2000</v>
      </c>
      <c r="J493" t="s">
        <v>297</v>
      </c>
      <c r="K493" t="s">
        <v>2500</v>
      </c>
    </row>
    <row r="494" spans="1:11" x14ac:dyDescent="0.25">
      <c r="A494" t="s">
        <v>1189</v>
      </c>
      <c r="B494" s="3">
        <v>46279</v>
      </c>
      <c r="C494" t="s">
        <v>53</v>
      </c>
      <c r="D494" t="s">
        <v>54</v>
      </c>
      <c r="E494">
        <v>21</v>
      </c>
      <c r="F494" t="s">
        <v>2</v>
      </c>
      <c r="G494" t="s">
        <v>55</v>
      </c>
      <c r="H494" t="s">
        <v>2984</v>
      </c>
      <c r="I494" s="2">
        <v>68000</v>
      </c>
      <c r="J494" t="s">
        <v>57</v>
      </c>
      <c r="K494" t="s">
        <v>2509</v>
      </c>
    </row>
    <row r="495" spans="1:11" x14ac:dyDescent="0.25">
      <c r="A495" t="s">
        <v>1190</v>
      </c>
      <c r="B495" s="3">
        <v>46279</v>
      </c>
      <c r="C495" t="s">
        <v>128</v>
      </c>
      <c r="D495" t="s">
        <v>47</v>
      </c>
      <c r="E495">
        <v>37</v>
      </c>
      <c r="F495" t="s">
        <v>2</v>
      </c>
      <c r="G495" t="s">
        <v>36</v>
      </c>
      <c r="H495" t="s">
        <v>2985</v>
      </c>
      <c r="I495" s="2">
        <v>170000</v>
      </c>
      <c r="J495" t="s">
        <v>129</v>
      </c>
      <c r="K495" t="s">
        <v>2513</v>
      </c>
    </row>
    <row r="496" spans="1:11" x14ac:dyDescent="0.25">
      <c r="A496" t="s">
        <v>1191</v>
      </c>
      <c r="B496" s="3">
        <v>46279</v>
      </c>
      <c r="C496" t="s">
        <v>404</v>
      </c>
      <c r="D496" t="s">
        <v>357</v>
      </c>
      <c r="E496">
        <v>58</v>
      </c>
      <c r="F496" t="s">
        <v>358</v>
      </c>
      <c r="G496" t="s">
        <v>32</v>
      </c>
      <c r="H496" t="s">
        <v>2986</v>
      </c>
      <c r="I496" s="2">
        <v>25000</v>
      </c>
      <c r="J496" t="s">
        <v>149</v>
      </c>
      <c r="K496" t="s">
        <v>2503</v>
      </c>
    </row>
    <row r="497" spans="1:11" x14ac:dyDescent="0.25">
      <c r="A497" t="s">
        <v>1192</v>
      </c>
      <c r="B497" s="3">
        <v>46279</v>
      </c>
      <c r="C497" t="s">
        <v>153</v>
      </c>
      <c r="D497" t="s">
        <v>26</v>
      </c>
      <c r="E497">
        <v>17</v>
      </c>
      <c r="F497" t="s">
        <v>2</v>
      </c>
      <c r="G497" t="s">
        <v>22</v>
      </c>
      <c r="H497" t="s">
        <v>2987</v>
      </c>
      <c r="I497" s="2">
        <v>310000</v>
      </c>
      <c r="J497" t="s">
        <v>93</v>
      </c>
      <c r="K497" t="s">
        <v>2509</v>
      </c>
    </row>
    <row r="498" spans="1:11" x14ac:dyDescent="0.25">
      <c r="A498" t="s">
        <v>1193</v>
      </c>
      <c r="B498" s="3">
        <v>46279</v>
      </c>
      <c r="C498" t="s">
        <v>563</v>
      </c>
      <c r="D498" t="s">
        <v>479</v>
      </c>
      <c r="E498">
        <v>51</v>
      </c>
      <c r="F498" t="s">
        <v>469</v>
      </c>
      <c r="G498" t="s">
        <v>32</v>
      </c>
      <c r="H498" t="s">
        <v>2988</v>
      </c>
      <c r="I498" s="2">
        <v>10000</v>
      </c>
      <c r="J498" t="s">
        <v>287</v>
      </c>
      <c r="K498" t="s">
        <v>2500</v>
      </c>
    </row>
    <row r="499" spans="1:11" x14ac:dyDescent="0.25">
      <c r="A499" t="s">
        <v>1194</v>
      </c>
      <c r="B499" s="3">
        <v>46279</v>
      </c>
      <c r="C499" t="s">
        <v>620</v>
      </c>
      <c r="D499" t="s">
        <v>587</v>
      </c>
      <c r="E499">
        <v>6</v>
      </c>
      <c r="F499" t="s">
        <v>2</v>
      </c>
      <c r="G499" t="s">
        <v>36</v>
      </c>
      <c r="H499" t="s">
        <v>2989</v>
      </c>
      <c r="I499" s="2">
        <v>49000</v>
      </c>
      <c r="J499" t="s">
        <v>129</v>
      </c>
      <c r="K499" t="s">
        <v>2503</v>
      </c>
    </row>
    <row r="500" spans="1:11" x14ac:dyDescent="0.25">
      <c r="A500" t="s">
        <v>1195</v>
      </c>
      <c r="B500" s="3">
        <v>46279</v>
      </c>
      <c r="C500" t="s">
        <v>523</v>
      </c>
      <c r="D500" t="s">
        <v>481</v>
      </c>
      <c r="E500">
        <v>60</v>
      </c>
      <c r="F500" t="s">
        <v>2</v>
      </c>
      <c r="G500" t="s">
        <v>40</v>
      </c>
      <c r="H500" t="s">
        <v>2821</v>
      </c>
      <c r="I500" s="2">
        <v>292000</v>
      </c>
      <c r="J500" t="s">
        <v>175</v>
      </c>
      <c r="K500" t="s">
        <v>2513</v>
      </c>
    </row>
    <row r="501" spans="1:11" x14ac:dyDescent="0.25">
      <c r="A501" t="s">
        <v>1196</v>
      </c>
      <c r="B501" s="3">
        <v>46279</v>
      </c>
      <c r="C501" t="s">
        <v>275</v>
      </c>
      <c r="D501" t="s">
        <v>218</v>
      </c>
      <c r="E501">
        <v>30</v>
      </c>
      <c r="F501" t="s">
        <v>2</v>
      </c>
      <c r="G501" t="s">
        <v>55</v>
      </c>
      <c r="H501" t="s">
        <v>2990</v>
      </c>
      <c r="I501" s="2">
        <v>1530000</v>
      </c>
      <c r="J501" t="s">
        <v>259</v>
      </c>
      <c r="K501" t="s">
        <v>2500</v>
      </c>
    </row>
    <row r="502" spans="1:11" x14ac:dyDescent="0.25">
      <c r="A502" t="s">
        <v>1197</v>
      </c>
      <c r="B502" s="3">
        <v>46279</v>
      </c>
      <c r="C502" t="s">
        <v>638</v>
      </c>
      <c r="D502" t="s">
        <v>612</v>
      </c>
      <c r="E502">
        <v>40</v>
      </c>
      <c r="F502" t="s">
        <v>2</v>
      </c>
      <c r="G502" t="s">
        <v>81</v>
      </c>
      <c r="H502" t="s">
        <v>2991</v>
      </c>
      <c r="I502" s="2">
        <v>29000</v>
      </c>
      <c r="J502" t="s">
        <v>100</v>
      </c>
      <c r="K502" t="s">
        <v>2509</v>
      </c>
    </row>
    <row r="503" spans="1:11" x14ac:dyDescent="0.25">
      <c r="A503" t="s">
        <v>1198</v>
      </c>
      <c r="B503" s="3">
        <v>46279</v>
      </c>
      <c r="C503" t="s">
        <v>535</v>
      </c>
      <c r="D503" t="s">
        <v>467</v>
      </c>
      <c r="E503">
        <v>59</v>
      </c>
      <c r="F503" t="s">
        <v>469</v>
      </c>
      <c r="G503" t="s">
        <v>17</v>
      </c>
      <c r="H503" t="s">
        <v>2992</v>
      </c>
      <c r="I503" s="2">
        <v>46000</v>
      </c>
      <c r="J503" t="s">
        <v>327</v>
      </c>
      <c r="K503" t="s">
        <v>2500</v>
      </c>
    </row>
    <row r="504" spans="1:11" x14ac:dyDescent="0.25">
      <c r="A504" t="s">
        <v>1199</v>
      </c>
      <c r="B504" s="3">
        <v>46279</v>
      </c>
      <c r="C504" t="s">
        <v>190</v>
      </c>
      <c r="D504" t="s">
        <v>29</v>
      </c>
      <c r="E504">
        <v>45</v>
      </c>
      <c r="F504" t="s">
        <v>2</v>
      </c>
      <c r="G504" t="s">
        <v>48</v>
      </c>
      <c r="H504" t="s">
        <v>2993</v>
      </c>
      <c r="I504" s="2">
        <v>252000</v>
      </c>
      <c r="J504" t="s">
        <v>77</v>
      </c>
      <c r="K504" t="s">
        <v>2503</v>
      </c>
    </row>
    <row r="505" spans="1:11" x14ac:dyDescent="0.25">
      <c r="A505" t="s">
        <v>1200</v>
      </c>
      <c r="B505" s="3">
        <v>46279</v>
      </c>
      <c r="C505" t="s">
        <v>251</v>
      </c>
      <c r="D505" t="s">
        <v>216</v>
      </c>
      <c r="E505">
        <v>14</v>
      </c>
      <c r="F505" t="s">
        <v>2</v>
      </c>
      <c r="G505" t="s">
        <v>36</v>
      </c>
      <c r="H505" t="s">
        <v>2994</v>
      </c>
      <c r="I505" s="2">
        <v>445000</v>
      </c>
      <c r="J505" t="s">
        <v>71</v>
      </c>
      <c r="K505" t="s">
        <v>2500</v>
      </c>
    </row>
    <row r="506" spans="1:11" x14ac:dyDescent="0.25">
      <c r="A506" t="s">
        <v>1201</v>
      </c>
      <c r="B506" s="3">
        <v>46279</v>
      </c>
      <c r="C506" t="s">
        <v>275</v>
      </c>
      <c r="D506" t="s">
        <v>218</v>
      </c>
      <c r="E506">
        <v>56</v>
      </c>
      <c r="F506" t="s">
        <v>2</v>
      </c>
      <c r="G506" t="s">
        <v>55</v>
      </c>
      <c r="H506" t="s">
        <v>2995</v>
      </c>
      <c r="I506" s="2">
        <v>1530000</v>
      </c>
      <c r="J506" t="s">
        <v>259</v>
      </c>
      <c r="K506" t="s">
        <v>2503</v>
      </c>
    </row>
    <row r="507" spans="1:11" x14ac:dyDescent="0.25">
      <c r="A507" t="s">
        <v>1202</v>
      </c>
      <c r="B507" s="3">
        <v>46279</v>
      </c>
      <c r="C507" t="s">
        <v>646</v>
      </c>
      <c r="D507" t="s">
        <v>599</v>
      </c>
      <c r="E507">
        <v>53</v>
      </c>
      <c r="F507" t="s">
        <v>2</v>
      </c>
      <c r="G507" t="s">
        <v>17</v>
      </c>
      <c r="H507" t="s">
        <v>2996</v>
      </c>
      <c r="I507" s="2">
        <v>91000</v>
      </c>
      <c r="J507" t="s">
        <v>294</v>
      </c>
      <c r="K507" t="s">
        <v>2509</v>
      </c>
    </row>
    <row r="508" spans="1:11" x14ac:dyDescent="0.25">
      <c r="A508" t="s">
        <v>1203</v>
      </c>
      <c r="B508" s="3">
        <v>46279</v>
      </c>
      <c r="C508" t="s">
        <v>209</v>
      </c>
      <c r="D508" t="s">
        <v>210</v>
      </c>
      <c r="E508">
        <v>41</v>
      </c>
      <c r="F508" t="s">
        <v>2</v>
      </c>
      <c r="G508" t="s">
        <v>55</v>
      </c>
      <c r="H508" t="s">
        <v>2997</v>
      </c>
      <c r="I508" s="2">
        <v>4229000</v>
      </c>
      <c r="J508" t="s">
        <v>183</v>
      </c>
      <c r="K508" t="s">
        <v>2503</v>
      </c>
    </row>
    <row r="509" spans="1:11" x14ac:dyDescent="0.25">
      <c r="A509" t="s">
        <v>1204</v>
      </c>
      <c r="B509" s="3">
        <v>46279</v>
      </c>
      <c r="C509" t="s">
        <v>640</v>
      </c>
      <c r="D509" t="s">
        <v>629</v>
      </c>
      <c r="E509">
        <v>67</v>
      </c>
      <c r="F509" t="s">
        <v>355</v>
      </c>
      <c r="G509" t="s">
        <v>85</v>
      </c>
      <c r="H509" t="s">
        <v>2998</v>
      </c>
      <c r="I509" s="2">
        <v>55000</v>
      </c>
      <c r="J509" t="s">
        <v>79</v>
      </c>
      <c r="K509" t="s">
        <v>2503</v>
      </c>
    </row>
    <row r="510" spans="1:11" x14ac:dyDescent="0.25">
      <c r="A510" t="s">
        <v>1205</v>
      </c>
      <c r="B510" s="3">
        <v>46279</v>
      </c>
      <c r="C510" t="s">
        <v>105</v>
      </c>
      <c r="D510" t="s">
        <v>44</v>
      </c>
      <c r="E510">
        <v>2</v>
      </c>
      <c r="F510" t="s">
        <v>2</v>
      </c>
      <c r="G510" t="s">
        <v>40</v>
      </c>
      <c r="H510" t="s">
        <v>2999</v>
      </c>
      <c r="I510" s="2">
        <v>28000</v>
      </c>
      <c r="J510" t="s">
        <v>106</v>
      </c>
      <c r="K510" t="s">
        <v>2513</v>
      </c>
    </row>
    <row r="511" spans="1:11" x14ac:dyDescent="0.25">
      <c r="A511" t="s">
        <v>1206</v>
      </c>
      <c r="B511" s="3">
        <v>46279</v>
      </c>
      <c r="C511" t="s">
        <v>311</v>
      </c>
      <c r="D511" t="s">
        <v>227</v>
      </c>
      <c r="E511">
        <v>40</v>
      </c>
      <c r="F511" t="s">
        <v>2</v>
      </c>
      <c r="G511" t="s">
        <v>55</v>
      </c>
      <c r="H511" t="s">
        <v>3000</v>
      </c>
      <c r="I511" s="2">
        <v>693000</v>
      </c>
      <c r="J511" t="s">
        <v>312</v>
      </c>
      <c r="K511" t="s">
        <v>2513</v>
      </c>
    </row>
    <row r="512" spans="1:11" x14ac:dyDescent="0.25">
      <c r="A512" t="s">
        <v>1207</v>
      </c>
      <c r="B512" s="3">
        <v>46279</v>
      </c>
      <c r="C512" t="s">
        <v>539</v>
      </c>
      <c r="D512" t="s">
        <v>479</v>
      </c>
      <c r="E512">
        <v>67</v>
      </c>
      <c r="F512" t="s">
        <v>469</v>
      </c>
      <c r="G512" t="s">
        <v>17</v>
      </c>
      <c r="H512" t="s">
        <v>3001</v>
      </c>
      <c r="I512" s="2">
        <v>32000</v>
      </c>
      <c r="J512" t="s">
        <v>327</v>
      </c>
      <c r="K512" t="s">
        <v>2509</v>
      </c>
    </row>
    <row r="513" spans="1:11" x14ac:dyDescent="0.25">
      <c r="A513" t="s">
        <v>1208</v>
      </c>
      <c r="B513" s="3">
        <v>46279</v>
      </c>
      <c r="C513" t="s">
        <v>169</v>
      </c>
      <c r="D513" t="s">
        <v>54</v>
      </c>
      <c r="E513">
        <v>59</v>
      </c>
      <c r="F513" t="s">
        <v>2</v>
      </c>
      <c r="G513" t="s">
        <v>55</v>
      </c>
      <c r="H513" t="s">
        <v>3002</v>
      </c>
      <c r="I513" s="2">
        <v>74000</v>
      </c>
      <c r="J513" t="s">
        <v>119</v>
      </c>
      <c r="K513" t="s">
        <v>2509</v>
      </c>
    </row>
    <row r="514" spans="1:11" x14ac:dyDescent="0.25">
      <c r="A514" t="s">
        <v>1209</v>
      </c>
      <c r="B514" s="3">
        <v>46279</v>
      </c>
      <c r="C514" t="s">
        <v>377</v>
      </c>
      <c r="D514" t="s">
        <v>378</v>
      </c>
      <c r="E514">
        <v>28</v>
      </c>
      <c r="F514" t="s">
        <v>2</v>
      </c>
      <c r="G514" t="s">
        <v>36</v>
      </c>
      <c r="H514" t="s">
        <v>3003</v>
      </c>
      <c r="I514" s="2">
        <v>22000</v>
      </c>
      <c r="J514" t="s">
        <v>50</v>
      </c>
      <c r="K514" t="s">
        <v>2513</v>
      </c>
    </row>
    <row r="515" spans="1:11" x14ac:dyDescent="0.25">
      <c r="A515" t="s">
        <v>1210</v>
      </c>
      <c r="B515" s="3">
        <v>46279</v>
      </c>
      <c r="C515" t="s">
        <v>618</v>
      </c>
      <c r="D515" t="s">
        <v>587</v>
      </c>
      <c r="E515">
        <v>61</v>
      </c>
      <c r="F515" t="s">
        <v>2</v>
      </c>
      <c r="G515" t="s">
        <v>40</v>
      </c>
      <c r="H515" t="s">
        <v>3004</v>
      </c>
      <c r="I515" s="2">
        <v>17000</v>
      </c>
      <c r="J515" t="s">
        <v>79</v>
      </c>
      <c r="K515" t="s">
        <v>2503</v>
      </c>
    </row>
    <row r="516" spans="1:11" x14ac:dyDescent="0.25">
      <c r="A516" t="s">
        <v>1211</v>
      </c>
      <c r="B516" s="3">
        <v>46279</v>
      </c>
      <c r="C516" t="s">
        <v>288</v>
      </c>
      <c r="D516" t="s">
        <v>261</v>
      </c>
      <c r="E516">
        <v>45</v>
      </c>
      <c r="F516" t="s">
        <v>2</v>
      </c>
      <c r="G516" t="s">
        <v>61</v>
      </c>
      <c r="H516" t="s">
        <v>3005</v>
      </c>
      <c r="I516" s="2">
        <v>339000</v>
      </c>
      <c r="J516" t="s">
        <v>289</v>
      </c>
      <c r="K516" t="s">
        <v>2509</v>
      </c>
    </row>
    <row r="517" spans="1:11" x14ac:dyDescent="0.25">
      <c r="A517" t="s">
        <v>1212</v>
      </c>
      <c r="B517" s="3">
        <v>46279</v>
      </c>
      <c r="C517" t="s">
        <v>691</v>
      </c>
      <c r="D517" t="s">
        <v>585</v>
      </c>
      <c r="E517">
        <v>25</v>
      </c>
      <c r="F517" t="s">
        <v>355</v>
      </c>
      <c r="G517" t="s">
        <v>17</v>
      </c>
      <c r="H517" t="s">
        <v>3006</v>
      </c>
      <c r="I517" s="2">
        <v>22000</v>
      </c>
      <c r="J517" t="s">
        <v>19</v>
      </c>
      <c r="K517" t="s">
        <v>2500</v>
      </c>
    </row>
    <row r="518" spans="1:11" x14ac:dyDescent="0.25">
      <c r="A518" t="s">
        <v>1213</v>
      </c>
      <c r="B518" s="3">
        <v>46279</v>
      </c>
      <c r="C518" t="s">
        <v>63</v>
      </c>
      <c r="D518" t="s">
        <v>26</v>
      </c>
      <c r="E518">
        <v>22</v>
      </c>
      <c r="F518" t="s">
        <v>2</v>
      </c>
      <c r="G518" t="s">
        <v>55</v>
      </c>
      <c r="H518" t="s">
        <v>3007</v>
      </c>
      <c r="I518" s="2">
        <v>515000</v>
      </c>
      <c r="J518" t="s">
        <v>64</v>
      </c>
      <c r="K518" t="s">
        <v>2500</v>
      </c>
    </row>
    <row r="519" spans="1:11" x14ac:dyDescent="0.25">
      <c r="A519" t="s">
        <v>1214</v>
      </c>
      <c r="B519" s="3">
        <v>46279</v>
      </c>
      <c r="C519" t="s">
        <v>406</v>
      </c>
      <c r="D519" t="s">
        <v>366</v>
      </c>
      <c r="E519">
        <v>21</v>
      </c>
      <c r="F519" t="s">
        <v>2</v>
      </c>
      <c r="G519" t="s">
        <v>32</v>
      </c>
      <c r="H519" t="s">
        <v>3008</v>
      </c>
      <c r="I519" s="2">
        <v>18000</v>
      </c>
      <c r="J519" t="s">
        <v>64</v>
      </c>
      <c r="K519" t="s">
        <v>2500</v>
      </c>
    </row>
    <row r="520" spans="1:11" x14ac:dyDescent="0.25">
      <c r="A520" t="s">
        <v>1215</v>
      </c>
      <c r="B520" s="3">
        <v>46280</v>
      </c>
      <c r="C520" t="s">
        <v>403</v>
      </c>
      <c r="D520" t="s">
        <v>364</v>
      </c>
      <c r="E520">
        <v>67</v>
      </c>
      <c r="F520" t="s">
        <v>358</v>
      </c>
      <c r="G520" t="s">
        <v>55</v>
      </c>
      <c r="H520" t="s">
        <v>3009</v>
      </c>
      <c r="I520" s="2">
        <v>27000</v>
      </c>
      <c r="J520" t="s">
        <v>117</v>
      </c>
      <c r="K520" t="s">
        <v>2509</v>
      </c>
    </row>
    <row r="521" spans="1:11" x14ac:dyDescent="0.25">
      <c r="A521" t="s">
        <v>1216</v>
      </c>
      <c r="B521" s="3">
        <v>46280</v>
      </c>
      <c r="C521" t="s">
        <v>384</v>
      </c>
      <c r="D521" t="s">
        <v>366</v>
      </c>
      <c r="E521">
        <v>65</v>
      </c>
      <c r="F521" t="s">
        <v>2</v>
      </c>
      <c r="G521" t="s">
        <v>81</v>
      </c>
      <c r="H521" t="s">
        <v>3010</v>
      </c>
      <c r="I521" s="2">
        <v>56000</v>
      </c>
      <c r="J521" t="s">
        <v>104</v>
      </c>
      <c r="K521" t="s">
        <v>2503</v>
      </c>
    </row>
    <row r="522" spans="1:11" x14ac:dyDescent="0.25">
      <c r="A522" t="s">
        <v>1217</v>
      </c>
      <c r="B522" s="3">
        <v>46280</v>
      </c>
      <c r="C522" t="s">
        <v>628</v>
      </c>
      <c r="D522" t="s">
        <v>629</v>
      </c>
      <c r="E522">
        <v>38</v>
      </c>
      <c r="F522" t="s">
        <v>355</v>
      </c>
      <c r="G522" t="s">
        <v>36</v>
      </c>
      <c r="H522" t="s">
        <v>3011</v>
      </c>
      <c r="I522" s="2">
        <v>17000</v>
      </c>
      <c r="J522" t="s">
        <v>397</v>
      </c>
      <c r="K522" t="s">
        <v>2500</v>
      </c>
    </row>
    <row r="523" spans="1:11" x14ac:dyDescent="0.25">
      <c r="A523" t="s">
        <v>1218</v>
      </c>
      <c r="B523" s="3">
        <v>46280</v>
      </c>
      <c r="C523" t="s">
        <v>192</v>
      </c>
      <c r="D523" t="s">
        <v>1</v>
      </c>
      <c r="E523">
        <v>34</v>
      </c>
      <c r="F523" t="s">
        <v>2</v>
      </c>
      <c r="G523" t="s">
        <v>55</v>
      </c>
      <c r="H523" t="s">
        <v>3012</v>
      </c>
      <c r="I523" s="2">
        <v>55000</v>
      </c>
      <c r="J523" t="s">
        <v>193</v>
      </c>
      <c r="K523" t="s">
        <v>2503</v>
      </c>
    </row>
    <row r="524" spans="1:11" x14ac:dyDescent="0.25">
      <c r="A524" t="s">
        <v>1219</v>
      </c>
      <c r="B524" s="3">
        <v>46280</v>
      </c>
      <c r="C524" t="s">
        <v>190</v>
      </c>
      <c r="D524" t="s">
        <v>29</v>
      </c>
      <c r="E524">
        <v>6</v>
      </c>
      <c r="F524" t="s">
        <v>2</v>
      </c>
      <c r="G524" t="s">
        <v>48</v>
      </c>
      <c r="H524" t="s">
        <v>3013</v>
      </c>
      <c r="I524" s="2">
        <v>252000</v>
      </c>
      <c r="J524" t="s">
        <v>77</v>
      </c>
      <c r="K524" t="s">
        <v>2513</v>
      </c>
    </row>
    <row r="525" spans="1:11" x14ac:dyDescent="0.25">
      <c r="A525" t="s">
        <v>1220</v>
      </c>
      <c r="B525" s="3">
        <v>46280</v>
      </c>
      <c r="C525" t="s">
        <v>415</v>
      </c>
      <c r="D525" t="s">
        <v>382</v>
      </c>
      <c r="E525">
        <v>1</v>
      </c>
      <c r="F525" t="s">
        <v>383</v>
      </c>
      <c r="G525" t="s">
        <v>22</v>
      </c>
      <c r="H525" t="s">
        <v>3014</v>
      </c>
      <c r="I525" s="2">
        <v>179000</v>
      </c>
      <c r="J525" t="s">
        <v>152</v>
      </c>
      <c r="K525" t="s">
        <v>2513</v>
      </c>
    </row>
    <row r="526" spans="1:11" x14ac:dyDescent="0.25">
      <c r="A526" t="s">
        <v>1221</v>
      </c>
      <c r="B526" s="3">
        <v>46280</v>
      </c>
      <c r="C526" t="s">
        <v>278</v>
      </c>
      <c r="D526" t="s">
        <v>261</v>
      </c>
      <c r="E526">
        <v>5</v>
      </c>
      <c r="F526" t="s">
        <v>2</v>
      </c>
      <c r="G526" t="s">
        <v>55</v>
      </c>
      <c r="H526" t="s">
        <v>3015</v>
      </c>
      <c r="I526" s="2">
        <v>507000</v>
      </c>
      <c r="J526" t="s">
        <v>279</v>
      </c>
      <c r="K526" t="s">
        <v>2503</v>
      </c>
    </row>
    <row r="527" spans="1:11" x14ac:dyDescent="0.25">
      <c r="A527" t="s">
        <v>1222</v>
      </c>
      <c r="B527" s="3">
        <v>46280</v>
      </c>
      <c r="C527" t="s">
        <v>150</v>
      </c>
      <c r="D527" t="s">
        <v>47</v>
      </c>
      <c r="E527">
        <v>55</v>
      </c>
      <c r="F527" t="s">
        <v>2</v>
      </c>
      <c r="G527" t="s">
        <v>85</v>
      </c>
      <c r="H527" t="s">
        <v>3016</v>
      </c>
      <c r="I527" s="2">
        <v>181000</v>
      </c>
      <c r="J527" t="s">
        <v>71</v>
      </c>
      <c r="K527" t="s">
        <v>2503</v>
      </c>
    </row>
    <row r="528" spans="1:11" x14ac:dyDescent="0.25">
      <c r="A528" t="s">
        <v>1223</v>
      </c>
      <c r="B528" s="3">
        <v>46280</v>
      </c>
      <c r="C528" t="s">
        <v>160</v>
      </c>
      <c r="D528" t="s">
        <v>47</v>
      </c>
      <c r="E528">
        <v>20</v>
      </c>
      <c r="F528" t="s">
        <v>2</v>
      </c>
      <c r="G528" t="s">
        <v>61</v>
      </c>
      <c r="H528" t="s">
        <v>3017</v>
      </c>
      <c r="I528" s="2">
        <v>236000</v>
      </c>
      <c r="J528" t="s">
        <v>161</v>
      </c>
      <c r="K528" t="s">
        <v>2503</v>
      </c>
    </row>
    <row r="529" spans="1:11" x14ac:dyDescent="0.25">
      <c r="A529" t="s">
        <v>1224</v>
      </c>
      <c r="B529" s="3">
        <v>46280</v>
      </c>
      <c r="C529" t="s">
        <v>426</v>
      </c>
      <c r="D529" t="s">
        <v>357</v>
      </c>
      <c r="E529">
        <v>53</v>
      </c>
      <c r="F529" t="s">
        <v>358</v>
      </c>
      <c r="G529" t="s">
        <v>40</v>
      </c>
      <c r="H529" t="s">
        <v>3018</v>
      </c>
      <c r="I529" s="2">
        <v>25000</v>
      </c>
      <c r="J529" t="s">
        <v>42</v>
      </c>
      <c r="K529" t="s">
        <v>2503</v>
      </c>
    </row>
    <row r="530" spans="1:11" x14ac:dyDescent="0.25">
      <c r="A530" t="s">
        <v>1225</v>
      </c>
      <c r="B530" s="3">
        <v>46280</v>
      </c>
      <c r="C530" t="s">
        <v>571</v>
      </c>
      <c r="D530" t="s">
        <v>488</v>
      </c>
      <c r="E530">
        <v>50</v>
      </c>
      <c r="F530" t="s">
        <v>469</v>
      </c>
      <c r="G530" t="s">
        <v>81</v>
      </c>
      <c r="H530" t="s">
        <v>3019</v>
      </c>
      <c r="I530" s="2">
        <v>121000</v>
      </c>
      <c r="J530" t="s">
        <v>289</v>
      </c>
      <c r="K530" t="s">
        <v>2513</v>
      </c>
    </row>
    <row r="531" spans="1:11" x14ac:dyDescent="0.25">
      <c r="A531" t="s">
        <v>1226</v>
      </c>
      <c r="B531" s="3">
        <v>46280</v>
      </c>
      <c r="C531" t="s">
        <v>51</v>
      </c>
      <c r="D531" t="s">
        <v>44</v>
      </c>
      <c r="E531">
        <v>29</v>
      </c>
      <c r="F531" t="s">
        <v>2</v>
      </c>
      <c r="G531" t="s">
        <v>36</v>
      </c>
      <c r="H531" t="s">
        <v>3020</v>
      </c>
      <c r="I531" s="2">
        <v>35000</v>
      </c>
      <c r="J531" t="s">
        <v>52</v>
      </c>
      <c r="K531" t="s">
        <v>2513</v>
      </c>
    </row>
    <row r="532" spans="1:11" x14ac:dyDescent="0.25">
      <c r="A532" t="s">
        <v>1227</v>
      </c>
      <c r="B532" s="3">
        <v>46280</v>
      </c>
      <c r="C532" t="s">
        <v>660</v>
      </c>
      <c r="D532" t="s">
        <v>629</v>
      </c>
      <c r="E532">
        <v>4</v>
      </c>
      <c r="F532" t="s">
        <v>355</v>
      </c>
      <c r="G532" t="s">
        <v>48</v>
      </c>
      <c r="H532" t="s">
        <v>3021</v>
      </c>
      <c r="I532" s="2">
        <v>18000</v>
      </c>
      <c r="J532" t="s">
        <v>312</v>
      </c>
      <c r="K532" t="s">
        <v>2509</v>
      </c>
    </row>
    <row r="533" spans="1:11" x14ac:dyDescent="0.25">
      <c r="A533" t="s">
        <v>1228</v>
      </c>
      <c r="B533" s="3">
        <v>46280</v>
      </c>
      <c r="C533" t="s">
        <v>562</v>
      </c>
      <c r="D533" t="s">
        <v>502</v>
      </c>
      <c r="E533">
        <v>58</v>
      </c>
      <c r="F533" t="s">
        <v>469</v>
      </c>
      <c r="G533" t="s">
        <v>55</v>
      </c>
      <c r="H533" t="s">
        <v>3022</v>
      </c>
      <c r="I533" s="2">
        <v>76000</v>
      </c>
      <c r="J533" t="s">
        <v>104</v>
      </c>
      <c r="K533" t="s">
        <v>2500</v>
      </c>
    </row>
    <row r="534" spans="1:11" x14ac:dyDescent="0.25">
      <c r="A534" t="s">
        <v>1229</v>
      </c>
      <c r="B534" s="3">
        <v>46280</v>
      </c>
      <c r="C534" t="s">
        <v>262</v>
      </c>
      <c r="D534" t="s">
        <v>223</v>
      </c>
      <c r="E534">
        <v>48</v>
      </c>
      <c r="F534" t="s">
        <v>2</v>
      </c>
      <c r="G534" t="s">
        <v>36</v>
      </c>
      <c r="H534" t="s">
        <v>3023</v>
      </c>
      <c r="I534" s="2">
        <v>217000</v>
      </c>
      <c r="J534" t="s">
        <v>259</v>
      </c>
      <c r="K534" t="s">
        <v>2500</v>
      </c>
    </row>
    <row r="535" spans="1:11" x14ac:dyDescent="0.25">
      <c r="A535" t="s">
        <v>1230</v>
      </c>
      <c r="B535" s="3">
        <v>46280</v>
      </c>
      <c r="C535" t="s">
        <v>341</v>
      </c>
      <c r="D535" t="s">
        <v>234</v>
      </c>
      <c r="E535">
        <v>51</v>
      </c>
      <c r="F535" t="s">
        <v>2</v>
      </c>
      <c r="G535" t="s">
        <v>22</v>
      </c>
      <c r="H535" t="s">
        <v>3024</v>
      </c>
      <c r="I535" s="2">
        <v>1606000</v>
      </c>
      <c r="J535" t="s">
        <v>161</v>
      </c>
      <c r="K535" t="s">
        <v>2500</v>
      </c>
    </row>
    <row r="536" spans="1:11" x14ac:dyDescent="0.25">
      <c r="A536" t="s">
        <v>1231</v>
      </c>
      <c r="B536" s="3">
        <v>46280</v>
      </c>
      <c r="C536" t="s">
        <v>615</v>
      </c>
      <c r="D536" t="s">
        <v>589</v>
      </c>
      <c r="E536">
        <v>8</v>
      </c>
      <c r="F536" t="s">
        <v>469</v>
      </c>
      <c r="G536" t="s">
        <v>55</v>
      </c>
      <c r="H536" t="s">
        <v>3025</v>
      </c>
      <c r="I536" s="2">
        <v>5000</v>
      </c>
      <c r="J536" t="s">
        <v>95</v>
      </c>
      <c r="K536" t="s">
        <v>2500</v>
      </c>
    </row>
    <row r="537" spans="1:11" x14ac:dyDescent="0.25">
      <c r="A537" t="s">
        <v>1232</v>
      </c>
      <c r="B537" s="3">
        <v>46280</v>
      </c>
      <c r="C537" t="s">
        <v>581</v>
      </c>
      <c r="D537" t="s">
        <v>582</v>
      </c>
      <c r="E537">
        <v>65</v>
      </c>
      <c r="F537" t="s">
        <v>2</v>
      </c>
      <c r="G537" t="s">
        <v>36</v>
      </c>
      <c r="H537" t="s">
        <v>3026</v>
      </c>
      <c r="I537" s="2">
        <v>87000</v>
      </c>
      <c r="J537" t="s">
        <v>512</v>
      </c>
      <c r="K537" t="s">
        <v>2503</v>
      </c>
    </row>
    <row r="538" spans="1:11" x14ac:dyDescent="0.25">
      <c r="A538" t="s">
        <v>1233</v>
      </c>
      <c r="B538" s="3">
        <v>46280</v>
      </c>
      <c r="C538" t="s">
        <v>503</v>
      </c>
      <c r="D538" t="s">
        <v>476</v>
      </c>
      <c r="E538">
        <v>30</v>
      </c>
      <c r="F538" t="s">
        <v>477</v>
      </c>
      <c r="G538" t="s">
        <v>36</v>
      </c>
      <c r="H538" t="s">
        <v>3027</v>
      </c>
      <c r="I538" s="2">
        <v>18000</v>
      </c>
      <c r="J538" t="s">
        <v>259</v>
      </c>
      <c r="K538" t="s">
        <v>2509</v>
      </c>
    </row>
    <row r="539" spans="1:11" x14ac:dyDescent="0.25">
      <c r="A539" t="s">
        <v>1234</v>
      </c>
      <c r="B539" s="3">
        <v>46280</v>
      </c>
      <c r="C539" t="s">
        <v>226</v>
      </c>
      <c r="D539" t="s">
        <v>227</v>
      </c>
      <c r="E539">
        <v>59</v>
      </c>
      <c r="F539" t="s">
        <v>2</v>
      </c>
      <c r="G539" t="s">
        <v>17</v>
      </c>
      <c r="H539" t="s">
        <v>3028</v>
      </c>
      <c r="I539" s="2">
        <v>851000</v>
      </c>
      <c r="J539" t="s">
        <v>201</v>
      </c>
      <c r="K539" t="s">
        <v>2500</v>
      </c>
    </row>
    <row r="540" spans="1:11" x14ac:dyDescent="0.25">
      <c r="A540" t="s">
        <v>1235</v>
      </c>
      <c r="B540" s="3">
        <v>46280</v>
      </c>
      <c r="C540" t="s">
        <v>679</v>
      </c>
      <c r="D540" t="s">
        <v>597</v>
      </c>
      <c r="E540">
        <v>19</v>
      </c>
      <c r="F540" t="s">
        <v>355</v>
      </c>
      <c r="G540" t="s">
        <v>85</v>
      </c>
      <c r="H540" t="s">
        <v>3029</v>
      </c>
      <c r="I540" s="2">
        <v>41000</v>
      </c>
      <c r="J540" t="s">
        <v>368</v>
      </c>
      <c r="K540" t="s">
        <v>2503</v>
      </c>
    </row>
    <row r="541" spans="1:11" x14ac:dyDescent="0.25">
      <c r="A541" t="s">
        <v>1236</v>
      </c>
      <c r="B541" s="3">
        <v>46280</v>
      </c>
      <c r="C541" t="s">
        <v>321</v>
      </c>
      <c r="D541" t="s">
        <v>234</v>
      </c>
      <c r="E541">
        <v>24</v>
      </c>
      <c r="F541" t="s">
        <v>2</v>
      </c>
      <c r="G541" t="s">
        <v>40</v>
      </c>
      <c r="H541" t="s">
        <v>3030</v>
      </c>
      <c r="I541" s="2">
        <v>355000</v>
      </c>
      <c r="J541" t="s">
        <v>230</v>
      </c>
      <c r="K541" t="s">
        <v>2500</v>
      </c>
    </row>
    <row r="542" spans="1:11" x14ac:dyDescent="0.25">
      <c r="A542" t="s">
        <v>1237</v>
      </c>
      <c r="B542" s="3">
        <v>46280</v>
      </c>
      <c r="C542" t="s">
        <v>199</v>
      </c>
      <c r="D542" t="s">
        <v>163</v>
      </c>
      <c r="E542">
        <v>33</v>
      </c>
      <c r="F542" t="s">
        <v>2</v>
      </c>
      <c r="G542" t="s">
        <v>36</v>
      </c>
      <c r="H542" t="s">
        <v>3031</v>
      </c>
      <c r="I542" s="2">
        <v>24000</v>
      </c>
      <c r="J542" t="s">
        <v>75</v>
      </c>
      <c r="K542" t="s">
        <v>2500</v>
      </c>
    </row>
    <row r="543" spans="1:11" x14ac:dyDescent="0.25">
      <c r="A543" t="s">
        <v>1238</v>
      </c>
      <c r="B543" s="3">
        <v>46280</v>
      </c>
      <c r="C543" t="s">
        <v>526</v>
      </c>
      <c r="D543" t="s">
        <v>476</v>
      </c>
      <c r="E543">
        <v>20</v>
      </c>
      <c r="F543" t="s">
        <v>477</v>
      </c>
      <c r="G543" t="s">
        <v>81</v>
      </c>
      <c r="H543" t="s">
        <v>3032</v>
      </c>
      <c r="I543" s="2">
        <v>4000</v>
      </c>
      <c r="J543" t="s">
        <v>75</v>
      </c>
      <c r="K543" t="s">
        <v>2500</v>
      </c>
    </row>
    <row r="544" spans="1:11" x14ac:dyDescent="0.25">
      <c r="A544" t="s">
        <v>1239</v>
      </c>
      <c r="B544" s="3">
        <v>46280</v>
      </c>
      <c r="C544" t="s">
        <v>419</v>
      </c>
      <c r="D544" t="s">
        <v>354</v>
      </c>
      <c r="E544">
        <v>25</v>
      </c>
      <c r="F544" t="s">
        <v>355</v>
      </c>
      <c r="G544" t="s">
        <v>81</v>
      </c>
      <c r="H544" t="s">
        <v>3033</v>
      </c>
      <c r="I544" s="2">
        <v>30000</v>
      </c>
      <c r="J544" t="s">
        <v>147</v>
      </c>
      <c r="K544" t="s">
        <v>2500</v>
      </c>
    </row>
    <row r="545" spans="1:11" x14ac:dyDescent="0.25">
      <c r="A545" t="s">
        <v>1240</v>
      </c>
      <c r="B545" s="3">
        <v>46280</v>
      </c>
      <c r="C545" t="s">
        <v>508</v>
      </c>
      <c r="D545" t="s">
        <v>476</v>
      </c>
      <c r="E545">
        <v>59</v>
      </c>
      <c r="F545" t="s">
        <v>477</v>
      </c>
      <c r="G545" t="s">
        <v>81</v>
      </c>
      <c r="H545" t="s">
        <v>3034</v>
      </c>
      <c r="I545" s="2">
        <v>11000</v>
      </c>
      <c r="J545" t="s">
        <v>89</v>
      </c>
      <c r="K545" t="s">
        <v>2503</v>
      </c>
    </row>
    <row r="546" spans="1:11" x14ac:dyDescent="0.25">
      <c r="A546" t="s">
        <v>1241</v>
      </c>
      <c r="B546" s="3">
        <v>46280</v>
      </c>
      <c r="C546" t="s">
        <v>134</v>
      </c>
      <c r="D546" t="s">
        <v>47</v>
      </c>
      <c r="E546">
        <v>35</v>
      </c>
      <c r="F546" t="s">
        <v>2</v>
      </c>
      <c r="G546" t="s">
        <v>36</v>
      </c>
      <c r="H546" t="s">
        <v>3035</v>
      </c>
      <c r="I546" s="2">
        <v>116000</v>
      </c>
      <c r="J546" t="s">
        <v>38</v>
      </c>
      <c r="K546" t="s">
        <v>2513</v>
      </c>
    </row>
    <row r="547" spans="1:11" x14ac:dyDescent="0.25">
      <c r="A547" t="s">
        <v>1242</v>
      </c>
      <c r="B547" s="3">
        <v>46280</v>
      </c>
      <c r="C547" t="s">
        <v>604</v>
      </c>
      <c r="D547" t="s">
        <v>599</v>
      </c>
      <c r="E547">
        <v>29</v>
      </c>
      <c r="F547" t="s">
        <v>2</v>
      </c>
      <c r="G547" t="s">
        <v>48</v>
      </c>
      <c r="H547" t="s">
        <v>3036</v>
      </c>
      <c r="I547" s="2">
        <v>117000</v>
      </c>
      <c r="J547" t="s">
        <v>110</v>
      </c>
      <c r="K547" t="s">
        <v>2500</v>
      </c>
    </row>
    <row r="548" spans="1:11" x14ac:dyDescent="0.25">
      <c r="A548" t="s">
        <v>1243</v>
      </c>
      <c r="B548" s="3">
        <v>46280</v>
      </c>
      <c r="C548" t="s">
        <v>302</v>
      </c>
      <c r="D548" t="s">
        <v>261</v>
      </c>
      <c r="E548">
        <v>13</v>
      </c>
      <c r="F548" t="s">
        <v>2</v>
      </c>
      <c r="G548" t="s">
        <v>40</v>
      </c>
      <c r="H548" t="s">
        <v>3037</v>
      </c>
      <c r="I548" s="2">
        <v>352000</v>
      </c>
      <c r="J548" t="s">
        <v>133</v>
      </c>
      <c r="K548" t="s">
        <v>2509</v>
      </c>
    </row>
    <row r="549" spans="1:11" x14ac:dyDescent="0.25">
      <c r="A549" t="s">
        <v>1244</v>
      </c>
      <c r="B549" s="3">
        <v>46280</v>
      </c>
      <c r="C549" t="s">
        <v>619</v>
      </c>
      <c r="D549" t="s">
        <v>594</v>
      </c>
      <c r="E549">
        <v>68</v>
      </c>
      <c r="F549" t="s">
        <v>595</v>
      </c>
      <c r="G549" t="s">
        <v>85</v>
      </c>
      <c r="H549" t="s">
        <v>3038</v>
      </c>
      <c r="I549" s="2">
        <v>10000</v>
      </c>
      <c r="J549" t="s">
        <v>206</v>
      </c>
      <c r="K549" t="s">
        <v>2513</v>
      </c>
    </row>
    <row r="550" spans="1:11" x14ac:dyDescent="0.25">
      <c r="A550" t="s">
        <v>1245</v>
      </c>
      <c r="B550" s="3">
        <v>46280</v>
      </c>
      <c r="C550" t="s">
        <v>421</v>
      </c>
      <c r="D550" t="s">
        <v>360</v>
      </c>
      <c r="E550">
        <v>49</v>
      </c>
      <c r="F550" t="s">
        <v>358</v>
      </c>
      <c r="G550" t="s">
        <v>36</v>
      </c>
      <c r="H550" t="s">
        <v>3039</v>
      </c>
      <c r="I550" s="2">
        <v>17000</v>
      </c>
      <c r="J550" t="s">
        <v>144</v>
      </c>
      <c r="K550" t="s">
        <v>2513</v>
      </c>
    </row>
    <row r="551" spans="1:11" x14ac:dyDescent="0.25">
      <c r="A551" t="s">
        <v>1246</v>
      </c>
      <c r="B551" s="3">
        <v>46280</v>
      </c>
      <c r="C551" t="s">
        <v>461</v>
      </c>
      <c r="D551" t="s">
        <v>344</v>
      </c>
      <c r="E551">
        <v>20</v>
      </c>
      <c r="F551" t="s">
        <v>346</v>
      </c>
      <c r="G551" t="s">
        <v>17</v>
      </c>
      <c r="H551" t="s">
        <v>3040</v>
      </c>
      <c r="I551" s="2">
        <v>45000</v>
      </c>
      <c r="J551" t="s">
        <v>219</v>
      </c>
      <c r="K551" t="s">
        <v>2509</v>
      </c>
    </row>
    <row r="552" spans="1:11" x14ac:dyDescent="0.25">
      <c r="A552" t="s">
        <v>1247</v>
      </c>
      <c r="B552" s="3">
        <v>46280</v>
      </c>
      <c r="C552" t="s">
        <v>365</v>
      </c>
      <c r="D552" t="s">
        <v>366</v>
      </c>
      <c r="E552">
        <v>19</v>
      </c>
      <c r="F552" t="s">
        <v>2</v>
      </c>
      <c r="G552" t="s">
        <v>32</v>
      </c>
      <c r="H552" t="s">
        <v>3041</v>
      </c>
      <c r="I552" s="2">
        <v>79000</v>
      </c>
      <c r="J552" t="s">
        <v>126</v>
      </c>
      <c r="K552" t="s">
        <v>2509</v>
      </c>
    </row>
    <row r="553" spans="1:11" x14ac:dyDescent="0.25">
      <c r="A553" t="s">
        <v>1248</v>
      </c>
      <c r="B553" s="3">
        <v>46280</v>
      </c>
      <c r="C553" t="s">
        <v>483</v>
      </c>
      <c r="D553" t="s">
        <v>484</v>
      </c>
      <c r="E553">
        <v>3</v>
      </c>
      <c r="F553" t="s">
        <v>469</v>
      </c>
      <c r="G553" t="s">
        <v>61</v>
      </c>
      <c r="H553" t="s">
        <v>3042</v>
      </c>
      <c r="I553" s="2">
        <v>80000</v>
      </c>
      <c r="J553" t="s">
        <v>368</v>
      </c>
      <c r="K553" t="s">
        <v>2509</v>
      </c>
    </row>
    <row r="554" spans="1:11" x14ac:dyDescent="0.25">
      <c r="A554" t="s">
        <v>1249</v>
      </c>
      <c r="B554" s="3">
        <v>46280</v>
      </c>
      <c r="C554" t="s">
        <v>318</v>
      </c>
      <c r="D554" t="s">
        <v>240</v>
      </c>
      <c r="E554">
        <v>28</v>
      </c>
      <c r="F554" t="s">
        <v>2</v>
      </c>
      <c r="G554" t="s">
        <v>55</v>
      </c>
      <c r="H554" t="s">
        <v>3043</v>
      </c>
      <c r="I554" s="2">
        <v>553000</v>
      </c>
      <c r="J554" t="s">
        <v>24</v>
      </c>
      <c r="K554" t="s">
        <v>2503</v>
      </c>
    </row>
    <row r="555" spans="1:11" x14ac:dyDescent="0.25">
      <c r="A555" t="s">
        <v>1250</v>
      </c>
      <c r="B555" s="3">
        <v>46280</v>
      </c>
      <c r="C555" t="s">
        <v>146</v>
      </c>
      <c r="D555" t="s">
        <v>1</v>
      </c>
      <c r="E555">
        <v>27</v>
      </c>
      <c r="F555" t="s">
        <v>2</v>
      </c>
      <c r="G555" t="s">
        <v>36</v>
      </c>
      <c r="H555" t="s">
        <v>3044</v>
      </c>
      <c r="I555" s="2">
        <v>129000</v>
      </c>
      <c r="J555" t="s">
        <v>147</v>
      </c>
      <c r="K555" t="s">
        <v>2503</v>
      </c>
    </row>
    <row r="556" spans="1:11" x14ac:dyDescent="0.25">
      <c r="A556" t="s">
        <v>1251</v>
      </c>
      <c r="B556" s="3">
        <v>46280</v>
      </c>
      <c r="C556" t="s">
        <v>631</v>
      </c>
      <c r="D556" t="s">
        <v>582</v>
      </c>
      <c r="E556">
        <v>29</v>
      </c>
      <c r="F556" t="s">
        <v>2</v>
      </c>
      <c r="G556" t="s">
        <v>40</v>
      </c>
      <c r="H556" t="s">
        <v>3045</v>
      </c>
      <c r="I556" s="2">
        <v>113000</v>
      </c>
      <c r="J556" t="s">
        <v>110</v>
      </c>
      <c r="K556" t="s">
        <v>2503</v>
      </c>
    </row>
    <row r="557" spans="1:11" x14ac:dyDescent="0.25">
      <c r="A557" t="s">
        <v>1252</v>
      </c>
      <c r="B557" s="3">
        <v>46280</v>
      </c>
      <c r="C557" t="s">
        <v>436</v>
      </c>
      <c r="D557" t="s">
        <v>366</v>
      </c>
      <c r="E557">
        <v>18</v>
      </c>
      <c r="F557" t="s">
        <v>2</v>
      </c>
      <c r="G557" t="s">
        <v>85</v>
      </c>
      <c r="H557" t="s">
        <v>3046</v>
      </c>
      <c r="I557" s="2">
        <v>51000</v>
      </c>
      <c r="J557" t="s">
        <v>19</v>
      </c>
      <c r="K557" t="s">
        <v>2503</v>
      </c>
    </row>
    <row r="558" spans="1:11" x14ac:dyDescent="0.25">
      <c r="A558" t="s">
        <v>1253</v>
      </c>
      <c r="B558" s="3">
        <v>46280</v>
      </c>
      <c r="C558" t="s">
        <v>262</v>
      </c>
      <c r="D558" t="s">
        <v>223</v>
      </c>
      <c r="E558">
        <v>35</v>
      </c>
      <c r="F558" t="s">
        <v>2</v>
      </c>
      <c r="G558" t="s">
        <v>36</v>
      </c>
      <c r="H558" t="s">
        <v>3047</v>
      </c>
      <c r="I558" s="2">
        <v>217000</v>
      </c>
      <c r="J558" t="s">
        <v>259</v>
      </c>
      <c r="K558" t="s">
        <v>2513</v>
      </c>
    </row>
    <row r="559" spans="1:11" x14ac:dyDescent="0.25">
      <c r="A559" t="s">
        <v>1254</v>
      </c>
      <c r="B559" s="3">
        <v>46281</v>
      </c>
      <c r="C559" t="s">
        <v>556</v>
      </c>
      <c r="D559" t="s">
        <v>474</v>
      </c>
      <c r="E559">
        <v>32</v>
      </c>
      <c r="F559" t="s">
        <v>2</v>
      </c>
      <c r="G559" t="s">
        <v>55</v>
      </c>
      <c r="H559" t="s">
        <v>3048</v>
      </c>
      <c r="I559" s="2">
        <v>11000</v>
      </c>
      <c r="J559" t="s">
        <v>45</v>
      </c>
      <c r="K559" t="s">
        <v>2509</v>
      </c>
    </row>
    <row r="560" spans="1:11" x14ac:dyDescent="0.25">
      <c r="A560" t="s">
        <v>1255</v>
      </c>
      <c r="B560" s="3">
        <v>46281</v>
      </c>
      <c r="C560" t="s">
        <v>458</v>
      </c>
      <c r="D560" t="s">
        <v>360</v>
      </c>
      <c r="E560">
        <v>61</v>
      </c>
      <c r="F560" t="s">
        <v>358</v>
      </c>
      <c r="G560" t="s">
        <v>22</v>
      </c>
      <c r="H560" t="s">
        <v>3049</v>
      </c>
      <c r="I560" s="2">
        <v>19000</v>
      </c>
      <c r="J560" t="s">
        <v>42</v>
      </c>
      <c r="K560" t="s">
        <v>2500</v>
      </c>
    </row>
    <row r="561" spans="1:11" x14ac:dyDescent="0.25">
      <c r="A561" t="s">
        <v>1256</v>
      </c>
      <c r="B561" s="3">
        <v>46281</v>
      </c>
      <c r="C561" t="s">
        <v>524</v>
      </c>
      <c r="D561" t="s">
        <v>474</v>
      </c>
      <c r="E561">
        <v>1</v>
      </c>
      <c r="F561" t="s">
        <v>2</v>
      </c>
      <c r="G561" t="s">
        <v>17</v>
      </c>
      <c r="H561" t="s">
        <v>3050</v>
      </c>
      <c r="I561" s="2">
        <v>8000</v>
      </c>
      <c r="J561" t="s">
        <v>257</v>
      </c>
      <c r="K561" t="s">
        <v>2500</v>
      </c>
    </row>
    <row r="562" spans="1:11" x14ac:dyDescent="0.25">
      <c r="A562" t="s">
        <v>1257</v>
      </c>
      <c r="B562" s="3">
        <v>46281</v>
      </c>
      <c r="C562" t="s">
        <v>295</v>
      </c>
      <c r="D562" t="s">
        <v>210</v>
      </c>
      <c r="E562">
        <v>29</v>
      </c>
      <c r="F562" t="s">
        <v>2</v>
      </c>
      <c r="G562" t="s">
        <v>85</v>
      </c>
      <c r="H562" t="s">
        <v>3051</v>
      </c>
      <c r="I562" s="2">
        <v>7449000</v>
      </c>
      <c r="J562" t="s">
        <v>140</v>
      </c>
      <c r="K562" t="s">
        <v>2503</v>
      </c>
    </row>
    <row r="563" spans="1:11" x14ac:dyDescent="0.25">
      <c r="A563" t="s">
        <v>1258</v>
      </c>
      <c r="B563" s="3">
        <v>46281</v>
      </c>
      <c r="C563" t="s">
        <v>359</v>
      </c>
      <c r="D563" t="s">
        <v>360</v>
      </c>
      <c r="E563">
        <v>15</v>
      </c>
      <c r="F563" t="s">
        <v>358</v>
      </c>
      <c r="G563" t="s">
        <v>22</v>
      </c>
      <c r="H563" t="s">
        <v>3052</v>
      </c>
      <c r="I563" s="2">
        <v>6000</v>
      </c>
      <c r="J563" t="s">
        <v>361</v>
      </c>
      <c r="K563" t="s">
        <v>2513</v>
      </c>
    </row>
    <row r="564" spans="1:11" x14ac:dyDescent="0.25">
      <c r="A564" t="s">
        <v>1259</v>
      </c>
      <c r="B564" s="3">
        <v>46281</v>
      </c>
      <c r="C564" t="s">
        <v>334</v>
      </c>
      <c r="D564" t="s">
        <v>218</v>
      </c>
      <c r="E564">
        <v>26</v>
      </c>
      <c r="F564" t="s">
        <v>2</v>
      </c>
      <c r="G564" t="s">
        <v>85</v>
      </c>
      <c r="H564" t="s">
        <v>3053</v>
      </c>
      <c r="I564" s="2">
        <v>2544000</v>
      </c>
      <c r="J564" t="s">
        <v>181</v>
      </c>
      <c r="K564" t="s">
        <v>2500</v>
      </c>
    </row>
    <row r="565" spans="1:11" x14ac:dyDescent="0.25">
      <c r="A565" t="s">
        <v>1260</v>
      </c>
      <c r="B565" s="3">
        <v>46281</v>
      </c>
      <c r="C565" t="s">
        <v>65</v>
      </c>
      <c r="D565" t="s">
        <v>66</v>
      </c>
      <c r="E565">
        <v>40</v>
      </c>
      <c r="F565" t="s">
        <v>2</v>
      </c>
      <c r="G565" t="s">
        <v>36</v>
      </c>
      <c r="H565" t="s">
        <v>3054</v>
      </c>
      <c r="I565" s="2">
        <v>133000</v>
      </c>
      <c r="J565" t="s">
        <v>67</v>
      </c>
      <c r="K565" t="s">
        <v>2509</v>
      </c>
    </row>
    <row r="566" spans="1:11" x14ac:dyDescent="0.25">
      <c r="A566" t="s">
        <v>1261</v>
      </c>
      <c r="B566" s="3">
        <v>46281</v>
      </c>
      <c r="C566" t="s">
        <v>552</v>
      </c>
      <c r="D566" t="s">
        <v>476</v>
      </c>
      <c r="E566">
        <v>33</v>
      </c>
      <c r="F566" t="s">
        <v>477</v>
      </c>
      <c r="G566" t="s">
        <v>81</v>
      </c>
      <c r="H566" t="s">
        <v>3023</v>
      </c>
      <c r="I566" s="2">
        <v>17000</v>
      </c>
      <c r="J566" t="s">
        <v>77</v>
      </c>
      <c r="K566" t="s">
        <v>2513</v>
      </c>
    </row>
    <row r="567" spans="1:11" x14ac:dyDescent="0.25">
      <c r="A567" t="s">
        <v>1262</v>
      </c>
      <c r="B567" s="3">
        <v>46281</v>
      </c>
      <c r="C567" t="s">
        <v>238</v>
      </c>
      <c r="D567" t="s">
        <v>216</v>
      </c>
      <c r="E567">
        <v>37</v>
      </c>
      <c r="F567" t="s">
        <v>2</v>
      </c>
      <c r="G567" t="s">
        <v>55</v>
      </c>
      <c r="H567" t="s">
        <v>3055</v>
      </c>
      <c r="I567" s="2">
        <v>789000</v>
      </c>
      <c r="J567" t="s">
        <v>126</v>
      </c>
      <c r="K567" t="s">
        <v>2513</v>
      </c>
    </row>
    <row r="568" spans="1:11" x14ac:dyDescent="0.25">
      <c r="A568" t="s">
        <v>1263</v>
      </c>
      <c r="B568" s="3">
        <v>46281</v>
      </c>
      <c r="C568" t="s">
        <v>68</v>
      </c>
      <c r="D568" t="s">
        <v>29</v>
      </c>
      <c r="E568">
        <v>56</v>
      </c>
      <c r="F568" t="s">
        <v>2</v>
      </c>
      <c r="G568" t="s">
        <v>40</v>
      </c>
      <c r="H568" t="s">
        <v>3056</v>
      </c>
      <c r="I568" s="2">
        <v>284000</v>
      </c>
      <c r="J568" t="s">
        <v>69</v>
      </c>
      <c r="K568" t="s">
        <v>2513</v>
      </c>
    </row>
    <row r="569" spans="1:11" x14ac:dyDescent="0.25">
      <c r="A569" t="s">
        <v>1264</v>
      </c>
      <c r="B569" s="3">
        <v>46281</v>
      </c>
      <c r="C569" t="s">
        <v>369</v>
      </c>
      <c r="D569" t="s">
        <v>351</v>
      </c>
      <c r="E569">
        <v>23</v>
      </c>
      <c r="F569" t="s">
        <v>2</v>
      </c>
      <c r="G569" t="s">
        <v>36</v>
      </c>
      <c r="H569" t="s">
        <v>3057</v>
      </c>
      <c r="I569" s="2">
        <v>594000</v>
      </c>
      <c r="J569" t="s">
        <v>312</v>
      </c>
      <c r="K569" t="s">
        <v>2509</v>
      </c>
    </row>
    <row r="570" spans="1:11" x14ac:dyDescent="0.25">
      <c r="A570" t="s">
        <v>1265</v>
      </c>
      <c r="B570" s="3">
        <v>46281</v>
      </c>
      <c r="C570" t="s">
        <v>65</v>
      </c>
      <c r="D570" t="s">
        <v>66</v>
      </c>
      <c r="E570">
        <v>37</v>
      </c>
      <c r="F570" t="s">
        <v>2</v>
      </c>
      <c r="G570" t="s">
        <v>36</v>
      </c>
      <c r="H570" t="s">
        <v>3058</v>
      </c>
      <c r="I570" s="2">
        <v>133000</v>
      </c>
      <c r="J570" t="s">
        <v>67</v>
      </c>
      <c r="K570" t="s">
        <v>2500</v>
      </c>
    </row>
    <row r="571" spans="1:11" x14ac:dyDescent="0.25">
      <c r="A571" t="s">
        <v>1266</v>
      </c>
      <c r="B571" s="3">
        <v>46281</v>
      </c>
      <c r="C571" t="s">
        <v>300</v>
      </c>
      <c r="D571" t="s">
        <v>261</v>
      </c>
      <c r="E571">
        <v>43</v>
      </c>
      <c r="F571" t="s">
        <v>2</v>
      </c>
      <c r="G571" t="s">
        <v>22</v>
      </c>
      <c r="H571" t="s">
        <v>3059</v>
      </c>
      <c r="I571" s="2">
        <v>299000</v>
      </c>
      <c r="J571" t="s">
        <v>201</v>
      </c>
      <c r="K571" t="s">
        <v>2500</v>
      </c>
    </row>
    <row r="572" spans="1:11" x14ac:dyDescent="0.25">
      <c r="A572" t="s">
        <v>1267</v>
      </c>
      <c r="B572" s="3">
        <v>46281</v>
      </c>
      <c r="C572" t="s">
        <v>111</v>
      </c>
      <c r="D572" t="s">
        <v>66</v>
      </c>
      <c r="E572">
        <v>57</v>
      </c>
      <c r="F572" t="s">
        <v>2</v>
      </c>
      <c r="G572" t="s">
        <v>48</v>
      </c>
      <c r="H572" t="s">
        <v>3060</v>
      </c>
      <c r="I572" s="2">
        <v>174000</v>
      </c>
      <c r="J572" t="s">
        <v>104</v>
      </c>
      <c r="K572" t="s">
        <v>2509</v>
      </c>
    </row>
    <row r="573" spans="1:11" x14ac:dyDescent="0.25">
      <c r="A573" t="s">
        <v>1268</v>
      </c>
      <c r="B573" s="3">
        <v>46281</v>
      </c>
      <c r="C573" t="s">
        <v>200</v>
      </c>
      <c r="D573" t="s">
        <v>66</v>
      </c>
      <c r="E573">
        <v>29</v>
      </c>
      <c r="F573" t="s">
        <v>2</v>
      </c>
      <c r="G573" t="s">
        <v>81</v>
      </c>
      <c r="H573" t="s">
        <v>3061</v>
      </c>
      <c r="I573" s="2">
        <v>225000</v>
      </c>
      <c r="J573" t="s">
        <v>201</v>
      </c>
      <c r="K573" t="s">
        <v>2513</v>
      </c>
    </row>
    <row r="574" spans="1:11" x14ac:dyDescent="0.25">
      <c r="A574" t="s">
        <v>1269</v>
      </c>
      <c r="B574" s="3">
        <v>46281</v>
      </c>
      <c r="C574" t="s">
        <v>416</v>
      </c>
      <c r="D574" t="s">
        <v>344</v>
      </c>
      <c r="E574">
        <v>48</v>
      </c>
      <c r="F574" t="s">
        <v>346</v>
      </c>
      <c r="G574" t="s">
        <v>22</v>
      </c>
      <c r="H574" t="s">
        <v>3062</v>
      </c>
      <c r="I574" s="2">
        <v>64000</v>
      </c>
      <c r="J574" t="s">
        <v>102</v>
      </c>
      <c r="K574" t="s">
        <v>2503</v>
      </c>
    </row>
    <row r="575" spans="1:11" x14ac:dyDescent="0.25">
      <c r="A575" t="s">
        <v>1270</v>
      </c>
      <c r="B575" s="3">
        <v>46281</v>
      </c>
      <c r="C575" t="s">
        <v>669</v>
      </c>
      <c r="D575" t="s">
        <v>594</v>
      </c>
      <c r="E575">
        <v>61</v>
      </c>
      <c r="F575" t="s">
        <v>595</v>
      </c>
      <c r="G575" t="s">
        <v>81</v>
      </c>
      <c r="H575" t="s">
        <v>3063</v>
      </c>
      <c r="I575" s="2">
        <v>4000</v>
      </c>
      <c r="J575" t="s">
        <v>410</v>
      </c>
      <c r="K575" t="s">
        <v>2500</v>
      </c>
    </row>
    <row r="576" spans="1:11" x14ac:dyDescent="0.25">
      <c r="A576" t="s">
        <v>1271</v>
      </c>
      <c r="B576" s="3">
        <v>46281</v>
      </c>
      <c r="C576" t="s">
        <v>388</v>
      </c>
      <c r="D576" t="s">
        <v>351</v>
      </c>
      <c r="E576">
        <v>32</v>
      </c>
      <c r="F576" t="s">
        <v>2</v>
      </c>
      <c r="G576" t="s">
        <v>32</v>
      </c>
      <c r="H576" t="s">
        <v>3064</v>
      </c>
      <c r="I576" s="2">
        <v>233000</v>
      </c>
      <c r="J576" t="s">
        <v>147</v>
      </c>
      <c r="K576" t="s">
        <v>2503</v>
      </c>
    </row>
    <row r="577" spans="1:11" x14ac:dyDescent="0.25">
      <c r="A577" t="s">
        <v>1272</v>
      </c>
      <c r="B577" s="3">
        <v>46281</v>
      </c>
      <c r="C577" t="s">
        <v>199</v>
      </c>
      <c r="D577" t="s">
        <v>163</v>
      </c>
      <c r="E577">
        <v>70</v>
      </c>
      <c r="F577" t="s">
        <v>2</v>
      </c>
      <c r="G577" t="s">
        <v>36</v>
      </c>
      <c r="H577" t="s">
        <v>3065</v>
      </c>
      <c r="I577" s="2">
        <v>24000</v>
      </c>
      <c r="J577" t="s">
        <v>75</v>
      </c>
      <c r="K577" t="s">
        <v>2509</v>
      </c>
    </row>
    <row r="578" spans="1:11" x14ac:dyDescent="0.25">
      <c r="A578" t="s">
        <v>1273</v>
      </c>
      <c r="B578" s="3">
        <v>46281</v>
      </c>
      <c r="C578" t="s">
        <v>449</v>
      </c>
      <c r="D578" t="s">
        <v>378</v>
      </c>
      <c r="E578">
        <v>27</v>
      </c>
      <c r="F578" t="s">
        <v>2</v>
      </c>
      <c r="G578" t="s">
        <v>61</v>
      </c>
      <c r="H578" t="s">
        <v>3066</v>
      </c>
      <c r="I578" s="2">
        <v>26000</v>
      </c>
      <c r="J578" t="s">
        <v>77</v>
      </c>
      <c r="K578" t="s">
        <v>2500</v>
      </c>
    </row>
    <row r="579" spans="1:11" x14ac:dyDescent="0.25">
      <c r="A579" t="s">
        <v>1274</v>
      </c>
      <c r="B579" s="3">
        <v>46281</v>
      </c>
      <c r="C579" t="s">
        <v>315</v>
      </c>
      <c r="D579" t="s">
        <v>213</v>
      </c>
      <c r="E579">
        <v>27</v>
      </c>
      <c r="F579" t="s">
        <v>2</v>
      </c>
      <c r="G579" t="s">
        <v>85</v>
      </c>
      <c r="H579" t="s">
        <v>3067</v>
      </c>
      <c r="I579" s="2">
        <v>6011000</v>
      </c>
      <c r="J579" t="s">
        <v>189</v>
      </c>
      <c r="K579" t="s">
        <v>2500</v>
      </c>
    </row>
    <row r="580" spans="1:11" x14ac:dyDescent="0.25">
      <c r="A580" t="s">
        <v>1275</v>
      </c>
      <c r="B580" s="3">
        <v>46281</v>
      </c>
      <c r="C580" t="s">
        <v>486</v>
      </c>
      <c r="D580" t="s">
        <v>479</v>
      </c>
      <c r="E580">
        <v>39</v>
      </c>
      <c r="F580" t="s">
        <v>469</v>
      </c>
      <c r="G580" t="s">
        <v>61</v>
      </c>
      <c r="H580" t="s">
        <v>3068</v>
      </c>
      <c r="I580" s="2">
        <v>34000</v>
      </c>
      <c r="J580" t="s">
        <v>52</v>
      </c>
      <c r="K580" t="s">
        <v>2509</v>
      </c>
    </row>
    <row r="581" spans="1:11" x14ac:dyDescent="0.25">
      <c r="A581" t="s">
        <v>1276</v>
      </c>
      <c r="B581" s="3">
        <v>46281</v>
      </c>
      <c r="C581" t="s">
        <v>268</v>
      </c>
      <c r="D581" t="s">
        <v>216</v>
      </c>
      <c r="E581">
        <v>42</v>
      </c>
      <c r="F581" t="s">
        <v>2</v>
      </c>
      <c r="G581" t="s">
        <v>85</v>
      </c>
      <c r="H581" t="s">
        <v>3069</v>
      </c>
      <c r="I581" s="2">
        <v>864000</v>
      </c>
      <c r="J581" t="s">
        <v>242</v>
      </c>
      <c r="K581" t="s">
        <v>2513</v>
      </c>
    </row>
    <row r="582" spans="1:11" x14ac:dyDescent="0.25">
      <c r="A582" t="s">
        <v>1277</v>
      </c>
      <c r="B582" s="3">
        <v>46281</v>
      </c>
      <c r="C582" t="s">
        <v>283</v>
      </c>
      <c r="D582" t="s">
        <v>234</v>
      </c>
      <c r="E582">
        <v>13</v>
      </c>
      <c r="F582" t="s">
        <v>2</v>
      </c>
      <c r="G582" t="s">
        <v>36</v>
      </c>
      <c r="H582" t="s">
        <v>3070</v>
      </c>
      <c r="I582" s="2">
        <v>490000</v>
      </c>
      <c r="J582" t="s">
        <v>59</v>
      </c>
      <c r="K582" t="s">
        <v>2509</v>
      </c>
    </row>
    <row r="583" spans="1:11" x14ac:dyDescent="0.25">
      <c r="A583" t="s">
        <v>1278</v>
      </c>
      <c r="B583" s="3">
        <v>46281</v>
      </c>
      <c r="C583" t="s">
        <v>308</v>
      </c>
      <c r="D583" t="s">
        <v>227</v>
      </c>
      <c r="E583">
        <v>70</v>
      </c>
      <c r="F583" t="s">
        <v>2</v>
      </c>
      <c r="G583" t="s">
        <v>40</v>
      </c>
      <c r="H583" t="s">
        <v>3071</v>
      </c>
      <c r="I583" s="2">
        <v>789000</v>
      </c>
      <c r="J583" t="s">
        <v>259</v>
      </c>
      <c r="K583" t="s">
        <v>2509</v>
      </c>
    </row>
    <row r="584" spans="1:11" x14ac:dyDescent="0.25">
      <c r="A584" t="s">
        <v>1279</v>
      </c>
      <c r="B584" s="3">
        <v>46281</v>
      </c>
      <c r="C584" t="s">
        <v>437</v>
      </c>
      <c r="D584" t="s">
        <v>354</v>
      </c>
      <c r="E584">
        <v>49</v>
      </c>
      <c r="F584" t="s">
        <v>355</v>
      </c>
      <c r="G584" t="s">
        <v>85</v>
      </c>
      <c r="H584" t="s">
        <v>3072</v>
      </c>
      <c r="I584" s="2">
        <v>13000</v>
      </c>
      <c r="J584" t="s">
        <v>289</v>
      </c>
      <c r="K584" t="s">
        <v>2500</v>
      </c>
    </row>
    <row r="585" spans="1:11" x14ac:dyDescent="0.25">
      <c r="A585" t="s">
        <v>1280</v>
      </c>
      <c r="B585" s="3">
        <v>46281</v>
      </c>
      <c r="C585" t="s">
        <v>157</v>
      </c>
      <c r="D585" t="s">
        <v>44</v>
      </c>
      <c r="E585">
        <v>11</v>
      </c>
      <c r="F585" t="s">
        <v>2</v>
      </c>
      <c r="G585" t="s">
        <v>81</v>
      </c>
      <c r="H585" t="s">
        <v>3073</v>
      </c>
      <c r="I585" s="2">
        <v>66000</v>
      </c>
      <c r="J585" t="s">
        <v>158</v>
      </c>
      <c r="K585" t="s">
        <v>2513</v>
      </c>
    </row>
    <row r="586" spans="1:11" x14ac:dyDescent="0.25">
      <c r="A586" t="s">
        <v>1281</v>
      </c>
      <c r="B586" s="3">
        <v>46281</v>
      </c>
      <c r="C586" t="s">
        <v>194</v>
      </c>
      <c r="D586" t="s">
        <v>47</v>
      </c>
      <c r="E586">
        <v>41</v>
      </c>
      <c r="F586" t="s">
        <v>2</v>
      </c>
      <c r="G586" t="s">
        <v>32</v>
      </c>
      <c r="H586" t="s">
        <v>3074</v>
      </c>
      <c r="I586" s="2">
        <v>284000</v>
      </c>
      <c r="J586" t="s">
        <v>195</v>
      </c>
      <c r="K586" t="s">
        <v>2500</v>
      </c>
    </row>
    <row r="587" spans="1:11" x14ac:dyDescent="0.25">
      <c r="A587" t="s">
        <v>1282</v>
      </c>
      <c r="B587" s="3">
        <v>46281</v>
      </c>
      <c r="C587" t="s">
        <v>642</v>
      </c>
      <c r="D587" t="s">
        <v>585</v>
      </c>
      <c r="E587">
        <v>67</v>
      </c>
      <c r="F587" t="s">
        <v>355</v>
      </c>
      <c r="G587" t="s">
        <v>55</v>
      </c>
      <c r="H587" t="s">
        <v>3075</v>
      </c>
      <c r="I587" s="2">
        <v>26000</v>
      </c>
      <c r="J587" t="s">
        <v>79</v>
      </c>
      <c r="K587" t="s">
        <v>2509</v>
      </c>
    </row>
    <row r="588" spans="1:11" x14ac:dyDescent="0.25">
      <c r="A588" t="s">
        <v>1283</v>
      </c>
      <c r="B588" s="3">
        <v>46282</v>
      </c>
      <c r="C588" t="s">
        <v>25</v>
      </c>
      <c r="D588" t="s">
        <v>26</v>
      </c>
      <c r="E588">
        <v>65</v>
      </c>
      <c r="F588" t="s">
        <v>2</v>
      </c>
      <c r="G588" t="s">
        <v>17</v>
      </c>
      <c r="H588" t="s">
        <v>3076</v>
      </c>
      <c r="I588" s="2">
        <v>438000</v>
      </c>
      <c r="J588" t="s">
        <v>27</v>
      </c>
      <c r="K588" t="s">
        <v>2503</v>
      </c>
    </row>
    <row r="589" spans="1:11" x14ac:dyDescent="0.25">
      <c r="A589" t="s">
        <v>1284</v>
      </c>
      <c r="B589" s="3">
        <v>46282</v>
      </c>
      <c r="C589" t="s">
        <v>91</v>
      </c>
      <c r="D589" t="s">
        <v>47</v>
      </c>
      <c r="E589">
        <v>18</v>
      </c>
      <c r="F589" t="s">
        <v>2</v>
      </c>
      <c r="G589" t="s">
        <v>17</v>
      </c>
      <c r="H589" t="s">
        <v>3077</v>
      </c>
      <c r="I589" s="2">
        <v>360000</v>
      </c>
      <c r="J589" t="s">
        <v>83</v>
      </c>
      <c r="K589" t="s">
        <v>2503</v>
      </c>
    </row>
    <row r="590" spans="1:11" x14ac:dyDescent="0.25">
      <c r="A590" t="s">
        <v>1285</v>
      </c>
      <c r="B590" s="3">
        <v>46282</v>
      </c>
      <c r="C590" t="s">
        <v>278</v>
      </c>
      <c r="D590" t="s">
        <v>261</v>
      </c>
      <c r="E590">
        <v>31</v>
      </c>
      <c r="F590" t="s">
        <v>2</v>
      </c>
      <c r="G590" t="s">
        <v>55</v>
      </c>
      <c r="H590" t="s">
        <v>3078</v>
      </c>
      <c r="I590" s="2">
        <v>507000</v>
      </c>
      <c r="J590" t="s">
        <v>279</v>
      </c>
      <c r="K590" t="s">
        <v>2513</v>
      </c>
    </row>
    <row r="591" spans="1:11" x14ac:dyDescent="0.25">
      <c r="A591" t="s">
        <v>1286</v>
      </c>
      <c r="B591" s="3">
        <v>46282</v>
      </c>
      <c r="C591" t="s">
        <v>655</v>
      </c>
      <c r="D591" t="s">
        <v>597</v>
      </c>
      <c r="E591">
        <v>34</v>
      </c>
      <c r="F591" t="s">
        <v>355</v>
      </c>
      <c r="G591" t="s">
        <v>61</v>
      </c>
      <c r="H591" t="s">
        <v>3079</v>
      </c>
      <c r="I591" s="2">
        <v>55000</v>
      </c>
      <c r="J591" t="s">
        <v>289</v>
      </c>
      <c r="K591" t="s">
        <v>2503</v>
      </c>
    </row>
    <row r="592" spans="1:11" x14ac:dyDescent="0.25">
      <c r="A592" t="s">
        <v>1287</v>
      </c>
      <c r="B592" s="3">
        <v>46282</v>
      </c>
      <c r="C592" t="s">
        <v>607</v>
      </c>
      <c r="D592" t="s">
        <v>587</v>
      </c>
      <c r="E592">
        <v>61</v>
      </c>
      <c r="F592" t="s">
        <v>2</v>
      </c>
      <c r="G592" t="s">
        <v>32</v>
      </c>
      <c r="H592" t="s">
        <v>3080</v>
      </c>
      <c r="I592" s="2">
        <v>47000</v>
      </c>
      <c r="J592" t="s">
        <v>149</v>
      </c>
      <c r="K592" t="s">
        <v>2509</v>
      </c>
    </row>
    <row r="593" spans="1:11" x14ac:dyDescent="0.25">
      <c r="A593" t="s">
        <v>1288</v>
      </c>
      <c r="B593" s="3">
        <v>46282</v>
      </c>
      <c r="C593" t="s">
        <v>537</v>
      </c>
      <c r="D593" t="s">
        <v>479</v>
      </c>
      <c r="E593">
        <v>65</v>
      </c>
      <c r="F593" t="s">
        <v>469</v>
      </c>
      <c r="G593" t="s">
        <v>55</v>
      </c>
      <c r="H593" t="s">
        <v>3081</v>
      </c>
      <c r="I593" s="2">
        <v>28000</v>
      </c>
      <c r="J593" t="s">
        <v>173</v>
      </c>
      <c r="K593" t="s">
        <v>2503</v>
      </c>
    </row>
    <row r="594" spans="1:11" x14ac:dyDescent="0.25">
      <c r="A594" t="s">
        <v>1289</v>
      </c>
      <c r="B594" s="3">
        <v>46282</v>
      </c>
      <c r="C594" t="s">
        <v>667</v>
      </c>
      <c r="D594" t="s">
        <v>602</v>
      </c>
      <c r="E594">
        <v>39</v>
      </c>
      <c r="F594" t="s">
        <v>2</v>
      </c>
      <c r="G594" t="s">
        <v>85</v>
      </c>
      <c r="H594" t="s">
        <v>3082</v>
      </c>
      <c r="I594" s="2">
        <v>128000</v>
      </c>
      <c r="J594" t="s">
        <v>201</v>
      </c>
      <c r="K594" t="s">
        <v>2513</v>
      </c>
    </row>
    <row r="595" spans="1:11" x14ac:dyDescent="0.25">
      <c r="A595" t="s">
        <v>1290</v>
      </c>
      <c r="B595" s="3">
        <v>46282</v>
      </c>
      <c r="C595" t="s">
        <v>367</v>
      </c>
      <c r="D595" t="s">
        <v>344</v>
      </c>
      <c r="E595">
        <v>20</v>
      </c>
      <c r="F595" t="s">
        <v>346</v>
      </c>
      <c r="G595" t="s">
        <v>32</v>
      </c>
      <c r="H595" t="s">
        <v>3083</v>
      </c>
      <c r="I595" s="2">
        <v>67000</v>
      </c>
      <c r="J595" t="s">
        <v>368</v>
      </c>
      <c r="K595" t="s">
        <v>2500</v>
      </c>
    </row>
    <row r="596" spans="1:11" x14ac:dyDescent="0.25">
      <c r="A596" t="s">
        <v>1291</v>
      </c>
      <c r="B596" s="3">
        <v>46282</v>
      </c>
      <c r="C596" t="s">
        <v>343</v>
      </c>
      <c r="D596" t="s">
        <v>344</v>
      </c>
      <c r="E596">
        <v>64</v>
      </c>
      <c r="F596" t="s">
        <v>346</v>
      </c>
      <c r="G596" t="s">
        <v>48</v>
      </c>
      <c r="H596" t="s">
        <v>2697</v>
      </c>
      <c r="I596" s="2">
        <v>51000</v>
      </c>
      <c r="J596" t="s">
        <v>147</v>
      </c>
      <c r="K596" t="s">
        <v>2503</v>
      </c>
    </row>
    <row r="597" spans="1:11" x14ac:dyDescent="0.25">
      <c r="A597" t="s">
        <v>1292</v>
      </c>
      <c r="B597" s="3">
        <v>46282</v>
      </c>
      <c r="C597" t="s">
        <v>273</v>
      </c>
      <c r="D597" t="s">
        <v>234</v>
      </c>
      <c r="E597">
        <v>24</v>
      </c>
      <c r="F597" t="s">
        <v>2</v>
      </c>
      <c r="G597" t="s">
        <v>55</v>
      </c>
      <c r="H597" t="s">
        <v>3084</v>
      </c>
      <c r="I597" s="2">
        <v>1537000</v>
      </c>
      <c r="J597" t="s">
        <v>274</v>
      </c>
      <c r="K597" t="s">
        <v>2500</v>
      </c>
    </row>
    <row r="598" spans="1:11" x14ac:dyDescent="0.25">
      <c r="A598" t="s">
        <v>1293</v>
      </c>
      <c r="B598" s="3">
        <v>46282</v>
      </c>
      <c r="C598" t="s">
        <v>146</v>
      </c>
      <c r="D598" t="s">
        <v>1</v>
      </c>
      <c r="E598">
        <v>6</v>
      </c>
      <c r="F598" t="s">
        <v>2</v>
      </c>
      <c r="G598" t="s">
        <v>36</v>
      </c>
      <c r="H598" t="s">
        <v>3085</v>
      </c>
      <c r="I598" s="2">
        <v>129000</v>
      </c>
      <c r="J598" t="s">
        <v>147</v>
      </c>
      <c r="K598" t="s">
        <v>2503</v>
      </c>
    </row>
    <row r="599" spans="1:11" x14ac:dyDescent="0.25">
      <c r="A599" t="s">
        <v>1294</v>
      </c>
      <c r="B599" s="3">
        <v>46282</v>
      </c>
      <c r="C599" t="s">
        <v>610</v>
      </c>
      <c r="D599" t="s">
        <v>582</v>
      </c>
      <c r="E599">
        <v>70</v>
      </c>
      <c r="F599" t="s">
        <v>2</v>
      </c>
      <c r="G599" t="s">
        <v>32</v>
      </c>
      <c r="H599" t="s">
        <v>3086</v>
      </c>
      <c r="I599" s="2">
        <v>157000</v>
      </c>
      <c r="J599" t="s">
        <v>147</v>
      </c>
      <c r="K599" t="s">
        <v>2509</v>
      </c>
    </row>
    <row r="600" spans="1:11" x14ac:dyDescent="0.25">
      <c r="A600" t="s">
        <v>1295</v>
      </c>
      <c r="B600" s="3">
        <v>46282</v>
      </c>
      <c r="C600" t="s">
        <v>637</v>
      </c>
      <c r="D600" t="s">
        <v>629</v>
      </c>
      <c r="E600">
        <v>61</v>
      </c>
      <c r="F600" t="s">
        <v>355</v>
      </c>
      <c r="G600" t="s">
        <v>85</v>
      </c>
      <c r="H600" t="s">
        <v>3087</v>
      </c>
      <c r="I600" s="2">
        <v>51000</v>
      </c>
      <c r="J600" t="s">
        <v>19</v>
      </c>
      <c r="K600" t="s">
        <v>2503</v>
      </c>
    </row>
    <row r="601" spans="1:11" x14ac:dyDescent="0.25">
      <c r="A601" t="s">
        <v>1296</v>
      </c>
      <c r="B601" s="3">
        <v>46282</v>
      </c>
      <c r="C601" t="s">
        <v>590</v>
      </c>
      <c r="D601" t="s">
        <v>585</v>
      </c>
      <c r="E601">
        <v>30</v>
      </c>
      <c r="F601" t="s">
        <v>355</v>
      </c>
      <c r="G601" t="s">
        <v>32</v>
      </c>
      <c r="H601" t="s">
        <v>3088</v>
      </c>
      <c r="I601" s="2">
        <v>27000</v>
      </c>
      <c r="J601" t="s">
        <v>246</v>
      </c>
      <c r="K601" t="s">
        <v>2503</v>
      </c>
    </row>
    <row r="602" spans="1:11" x14ac:dyDescent="0.25">
      <c r="A602" t="s">
        <v>1297</v>
      </c>
      <c r="B602" s="3">
        <v>46282</v>
      </c>
      <c r="C602" t="s">
        <v>128</v>
      </c>
      <c r="D602" t="s">
        <v>47</v>
      </c>
      <c r="E602">
        <v>38</v>
      </c>
      <c r="F602" t="s">
        <v>2</v>
      </c>
      <c r="G602" t="s">
        <v>36</v>
      </c>
      <c r="H602" t="s">
        <v>3089</v>
      </c>
      <c r="I602" s="2">
        <v>170000</v>
      </c>
      <c r="J602" t="s">
        <v>129</v>
      </c>
      <c r="K602" t="s">
        <v>2503</v>
      </c>
    </row>
    <row r="603" spans="1:11" x14ac:dyDescent="0.25">
      <c r="A603" t="s">
        <v>1298</v>
      </c>
      <c r="B603" s="3">
        <v>46282</v>
      </c>
      <c r="C603" t="s">
        <v>162</v>
      </c>
      <c r="D603" t="s">
        <v>163</v>
      </c>
      <c r="E603">
        <v>47</v>
      </c>
      <c r="F603" t="s">
        <v>2</v>
      </c>
      <c r="G603" t="s">
        <v>40</v>
      </c>
      <c r="H603" t="s">
        <v>3090</v>
      </c>
      <c r="I603" s="2">
        <v>66000</v>
      </c>
      <c r="J603" t="s">
        <v>164</v>
      </c>
      <c r="K603" t="s">
        <v>2513</v>
      </c>
    </row>
    <row r="604" spans="1:11" x14ac:dyDescent="0.25">
      <c r="A604" t="s">
        <v>1299</v>
      </c>
      <c r="B604" s="3">
        <v>46282</v>
      </c>
      <c r="C604" t="s">
        <v>212</v>
      </c>
      <c r="D604" t="s">
        <v>213</v>
      </c>
      <c r="E604">
        <v>22</v>
      </c>
      <c r="F604" t="s">
        <v>2</v>
      </c>
      <c r="G604" t="s">
        <v>36</v>
      </c>
      <c r="H604" t="s">
        <v>3091</v>
      </c>
      <c r="I604" s="2">
        <v>2642000</v>
      </c>
      <c r="J604" t="s">
        <v>129</v>
      </c>
      <c r="K604" t="s">
        <v>2509</v>
      </c>
    </row>
    <row r="605" spans="1:11" x14ac:dyDescent="0.25">
      <c r="A605" t="s">
        <v>1300</v>
      </c>
      <c r="B605" s="3">
        <v>46282</v>
      </c>
      <c r="C605" t="s">
        <v>401</v>
      </c>
      <c r="D605" t="s">
        <v>382</v>
      </c>
      <c r="E605">
        <v>21</v>
      </c>
      <c r="F605" t="s">
        <v>383</v>
      </c>
      <c r="G605" t="s">
        <v>61</v>
      </c>
      <c r="H605" t="s">
        <v>3092</v>
      </c>
      <c r="I605" s="2">
        <v>157000</v>
      </c>
      <c r="J605" t="s">
        <v>19</v>
      </c>
      <c r="K605" t="s">
        <v>2509</v>
      </c>
    </row>
    <row r="606" spans="1:11" x14ac:dyDescent="0.25">
      <c r="A606" t="s">
        <v>1301</v>
      </c>
      <c r="B606" s="3">
        <v>46282</v>
      </c>
      <c r="C606" t="s">
        <v>35</v>
      </c>
      <c r="D606" t="s">
        <v>29</v>
      </c>
      <c r="E606">
        <v>27</v>
      </c>
      <c r="F606" t="s">
        <v>2</v>
      </c>
      <c r="G606" t="s">
        <v>36</v>
      </c>
      <c r="H606" t="s">
        <v>3093</v>
      </c>
      <c r="I606" s="2">
        <v>129000</v>
      </c>
      <c r="J606" t="s">
        <v>38</v>
      </c>
      <c r="K606" t="s">
        <v>2500</v>
      </c>
    </row>
    <row r="607" spans="1:11" x14ac:dyDescent="0.25">
      <c r="A607" t="s">
        <v>1302</v>
      </c>
      <c r="B607" s="3">
        <v>46282</v>
      </c>
      <c r="C607" t="s">
        <v>659</v>
      </c>
      <c r="D607" t="s">
        <v>629</v>
      </c>
      <c r="E607">
        <v>53</v>
      </c>
      <c r="F607" t="s">
        <v>355</v>
      </c>
      <c r="G607" t="s">
        <v>17</v>
      </c>
      <c r="H607" t="s">
        <v>3094</v>
      </c>
      <c r="I607" s="2">
        <v>28000</v>
      </c>
      <c r="J607" t="s">
        <v>67</v>
      </c>
      <c r="K607" t="s">
        <v>2509</v>
      </c>
    </row>
    <row r="608" spans="1:11" x14ac:dyDescent="0.25">
      <c r="A608" t="s">
        <v>1303</v>
      </c>
      <c r="B608" s="3">
        <v>46282</v>
      </c>
      <c r="C608" t="s">
        <v>579</v>
      </c>
      <c r="D608" t="s">
        <v>490</v>
      </c>
      <c r="E608">
        <v>67</v>
      </c>
      <c r="F608" t="s">
        <v>355</v>
      </c>
      <c r="G608" t="s">
        <v>61</v>
      </c>
      <c r="H608" t="s">
        <v>3095</v>
      </c>
      <c r="I608" s="2">
        <v>13000</v>
      </c>
      <c r="J608" t="s">
        <v>93</v>
      </c>
      <c r="K608" t="s">
        <v>2503</v>
      </c>
    </row>
    <row r="609" spans="1:11" x14ac:dyDescent="0.25">
      <c r="A609" t="s">
        <v>1304</v>
      </c>
      <c r="B609" s="3">
        <v>46282</v>
      </c>
      <c r="C609" t="s">
        <v>538</v>
      </c>
      <c r="D609" t="s">
        <v>490</v>
      </c>
      <c r="E609">
        <v>32</v>
      </c>
      <c r="F609" t="s">
        <v>355</v>
      </c>
      <c r="G609" t="s">
        <v>81</v>
      </c>
      <c r="H609" t="s">
        <v>3096</v>
      </c>
      <c r="I609" s="2">
        <v>28000</v>
      </c>
      <c r="J609" t="s">
        <v>327</v>
      </c>
      <c r="K609" t="s">
        <v>2500</v>
      </c>
    </row>
    <row r="610" spans="1:11" x14ac:dyDescent="0.25">
      <c r="A610" t="s">
        <v>1305</v>
      </c>
      <c r="B610" s="3">
        <v>46282</v>
      </c>
      <c r="C610" t="s">
        <v>465</v>
      </c>
      <c r="D610" t="s">
        <v>357</v>
      </c>
      <c r="E610">
        <v>1</v>
      </c>
      <c r="F610" t="s">
        <v>358</v>
      </c>
      <c r="G610" t="s">
        <v>61</v>
      </c>
      <c r="H610" t="s">
        <v>2929</v>
      </c>
      <c r="I610" s="2">
        <v>43000</v>
      </c>
      <c r="J610" t="s">
        <v>221</v>
      </c>
      <c r="K610" t="s">
        <v>2509</v>
      </c>
    </row>
    <row r="611" spans="1:11" x14ac:dyDescent="0.25">
      <c r="A611" t="s">
        <v>1306</v>
      </c>
      <c r="B611" s="3">
        <v>46282</v>
      </c>
      <c r="C611" t="s">
        <v>282</v>
      </c>
      <c r="D611" t="s">
        <v>213</v>
      </c>
      <c r="E611">
        <v>54</v>
      </c>
      <c r="F611" t="s">
        <v>2</v>
      </c>
      <c r="G611" t="s">
        <v>55</v>
      </c>
      <c r="H611" t="s">
        <v>2806</v>
      </c>
      <c r="I611" s="2">
        <v>3794000</v>
      </c>
      <c r="J611" t="s">
        <v>83</v>
      </c>
      <c r="K611" t="s">
        <v>2509</v>
      </c>
    </row>
    <row r="612" spans="1:11" x14ac:dyDescent="0.25">
      <c r="A612" t="s">
        <v>1307</v>
      </c>
      <c r="B612" s="3">
        <v>46282</v>
      </c>
      <c r="C612" t="s">
        <v>670</v>
      </c>
      <c r="D612" t="s">
        <v>599</v>
      </c>
      <c r="E612">
        <v>10</v>
      </c>
      <c r="F612" t="s">
        <v>2</v>
      </c>
      <c r="G612" t="s">
        <v>32</v>
      </c>
      <c r="H612" t="s">
        <v>2755</v>
      </c>
      <c r="I612" s="2">
        <v>124000</v>
      </c>
      <c r="J612" t="s">
        <v>93</v>
      </c>
      <c r="K612" t="s">
        <v>2513</v>
      </c>
    </row>
    <row r="613" spans="1:11" x14ac:dyDescent="0.25">
      <c r="A613" t="s">
        <v>1308</v>
      </c>
      <c r="B613" s="3">
        <v>46282</v>
      </c>
      <c r="C613" t="s">
        <v>644</v>
      </c>
      <c r="D613" t="s">
        <v>629</v>
      </c>
      <c r="E613">
        <v>46</v>
      </c>
      <c r="F613" t="s">
        <v>355</v>
      </c>
      <c r="G613" t="s">
        <v>61</v>
      </c>
      <c r="H613" t="s">
        <v>3097</v>
      </c>
      <c r="I613" s="2">
        <v>36000</v>
      </c>
      <c r="J613" t="s">
        <v>189</v>
      </c>
      <c r="K613" t="s">
        <v>2513</v>
      </c>
    </row>
    <row r="614" spans="1:11" x14ac:dyDescent="0.25">
      <c r="A614" t="s">
        <v>1309</v>
      </c>
      <c r="B614" s="3">
        <v>46282</v>
      </c>
      <c r="C614" t="s">
        <v>560</v>
      </c>
      <c r="D614" t="s">
        <v>467</v>
      </c>
      <c r="E614">
        <v>26</v>
      </c>
      <c r="F614" t="s">
        <v>469</v>
      </c>
      <c r="G614" t="s">
        <v>32</v>
      </c>
      <c r="H614" t="s">
        <v>3098</v>
      </c>
      <c r="I614" s="2">
        <v>27000</v>
      </c>
      <c r="J614" t="s">
        <v>119</v>
      </c>
      <c r="K614" t="s">
        <v>2513</v>
      </c>
    </row>
    <row r="615" spans="1:11" x14ac:dyDescent="0.25">
      <c r="A615" t="s">
        <v>1310</v>
      </c>
      <c r="B615" s="3">
        <v>46282</v>
      </c>
      <c r="C615" t="s">
        <v>411</v>
      </c>
      <c r="D615" t="s">
        <v>366</v>
      </c>
      <c r="E615">
        <v>44</v>
      </c>
      <c r="F615" t="s">
        <v>2</v>
      </c>
      <c r="G615" t="s">
        <v>85</v>
      </c>
      <c r="H615" t="s">
        <v>2691</v>
      </c>
      <c r="I615" s="2">
        <v>68000</v>
      </c>
      <c r="J615" t="s">
        <v>312</v>
      </c>
      <c r="K615" t="s">
        <v>2500</v>
      </c>
    </row>
    <row r="616" spans="1:11" x14ac:dyDescent="0.25">
      <c r="A616" t="s">
        <v>1311</v>
      </c>
      <c r="B616" s="3">
        <v>46282</v>
      </c>
      <c r="C616" t="s">
        <v>187</v>
      </c>
      <c r="D616" t="s">
        <v>54</v>
      </c>
      <c r="E616">
        <v>24</v>
      </c>
      <c r="F616" t="s">
        <v>2</v>
      </c>
      <c r="G616" t="s">
        <v>36</v>
      </c>
      <c r="H616" t="s">
        <v>3099</v>
      </c>
      <c r="I616" s="2">
        <v>122000</v>
      </c>
      <c r="J616" t="s">
        <v>110</v>
      </c>
      <c r="K616" t="s">
        <v>2509</v>
      </c>
    </row>
    <row r="617" spans="1:11" x14ac:dyDescent="0.25">
      <c r="A617" t="s">
        <v>1312</v>
      </c>
      <c r="B617" s="3">
        <v>46282</v>
      </c>
      <c r="C617" t="s">
        <v>676</v>
      </c>
      <c r="D617" t="s">
        <v>612</v>
      </c>
      <c r="E617">
        <v>55</v>
      </c>
      <c r="F617" t="s">
        <v>2</v>
      </c>
      <c r="G617" t="s">
        <v>48</v>
      </c>
      <c r="H617" t="s">
        <v>3100</v>
      </c>
      <c r="I617" s="2">
        <v>27000</v>
      </c>
      <c r="J617" t="s">
        <v>677</v>
      </c>
      <c r="K617" t="s">
        <v>2513</v>
      </c>
    </row>
    <row r="618" spans="1:11" x14ac:dyDescent="0.25">
      <c r="A618" t="s">
        <v>1313</v>
      </c>
      <c r="B618" s="3">
        <v>46282</v>
      </c>
      <c r="C618" t="s">
        <v>427</v>
      </c>
      <c r="D618" t="s">
        <v>364</v>
      </c>
      <c r="E618">
        <v>49</v>
      </c>
      <c r="F618" t="s">
        <v>358</v>
      </c>
      <c r="G618" t="s">
        <v>36</v>
      </c>
      <c r="H618" t="s">
        <v>3101</v>
      </c>
      <c r="I618" s="2">
        <v>20000</v>
      </c>
      <c r="J618" t="s">
        <v>106</v>
      </c>
      <c r="K618" t="s">
        <v>2509</v>
      </c>
    </row>
    <row r="619" spans="1:11" x14ac:dyDescent="0.25">
      <c r="A619" t="s">
        <v>1314</v>
      </c>
      <c r="B619" s="3">
        <v>46282</v>
      </c>
      <c r="C619" t="s">
        <v>319</v>
      </c>
      <c r="D619" t="s">
        <v>234</v>
      </c>
      <c r="E619">
        <v>14</v>
      </c>
      <c r="F619" t="s">
        <v>2</v>
      </c>
      <c r="G619" t="s">
        <v>81</v>
      </c>
      <c r="H619" t="s">
        <v>3102</v>
      </c>
      <c r="I619" s="2">
        <v>393000</v>
      </c>
      <c r="J619" t="s">
        <v>287</v>
      </c>
      <c r="K619" t="s">
        <v>2500</v>
      </c>
    </row>
    <row r="620" spans="1:11" x14ac:dyDescent="0.25">
      <c r="A620" t="s">
        <v>1315</v>
      </c>
      <c r="B620" s="3">
        <v>46282</v>
      </c>
      <c r="C620" t="s">
        <v>194</v>
      </c>
      <c r="D620" t="s">
        <v>47</v>
      </c>
      <c r="E620">
        <v>3</v>
      </c>
      <c r="F620" t="s">
        <v>2</v>
      </c>
      <c r="G620" t="s">
        <v>32</v>
      </c>
      <c r="H620" t="s">
        <v>3103</v>
      </c>
      <c r="I620" s="2">
        <v>284000</v>
      </c>
      <c r="J620" t="s">
        <v>195</v>
      </c>
      <c r="K620" t="s">
        <v>2500</v>
      </c>
    </row>
    <row r="621" spans="1:11" x14ac:dyDescent="0.25">
      <c r="A621" t="s">
        <v>1316</v>
      </c>
      <c r="B621" s="3">
        <v>46282</v>
      </c>
      <c r="C621" t="s">
        <v>451</v>
      </c>
      <c r="D621" t="s">
        <v>351</v>
      </c>
      <c r="E621">
        <v>5</v>
      </c>
      <c r="F621" t="s">
        <v>2</v>
      </c>
      <c r="G621" t="s">
        <v>61</v>
      </c>
      <c r="H621" t="s">
        <v>3104</v>
      </c>
      <c r="I621" s="2">
        <v>451000</v>
      </c>
      <c r="J621" t="s">
        <v>185</v>
      </c>
      <c r="K621" t="s">
        <v>2500</v>
      </c>
    </row>
    <row r="622" spans="1:11" x14ac:dyDescent="0.25">
      <c r="A622" t="s">
        <v>1317</v>
      </c>
      <c r="B622" s="3">
        <v>46282</v>
      </c>
      <c r="C622" t="s">
        <v>639</v>
      </c>
      <c r="D622" t="s">
        <v>585</v>
      </c>
      <c r="E622">
        <v>64</v>
      </c>
      <c r="F622" t="s">
        <v>355</v>
      </c>
      <c r="G622" t="s">
        <v>55</v>
      </c>
      <c r="H622" t="s">
        <v>3105</v>
      </c>
      <c r="I622" s="2">
        <v>34000</v>
      </c>
      <c r="J622" t="s">
        <v>64</v>
      </c>
      <c r="K622" t="s">
        <v>2509</v>
      </c>
    </row>
    <row r="623" spans="1:11" x14ac:dyDescent="0.25">
      <c r="A623" t="s">
        <v>1318</v>
      </c>
      <c r="B623" s="3">
        <v>46283</v>
      </c>
      <c r="C623" t="s">
        <v>88</v>
      </c>
      <c r="D623" t="s">
        <v>26</v>
      </c>
      <c r="E623">
        <v>54</v>
      </c>
      <c r="F623" t="s">
        <v>2</v>
      </c>
      <c r="G623" t="s">
        <v>85</v>
      </c>
      <c r="H623" t="s">
        <v>3106</v>
      </c>
      <c r="I623" s="2">
        <v>209000</v>
      </c>
      <c r="J623" t="s">
        <v>89</v>
      </c>
      <c r="K623" t="s">
        <v>2500</v>
      </c>
    </row>
    <row r="624" spans="1:11" x14ac:dyDescent="0.25">
      <c r="A624" t="s">
        <v>1319</v>
      </c>
      <c r="B624" s="3">
        <v>46283</v>
      </c>
      <c r="C624" t="s">
        <v>94</v>
      </c>
      <c r="D624" t="s">
        <v>15</v>
      </c>
      <c r="E624">
        <v>47</v>
      </c>
      <c r="F624" t="s">
        <v>2</v>
      </c>
      <c r="G624" t="s">
        <v>22</v>
      </c>
      <c r="H624" t="s">
        <v>3107</v>
      </c>
      <c r="I624" s="2">
        <v>148000</v>
      </c>
      <c r="J624" t="s">
        <v>95</v>
      </c>
      <c r="K624" t="s">
        <v>2503</v>
      </c>
    </row>
    <row r="625" spans="1:11" x14ac:dyDescent="0.25">
      <c r="A625" t="s">
        <v>1320</v>
      </c>
      <c r="B625" s="3">
        <v>46283</v>
      </c>
      <c r="C625" t="s">
        <v>688</v>
      </c>
      <c r="D625" t="s">
        <v>589</v>
      </c>
      <c r="E625">
        <v>70</v>
      </c>
      <c r="F625" t="s">
        <v>469</v>
      </c>
      <c r="G625" t="s">
        <v>85</v>
      </c>
      <c r="H625" t="s">
        <v>3108</v>
      </c>
      <c r="I625" s="2">
        <v>16000</v>
      </c>
      <c r="J625" t="s">
        <v>133</v>
      </c>
      <c r="K625" t="s">
        <v>2513</v>
      </c>
    </row>
    <row r="626" spans="1:11" x14ac:dyDescent="0.25">
      <c r="A626" t="s">
        <v>1321</v>
      </c>
      <c r="B626" s="3">
        <v>46283</v>
      </c>
      <c r="C626" t="s">
        <v>586</v>
      </c>
      <c r="D626" t="s">
        <v>587</v>
      </c>
      <c r="E626">
        <v>30</v>
      </c>
      <c r="F626" t="s">
        <v>2</v>
      </c>
      <c r="G626" t="s">
        <v>48</v>
      </c>
      <c r="H626" t="s">
        <v>3109</v>
      </c>
      <c r="I626" s="2">
        <v>16000</v>
      </c>
      <c r="J626" t="s">
        <v>166</v>
      </c>
      <c r="K626" t="s">
        <v>2500</v>
      </c>
    </row>
    <row r="627" spans="1:11" x14ac:dyDescent="0.25">
      <c r="A627" t="s">
        <v>1322</v>
      </c>
      <c r="B627" s="3">
        <v>46283</v>
      </c>
      <c r="C627" t="s">
        <v>308</v>
      </c>
      <c r="D627" t="s">
        <v>227</v>
      </c>
      <c r="E627">
        <v>35</v>
      </c>
      <c r="F627" t="s">
        <v>2</v>
      </c>
      <c r="G627" t="s">
        <v>40</v>
      </c>
      <c r="H627" t="s">
        <v>3110</v>
      </c>
      <c r="I627" s="2">
        <v>789000</v>
      </c>
      <c r="J627" t="s">
        <v>259</v>
      </c>
      <c r="K627" t="s">
        <v>2503</v>
      </c>
    </row>
    <row r="628" spans="1:11" x14ac:dyDescent="0.25">
      <c r="A628" t="s">
        <v>1323</v>
      </c>
      <c r="B628" s="3">
        <v>46283</v>
      </c>
      <c r="C628" t="s">
        <v>500</v>
      </c>
      <c r="D628" t="s">
        <v>488</v>
      </c>
      <c r="E628">
        <v>17</v>
      </c>
      <c r="F628" t="s">
        <v>469</v>
      </c>
      <c r="G628" t="s">
        <v>32</v>
      </c>
      <c r="H628" t="s">
        <v>3111</v>
      </c>
      <c r="I628" s="2">
        <v>89000</v>
      </c>
      <c r="J628" t="s">
        <v>27</v>
      </c>
      <c r="K628" t="s">
        <v>2509</v>
      </c>
    </row>
    <row r="629" spans="1:11" x14ac:dyDescent="0.25">
      <c r="A629" t="s">
        <v>1324</v>
      </c>
      <c r="B629" s="3">
        <v>46283</v>
      </c>
      <c r="C629" t="s">
        <v>328</v>
      </c>
      <c r="D629" t="s">
        <v>240</v>
      </c>
      <c r="E629">
        <v>45</v>
      </c>
      <c r="F629" t="s">
        <v>2</v>
      </c>
      <c r="G629" t="s">
        <v>85</v>
      </c>
      <c r="H629" t="s">
        <v>3112</v>
      </c>
      <c r="I629" s="2">
        <v>381000</v>
      </c>
      <c r="J629" t="s">
        <v>189</v>
      </c>
      <c r="K629" t="s">
        <v>2513</v>
      </c>
    </row>
    <row r="630" spans="1:11" x14ac:dyDescent="0.25">
      <c r="A630" t="s">
        <v>1325</v>
      </c>
      <c r="B630" s="3">
        <v>46283</v>
      </c>
      <c r="C630" t="s">
        <v>141</v>
      </c>
      <c r="D630" t="s">
        <v>66</v>
      </c>
      <c r="E630">
        <v>67</v>
      </c>
      <c r="F630" t="s">
        <v>2</v>
      </c>
      <c r="G630" t="s">
        <v>32</v>
      </c>
      <c r="H630" t="s">
        <v>3113</v>
      </c>
      <c r="I630" s="2">
        <v>175000</v>
      </c>
      <c r="J630" t="s">
        <v>142</v>
      </c>
      <c r="K630" t="s">
        <v>2513</v>
      </c>
    </row>
    <row r="631" spans="1:11" x14ac:dyDescent="0.25">
      <c r="A631" t="s">
        <v>1326</v>
      </c>
      <c r="B631" s="3">
        <v>46283</v>
      </c>
      <c r="C631" t="s">
        <v>402</v>
      </c>
      <c r="D631" t="s">
        <v>344</v>
      </c>
      <c r="E631">
        <v>21</v>
      </c>
      <c r="F631" t="s">
        <v>346</v>
      </c>
      <c r="G631" t="s">
        <v>85</v>
      </c>
      <c r="H631" t="s">
        <v>3114</v>
      </c>
      <c r="I631" s="2">
        <v>70000</v>
      </c>
      <c r="J631" t="s">
        <v>27</v>
      </c>
      <c r="K631" t="s">
        <v>2500</v>
      </c>
    </row>
    <row r="632" spans="1:11" x14ac:dyDescent="0.25">
      <c r="A632" t="s">
        <v>1327</v>
      </c>
      <c r="B632" s="3">
        <v>46283</v>
      </c>
      <c r="C632" t="s">
        <v>403</v>
      </c>
      <c r="D632" t="s">
        <v>364</v>
      </c>
      <c r="E632">
        <v>52</v>
      </c>
      <c r="F632" t="s">
        <v>358</v>
      </c>
      <c r="G632" t="s">
        <v>55</v>
      </c>
      <c r="H632" t="s">
        <v>3115</v>
      </c>
      <c r="I632" s="2">
        <v>27000</v>
      </c>
      <c r="J632" t="s">
        <v>117</v>
      </c>
      <c r="K632" t="s">
        <v>2513</v>
      </c>
    </row>
    <row r="633" spans="1:11" x14ac:dyDescent="0.25">
      <c r="A633" t="s">
        <v>1328</v>
      </c>
      <c r="B633" s="3">
        <v>46283</v>
      </c>
      <c r="C633" t="s">
        <v>693</v>
      </c>
      <c r="D633" t="s">
        <v>582</v>
      </c>
      <c r="E633">
        <v>42</v>
      </c>
      <c r="F633" t="s">
        <v>2</v>
      </c>
      <c r="G633" t="s">
        <v>36</v>
      </c>
      <c r="H633" t="s">
        <v>3116</v>
      </c>
      <c r="I633" s="2">
        <v>136000</v>
      </c>
      <c r="J633" t="s">
        <v>175</v>
      </c>
      <c r="K633" t="s">
        <v>2513</v>
      </c>
    </row>
    <row r="634" spans="1:11" x14ac:dyDescent="0.25">
      <c r="A634" t="s">
        <v>1329</v>
      </c>
      <c r="B634" s="3">
        <v>46283</v>
      </c>
      <c r="C634" t="s">
        <v>320</v>
      </c>
      <c r="D634" t="s">
        <v>227</v>
      </c>
      <c r="E634">
        <v>65</v>
      </c>
      <c r="F634" t="s">
        <v>2</v>
      </c>
      <c r="G634" t="s">
        <v>32</v>
      </c>
      <c r="H634" t="s">
        <v>3117</v>
      </c>
      <c r="I634" s="2">
        <v>762000</v>
      </c>
      <c r="J634" t="s">
        <v>171</v>
      </c>
      <c r="K634" t="s">
        <v>2503</v>
      </c>
    </row>
    <row r="635" spans="1:11" x14ac:dyDescent="0.25">
      <c r="A635" t="s">
        <v>1330</v>
      </c>
      <c r="B635" s="3">
        <v>46283</v>
      </c>
      <c r="C635" t="s">
        <v>376</v>
      </c>
      <c r="D635" t="s">
        <v>351</v>
      </c>
      <c r="E635">
        <v>34</v>
      </c>
      <c r="F635" t="s">
        <v>2</v>
      </c>
      <c r="G635" t="s">
        <v>61</v>
      </c>
      <c r="H635" t="s">
        <v>3118</v>
      </c>
      <c r="I635" s="2">
        <v>639000</v>
      </c>
      <c r="J635" t="s">
        <v>259</v>
      </c>
      <c r="K635" t="s">
        <v>2513</v>
      </c>
    </row>
    <row r="636" spans="1:11" x14ac:dyDescent="0.25">
      <c r="A636" t="s">
        <v>1331</v>
      </c>
      <c r="B636" s="3">
        <v>46283</v>
      </c>
      <c r="C636" t="s">
        <v>693</v>
      </c>
      <c r="D636" t="s">
        <v>582</v>
      </c>
      <c r="E636">
        <v>26</v>
      </c>
      <c r="F636" t="s">
        <v>2</v>
      </c>
      <c r="G636" t="s">
        <v>36</v>
      </c>
      <c r="H636" t="s">
        <v>3119</v>
      </c>
      <c r="I636" s="2">
        <v>136000</v>
      </c>
      <c r="J636" t="s">
        <v>175</v>
      </c>
      <c r="K636" t="s">
        <v>2513</v>
      </c>
    </row>
    <row r="637" spans="1:11" x14ac:dyDescent="0.25">
      <c r="A637" t="s">
        <v>1332</v>
      </c>
      <c r="B637" s="3">
        <v>46283</v>
      </c>
      <c r="C637" t="s">
        <v>579</v>
      </c>
      <c r="D637" t="s">
        <v>490</v>
      </c>
      <c r="E637">
        <v>19</v>
      </c>
      <c r="F637" t="s">
        <v>355</v>
      </c>
      <c r="G637" t="s">
        <v>61</v>
      </c>
      <c r="H637" t="s">
        <v>3120</v>
      </c>
      <c r="I637" s="2">
        <v>13000</v>
      </c>
      <c r="J637" t="s">
        <v>93</v>
      </c>
      <c r="K637" t="s">
        <v>2503</v>
      </c>
    </row>
    <row r="638" spans="1:11" x14ac:dyDescent="0.25">
      <c r="A638" t="s">
        <v>1333</v>
      </c>
      <c r="B638" s="3">
        <v>46283</v>
      </c>
      <c r="C638" t="s">
        <v>475</v>
      </c>
      <c r="D638" t="s">
        <v>476</v>
      </c>
      <c r="E638">
        <v>68</v>
      </c>
      <c r="F638" t="s">
        <v>477</v>
      </c>
      <c r="G638" t="s">
        <v>32</v>
      </c>
      <c r="H638" t="s">
        <v>3121</v>
      </c>
      <c r="I638" s="2">
        <v>7000</v>
      </c>
      <c r="J638" t="s">
        <v>129</v>
      </c>
      <c r="K638" t="s">
        <v>2509</v>
      </c>
    </row>
    <row r="639" spans="1:11" x14ac:dyDescent="0.25">
      <c r="A639" t="s">
        <v>1334</v>
      </c>
      <c r="B639" s="3">
        <v>46283</v>
      </c>
      <c r="C639" t="s">
        <v>111</v>
      </c>
      <c r="D639" t="s">
        <v>66</v>
      </c>
      <c r="E639">
        <v>56</v>
      </c>
      <c r="F639" t="s">
        <v>2</v>
      </c>
      <c r="G639" t="s">
        <v>48</v>
      </c>
      <c r="H639" t="s">
        <v>3122</v>
      </c>
      <c r="I639" s="2">
        <v>174000</v>
      </c>
      <c r="J639" t="s">
        <v>104</v>
      </c>
      <c r="K639" t="s">
        <v>2500</v>
      </c>
    </row>
    <row r="640" spans="1:11" x14ac:dyDescent="0.25">
      <c r="A640" t="s">
        <v>1335</v>
      </c>
      <c r="B640" s="3">
        <v>46283</v>
      </c>
      <c r="C640" t="s">
        <v>402</v>
      </c>
      <c r="D640" t="s">
        <v>344</v>
      </c>
      <c r="E640">
        <v>13</v>
      </c>
      <c r="F640" t="s">
        <v>346</v>
      </c>
      <c r="G640" t="s">
        <v>85</v>
      </c>
      <c r="H640" t="s">
        <v>3123</v>
      </c>
      <c r="I640" s="2">
        <v>70000</v>
      </c>
      <c r="J640" t="s">
        <v>27</v>
      </c>
      <c r="K640" t="s">
        <v>2513</v>
      </c>
    </row>
    <row r="641" spans="1:11" x14ac:dyDescent="0.25">
      <c r="A641" t="s">
        <v>1336</v>
      </c>
      <c r="B641" s="3">
        <v>46283</v>
      </c>
      <c r="C641" t="s">
        <v>266</v>
      </c>
      <c r="D641" t="s">
        <v>240</v>
      </c>
      <c r="E641">
        <v>62</v>
      </c>
      <c r="F641" t="s">
        <v>2</v>
      </c>
      <c r="G641" t="s">
        <v>36</v>
      </c>
      <c r="H641" t="s">
        <v>3124</v>
      </c>
      <c r="I641" s="2">
        <v>454000</v>
      </c>
      <c r="J641" t="s">
        <v>108</v>
      </c>
      <c r="K641" t="s">
        <v>2500</v>
      </c>
    </row>
    <row r="642" spans="1:11" x14ac:dyDescent="0.25">
      <c r="A642" t="s">
        <v>1337</v>
      </c>
      <c r="B642" s="3">
        <v>46283</v>
      </c>
      <c r="C642" t="s">
        <v>417</v>
      </c>
      <c r="D642" t="s">
        <v>349</v>
      </c>
      <c r="E642">
        <v>47</v>
      </c>
      <c r="F642" t="s">
        <v>2</v>
      </c>
      <c r="G642" t="s">
        <v>85</v>
      </c>
      <c r="H642" t="s">
        <v>3125</v>
      </c>
      <c r="I642" s="2">
        <v>5000</v>
      </c>
      <c r="J642" t="s">
        <v>75</v>
      </c>
      <c r="K642" t="s">
        <v>2503</v>
      </c>
    </row>
    <row r="643" spans="1:11" x14ac:dyDescent="0.25">
      <c r="A643" t="s">
        <v>1338</v>
      </c>
      <c r="B643" s="3">
        <v>46283</v>
      </c>
      <c r="C643" t="s">
        <v>31</v>
      </c>
      <c r="D643" t="s">
        <v>29</v>
      </c>
      <c r="E643">
        <v>68</v>
      </c>
      <c r="F643" t="s">
        <v>2</v>
      </c>
      <c r="G643" t="s">
        <v>32</v>
      </c>
      <c r="H643" t="s">
        <v>3126</v>
      </c>
      <c r="I643" s="2">
        <v>254000</v>
      </c>
      <c r="J643" t="s">
        <v>34</v>
      </c>
      <c r="K643" t="s">
        <v>2509</v>
      </c>
    </row>
    <row r="644" spans="1:11" x14ac:dyDescent="0.25">
      <c r="A644" t="s">
        <v>1339</v>
      </c>
      <c r="B644" s="3">
        <v>46283</v>
      </c>
      <c r="C644" t="s">
        <v>690</v>
      </c>
      <c r="D644" t="s">
        <v>597</v>
      </c>
      <c r="E644">
        <v>57</v>
      </c>
      <c r="F644" t="s">
        <v>355</v>
      </c>
      <c r="G644" t="s">
        <v>48</v>
      </c>
      <c r="H644" t="s">
        <v>3127</v>
      </c>
      <c r="I644" s="2">
        <v>33000</v>
      </c>
      <c r="J644" t="s">
        <v>52</v>
      </c>
      <c r="K644" t="s">
        <v>2503</v>
      </c>
    </row>
    <row r="645" spans="1:11" x14ac:dyDescent="0.25">
      <c r="A645" t="s">
        <v>1340</v>
      </c>
      <c r="B645" s="3">
        <v>46283</v>
      </c>
      <c r="C645" t="s">
        <v>634</v>
      </c>
      <c r="D645" t="s">
        <v>597</v>
      </c>
      <c r="E645">
        <v>34</v>
      </c>
      <c r="F645" t="s">
        <v>355</v>
      </c>
      <c r="G645" t="s">
        <v>61</v>
      </c>
      <c r="H645" t="s">
        <v>3128</v>
      </c>
      <c r="I645" s="2">
        <v>52000</v>
      </c>
      <c r="J645" t="s">
        <v>265</v>
      </c>
      <c r="K645" t="s">
        <v>2513</v>
      </c>
    </row>
    <row r="646" spans="1:11" x14ac:dyDescent="0.25">
      <c r="A646" t="s">
        <v>1341</v>
      </c>
      <c r="B646" s="3">
        <v>46283</v>
      </c>
      <c r="C646" t="s">
        <v>590</v>
      </c>
      <c r="D646" t="s">
        <v>585</v>
      </c>
      <c r="E646">
        <v>23</v>
      </c>
      <c r="F646" t="s">
        <v>355</v>
      </c>
      <c r="G646" t="s">
        <v>32</v>
      </c>
      <c r="H646" t="s">
        <v>3129</v>
      </c>
      <c r="I646" s="2">
        <v>27000</v>
      </c>
      <c r="J646" t="s">
        <v>246</v>
      </c>
      <c r="K646" t="s">
        <v>2509</v>
      </c>
    </row>
    <row r="647" spans="1:11" x14ac:dyDescent="0.25">
      <c r="A647" t="s">
        <v>1342</v>
      </c>
      <c r="B647" s="3">
        <v>46283</v>
      </c>
      <c r="C647" t="s">
        <v>180</v>
      </c>
      <c r="D647" t="s">
        <v>15</v>
      </c>
      <c r="E647">
        <v>18</v>
      </c>
      <c r="F647" t="s">
        <v>2</v>
      </c>
      <c r="G647" t="s">
        <v>32</v>
      </c>
      <c r="H647" t="s">
        <v>3130</v>
      </c>
      <c r="I647" s="2">
        <v>267000</v>
      </c>
      <c r="J647" t="s">
        <v>181</v>
      </c>
      <c r="K647" t="s">
        <v>2503</v>
      </c>
    </row>
    <row r="648" spans="1:11" x14ac:dyDescent="0.25">
      <c r="A648" t="s">
        <v>1343</v>
      </c>
      <c r="B648" s="3">
        <v>46283</v>
      </c>
      <c r="C648" t="s">
        <v>244</v>
      </c>
      <c r="D648" t="s">
        <v>234</v>
      </c>
      <c r="E648">
        <v>61</v>
      </c>
      <c r="F648" t="s">
        <v>2</v>
      </c>
      <c r="G648" t="s">
        <v>85</v>
      </c>
      <c r="H648" t="s">
        <v>3131</v>
      </c>
      <c r="I648" s="2">
        <v>1621000</v>
      </c>
      <c r="J648" t="s">
        <v>30</v>
      </c>
      <c r="K648" t="s">
        <v>2503</v>
      </c>
    </row>
    <row r="649" spans="1:11" x14ac:dyDescent="0.25">
      <c r="A649" t="s">
        <v>1344</v>
      </c>
      <c r="B649" s="3">
        <v>46283</v>
      </c>
      <c r="C649" t="s">
        <v>518</v>
      </c>
      <c r="D649" t="s">
        <v>467</v>
      </c>
      <c r="E649">
        <v>47</v>
      </c>
      <c r="F649" t="s">
        <v>469</v>
      </c>
      <c r="G649" t="s">
        <v>40</v>
      </c>
      <c r="H649" t="s">
        <v>3132</v>
      </c>
      <c r="I649" s="2">
        <v>36000</v>
      </c>
      <c r="J649" t="s">
        <v>98</v>
      </c>
      <c r="K649" t="s">
        <v>2500</v>
      </c>
    </row>
    <row r="650" spans="1:11" x14ac:dyDescent="0.25">
      <c r="A650" t="s">
        <v>1345</v>
      </c>
      <c r="B650" s="3">
        <v>46283</v>
      </c>
      <c r="C650" t="s">
        <v>687</v>
      </c>
      <c r="D650" t="s">
        <v>612</v>
      </c>
      <c r="E650">
        <v>29</v>
      </c>
      <c r="F650" t="s">
        <v>2</v>
      </c>
      <c r="G650" t="s">
        <v>22</v>
      </c>
      <c r="H650" t="s">
        <v>3133</v>
      </c>
      <c r="I650" s="2">
        <v>21000</v>
      </c>
      <c r="J650" t="s">
        <v>59</v>
      </c>
      <c r="K650" t="s">
        <v>2509</v>
      </c>
    </row>
    <row r="651" spans="1:11" x14ac:dyDescent="0.25">
      <c r="A651" t="s">
        <v>1346</v>
      </c>
      <c r="B651" s="3">
        <v>46283</v>
      </c>
      <c r="C651" t="s">
        <v>418</v>
      </c>
      <c r="D651" t="s">
        <v>349</v>
      </c>
      <c r="E651">
        <v>8</v>
      </c>
      <c r="F651" t="s">
        <v>2</v>
      </c>
      <c r="G651" t="s">
        <v>32</v>
      </c>
      <c r="H651" t="s">
        <v>3134</v>
      </c>
      <c r="I651" s="2">
        <v>4000</v>
      </c>
      <c r="J651" t="s">
        <v>250</v>
      </c>
      <c r="K651" t="s">
        <v>2509</v>
      </c>
    </row>
    <row r="652" spans="1:11" x14ac:dyDescent="0.25">
      <c r="A652" t="s">
        <v>1347</v>
      </c>
      <c r="B652" s="3">
        <v>46283</v>
      </c>
      <c r="C652" t="s">
        <v>143</v>
      </c>
      <c r="D652" t="s">
        <v>47</v>
      </c>
      <c r="E652">
        <v>59</v>
      </c>
      <c r="F652" t="s">
        <v>2</v>
      </c>
      <c r="G652" t="s">
        <v>48</v>
      </c>
      <c r="H652" t="s">
        <v>3135</v>
      </c>
      <c r="I652" s="2">
        <v>171000</v>
      </c>
      <c r="J652" t="s">
        <v>144</v>
      </c>
      <c r="K652" t="s">
        <v>2513</v>
      </c>
    </row>
    <row r="653" spans="1:11" x14ac:dyDescent="0.25">
      <c r="A653" t="s">
        <v>1348</v>
      </c>
      <c r="B653" s="3">
        <v>46283</v>
      </c>
      <c r="C653" t="s">
        <v>179</v>
      </c>
      <c r="D653" t="s">
        <v>47</v>
      </c>
      <c r="E653">
        <v>15</v>
      </c>
      <c r="F653" t="s">
        <v>2</v>
      </c>
      <c r="G653" t="s">
        <v>17</v>
      </c>
      <c r="H653" t="s">
        <v>3136</v>
      </c>
      <c r="I653" s="2">
        <v>482000</v>
      </c>
      <c r="J653" t="s">
        <v>50</v>
      </c>
      <c r="K653" t="s">
        <v>2500</v>
      </c>
    </row>
    <row r="654" spans="1:11" x14ac:dyDescent="0.25">
      <c r="A654" t="s">
        <v>1349</v>
      </c>
      <c r="B654" s="3">
        <v>46283</v>
      </c>
      <c r="C654" t="s">
        <v>96</v>
      </c>
      <c r="D654" t="s">
        <v>26</v>
      </c>
      <c r="E654">
        <v>51</v>
      </c>
      <c r="F654" t="s">
        <v>2</v>
      </c>
      <c r="G654" t="s">
        <v>22</v>
      </c>
      <c r="H654" t="s">
        <v>3137</v>
      </c>
      <c r="I654" s="2">
        <v>481000</v>
      </c>
      <c r="J654" t="s">
        <v>59</v>
      </c>
      <c r="K654" t="s">
        <v>2509</v>
      </c>
    </row>
    <row r="655" spans="1:11" x14ac:dyDescent="0.25">
      <c r="A655" t="s">
        <v>1350</v>
      </c>
      <c r="B655" s="3">
        <v>46283</v>
      </c>
      <c r="C655" t="s">
        <v>90</v>
      </c>
      <c r="D655" t="s">
        <v>15</v>
      </c>
      <c r="E655">
        <v>54</v>
      </c>
      <c r="F655" t="s">
        <v>2</v>
      </c>
      <c r="G655" t="s">
        <v>55</v>
      </c>
      <c r="H655" t="s">
        <v>3138</v>
      </c>
      <c r="I655" s="2">
        <v>279000</v>
      </c>
      <c r="J655" t="s">
        <v>73</v>
      </c>
      <c r="K655" t="s">
        <v>2509</v>
      </c>
    </row>
    <row r="656" spans="1:11" x14ac:dyDescent="0.25">
      <c r="A656" t="s">
        <v>1351</v>
      </c>
      <c r="B656" s="3">
        <v>46283</v>
      </c>
      <c r="C656" t="s">
        <v>592</v>
      </c>
      <c r="D656" t="s">
        <v>585</v>
      </c>
      <c r="E656">
        <v>16</v>
      </c>
      <c r="F656" t="s">
        <v>355</v>
      </c>
      <c r="G656" t="s">
        <v>85</v>
      </c>
      <c r="H656" t="s">
        <v>3139</v>
      </c>
      <c r="I656" s="2">
        <v>20000</v>
      </c>
      <c r="J656" t="s">
        <v>287</v>
      </c>
      <c r="K656" t="s">
        <v>2513</v>
      </c>
    </row>
    <row r="657" spans="1:11" x14ac:dyDescent="0.25">
      <c r="A657" t="s">
        <v>1352</v>
      </c>
      <c r="B657" s="3">
        <v>46283</v>
      </c>
      <c r="C657" t="s">
        <v>664</v>
      </c>
      <c r="D657" t="s">
        <v>612</v>
      </c>
      <c r="E657">
        <v>48</v>
      </c>
      <c r="F657" t="s">
        <v>2</v>
      </c>
      <c r="G657" t="s">
        <v>36</v>
      </c>
      <c r="H657" t="s">
        <v>3140</v>
      </c>
      <c r="I657" s="2">
        <v>15000</v>
      </c>
      <c r="J657" t="s">
        <v>265</v>
      </c>
      <c r="K657" t="s">
        <v>2503</v>
      </c>
    </row>
    <row r="658" spans="1:11" x14ac:dyDescent="0.25">
      <c r="A658" t="s">
        <v>1353</v>
      </c>
      <c r="B658" s="3">
        <v>46284</v>
      </c>
      <c r="C658" t="s">
        <v>207</v>
      </c>
      <c r="D658" t="s">
        <v>29</v>
      </c>
      <c r="E658">
        <v>25</v>
      </c>
      <c r="F658" t="s">
        <v>2</v>
      </c>
      <c r="G658" t="s">
        <v>32</v>
      </c>
      <c r="H658" t="s">
        <v>3141</v>
      </c>
      <c r="I658" s="2">
        <v>269000</v>
      </c>
      <c r="J658" t="s">
        <v>208</v>
      </c>
      <c r="K658" t="s">
        <v>2513</v>
      </c>
    </row>
    <row r="659" spans="1:11" x14ac:dyDescent="0.25">
      <c r="A659" t="s">
        <v>1354</v>
      </c>
      <c r="B659" s="3">
        <v>46284</v>
      </c>
      <c r="C659" t="s">
        <v>560</v>
      </c>
      <c r="D659" t="s">
        <v>467</v>
      </c>
      <c r="E659">
        <v>64</v>
      </c>
      <c r="F659" t="s">
        <v>469</v>
      </c>
      <c r="G659" t="s">
        <v>32</v>
      </c>
      <c r="H659" t="s">
        <v>3142</v>
      </c>
      <c r="I659" s="2">
        <v>27000</v>
      </c>
      <c r="J659" t="s">
        <v>119</v>
      </c>
      <c r="K659" t="s">
        <v>2509</v>
      </c>
    </row>
    <row r="660" spans="1:11" x14ac:dyDescent="0.25">
      <c r="A660" t="s">
        <v>1355</v>
      </c>
      <c r="B660" s="3">
        <v>46284</v>
      </c>
      <c r="C660" t="s">
        <v>632</v>
      </c>
      <c r="D660" t="s">
        <v>587</v>
      </c>
      <c r="E660">
        <v>52</v>
      </c>
      <c r="F660" t="s">
        <v>2</v>
      </c>
      <c r="G660" t="s">
        <v>17</v>
      </c>
      <c r="H660" t="s">
        <v>3143</v>
      </c>
      <c r="I660" s="2">
        <v>44000</v>
      </c>
      <c r="J660" t="s">
        <v>327</v>
      </c>
      <c r="K660" t="s">
        <v>2513</v>
      </c>
    </row>
    <row r="661" spans="1:11" x14ac:dyDescent="0.25">
      <c r="A661" t="s">
        <v>1356</v>
      </c>
      <c r="B661" s="3">
        <v>46284</v>
      </c>
      <c r="C661" t="s">
        <v>116</v>
      </c>
      <c r="D661" t="s">
        <v>54</v>
      </c>
      <c r="E661">
        <v>11</v>
      </c>
      <c r="F661" t="s">
        <v>2</v>
      </c>
      <c r="G661" t="s">
        <v>22</v>
      </c>
      <c r="H661" t="s">
        <v>3144</v>
      </c>
      <c r="I661" s="2">
        <v>147000</v>
      </c>
      <c r="J661" t="s">
        <v>117</v>
      </c>
      <c r="K661" t="s">
        <v>2500</v>
      </c>
    </row>
    <row r="662" spans="1:11" x14ac:dyDescent="0.25">
      <c r="A662" t="s">
        <v>1357</v>
      </c>
      <c r="B662" s="3">
        <v>46284</v>
      </c>
      <c r="C662" t="s">
        <v>515</v>
      </c>
      <c r="D662" t="s">
        <v>488</v>
      </c>
      <c r="E662">
        <v>56</v>
      </c>
      <c r="F662" t="s">
        <v>469</v>
      </c>
      <c r="G662" t="s">
        <v>36</v>
      </c>
      <c r="H662" t="s">
        <v>3145</v>
      </c>
      <c r="I662" s="2">
        <v>45000</v>
      </c>
      <c r="J662" t="s">
        <v>292</v>
      </c>
      <c r="K662" t="s">
        <v>2513</v>
      </c>
    </row>
    <row r="663" spans="1:11" x14ac:dyDescent="0.25">
      <c r="A663" t="s">
        <v>1358</v>
      </c>
      <c r="B663" s="3">
        <v>46284</v>
      </c>
      <c r="C663" t="s">
        <v>671</v>
      </c>
      <c r="D663" t="s">
        <v>629</v>
      </c>
      <c r="E663">
        <v>21</v>
      </c>
      <c r="F663" t="s">
        <v>355</v>
      </c>
      <c r="G663" t="s">
        <v>36</v>
      </c>
      <c r="H663" t="s">
        <v>3146</v>
      </c>
      <c r="I663" s="2">
        <v>25000</v>
      </c>
      <c r="J663" t="s">
        <v>89</v>
      </c>
      <c r="K663" t="s">
        <v>2503</v>
      </c>
    </row>
    <row r="664" spans="1:11" x14ac:dyDescent="0.25">
      <c r="A664" t="s">
        <v>1359</v>
      </c>
      <c r="B664" s="3">
        <v>46284</v>
      </c>
      <c r="C664" t="s">
        <v>580</v>
      </c>
      <c r="D664" t="s">
        <v>490</v>
      </c>
      <c r="E664">
        <v>46</v>
      </c>
      <c r="F664" t="s">
        <v>355</v>
      </c>
      <c r="G664" t="s">
        <v>36</v>
      </c>
      <c r="H664" t="s">
        <v>3147</v>
      </c>
      <c r="I664" s="2">
        <v>18000</v>
      </c>
      <c r="J664" t="s">
        <v>69</v>
      </c>
      <c r="K664" t="s">
        <v>2509</v>
      </c>
    </row>
    <row r="665" spans="1:11" x14ac:dyDescent="0.25">
      <c r="A665" t="s">
        <v>1360</v>
      </c>
      <c r="B665" s="3">
        <v>46284</v>
      </c>
      <c r="C665" t="s">
        <v>323</v>
      </c>
      <c r="D665" t="s">
        <v>240</v>
      </c>
      <c r="E665">
        <v>31</v>
      </c>
      <c r="F665" t="s">
        <v>2</v>
      </c>
      <c r="G665" t="s">
        <v>48</v>
      </c>
      <c r="H665" t="s">
        <v>3148</v>
      </c>
      <c r="I665" s="2">
        <v>439000</v>
      </c>
      <c r="J665" t="s">
        <v>324</v>
      </c>
      <c r="K665" t="s">
        <v>2500</v>
      </c>
    </row>
    <row r="666" spans="1:11" x14ac:dyDescent="0.25">
      <c r="A666" t="s">
        <v>1361</v>
      </c>
      <c r="B666" s="3">
        <v>46284</v>
      </c>
      <c r="C666" t="s">
        <v>63</v>
      </c>
      <c r="D666" t="s">
        <v>26</v>
      </c>
      <c r="E666">
        <v>16</v>
      </c>
      <c r="F666" t="s">
        <v>2</v>
      </c>
      <c r="G666" t="s">
        <v>55</v>
      </c>
      <c r="H666" t="s">
        <v>2905</v>
      </c>
      <c r="I666" s="2">
        <v>515000</v>
      </c>
      <c r="J666" t="s">
        <v>64</v>
      </c>
      <c r="K666" t="s">
        <v>2503</v>
      </c>
    </row>
    <row r="667" spans="1:11" x14ac:dyDescent="0.25">
      <c r="A667" t="s">
        <v>1362</v>
      </c>
      <c r="B667" s="3">
        <v>46284</v>
      </c>
      <c r="C667" t="s">
        <v>338</v>
      </c>
      <c r="D667" t="s">
        <v>213</v>
      </c>
      <c r="E667">
        <v>56</v>
      </c>
      <c r="F667" t="s">
        <v>2</v>
      </c>
      <c r="G667" t="s">
        <v>32</v>
      </c>
      <c r="H667" t="s">
        <v>3149</v>
      </c>
      <c r="I667" s="2">
        <v>1621000</v>
      </c>
      <c r="J667" t="s">
        <v>34</v>
      </c>
      <c r="K667" t="s">
        <v>2500</v>
      </c>
    </row>
    <row r="668" spans="1:11" x14ac:dyDescent="0.25">
      <c r="A668" t="s">
        <v>1363</v>
      </c>
      <c r="B668" s="3">
        <v>46284</v>
      </c>
      <c r="C668" t="s">
        <v>510</v>
      </c>
      <c r="D668" t="s">
        <v>479</v>
      </c>
      <c r="E668">
        <v>4</v>
      </c>
      <c r="F668" t="s">
        <v>469</v>
      </c>
      <c r="G668" t="s">
        <v>48</v>
      </c>
      <c r="H668" t="s">
        <v>3150</v>
      </c>
      <c r="I668" s="2">
        <v>27000</v>
      </c>
      <c r="J668" t="s">
        <v>117</v>
      </c>
      <c r="K668" t="s">
        <v>2503</v>
      </c>
    </row>
    <row r="669" spans="1:11" x14ac:dyDescent="0.25">
      <c r="A669" t="s">
        <v>1364</v>
      </c>
      <c r="B669" s="3">
        <v>46284</v>
      </c>
      <c r="C669" t="s">
        <v>408</v>
      </c>
      <c r="D669" t="s">
        <v>354</v>
      </c>
      <c r="E669">
        <v>34</v>
      </c>
      <c r="F669" t="s">
        <v>355</v>
      </c>
      <c r="G669" t="s">
        <v>36</v>
      </c>
      <c r="H669" t="s">
        <v>3151</v>
      </c>
      <c r="I669" s="2">
        <v>27000</v>
      </c>
      <c r="J669" t="s">
        <v>219</v>
      </c>
      <c r="K669" t="s">
        <v>2500</v>
      </c>
    </row>
    <row r="670" spans="1:11" x14ac:dyDescent="0.25">
      <c r="A670" t="s">
        <v>1365</v>
      </c>
      <c r="B670" s="3">
        <v>46284</v>
      </c>
      <c r="C670" t="s">
        <v>204</v>
      </c>
      <c r="D670" t="s">
        <v>15</v>
      </c>
      <c r="E670">
        <v>57</v>
      </c>
      <c r="F670" t="s">
        <v>2</v>
      </c>
      <c r="G670" t="s">
        <v>85</v>
      </c>
      <c r="H670" t="s">
        <v>3152</v>
      </c>
      <c r="I670" s="2">
        <v>236000</v>
      </c>
      <c r="J670" t="s">
        <v>52</v>
      </c>
      <c r="K670" t="s">
        <v>2503</v>
      </c>
    </row>
    <row r="671" spans="1:11" x14ac:dyDescent="0.25">
      <c r="A671" t="s">
        <v>1366</v>
      </c>
      <c r="B671" s="3">
        <v>46284</v>
      </c>
      <c r="C671" t="s">
        <v>325</v>
      </c>
      <c r="D671" t="s">
        <v>227</v>
      </c>
      <c r="E671">
        <v>28</v>
      </c>
      <c r="F671" t="s">
        <v>2</v>
      </c>
      <c r="G671" t="s">
        <v>61</v>
      </c>
      <c r="H671" t="s">
        <v>3153</v>
      </c>
      <c r="I671" s="2">
        <v>1037000</v>
      </c>
      <c r="J671" t="s">
        <v>34</v>
      </c>
      <c r="K671" t="s">
        <v>2509</v>
      </c>
    </row>
    <row r="672" spans="1:11" x14ac:dyDescent="0.25">
      <c r="A672" t="s">
        <v>1367</v>
      </c>
      <c r="B672" s="3">
        <v>46284</v>
      </c>
      <c r="C672" t="s">
        <v>691</v>
      </c>
      <c r="D672" t="s">
        <v>585</v>
      </c>
      <c r="E672">
        <v>7</v>
      </c>
      <c r="F672" t="s">
        <v>355</v>
      </c>
      <c r="G672" t="s">
        <v>17</v>
      </c>
      <c r="H672" t="s">
        <v>3154</v>
      </c>
      <c r="I672" s="2">
        <v>22000</v>
      </c>
      <c r="J672" t="s">
        <v>19</v>
      </c>
      <c r="K672" t="s">
        <v>2503</v>
      </c>
    </row>
    <row r="673" spans="1:11" x14ac:dyDescent="0.25">
      <c r="A673" t="s">
        <v>1368</v>
      </c>
      <c r="B673" s="3">
        <v>46284</v>
      </c>
      <c r="C673" t="s">
        <v>628</v>
      </c>
      <c r="D673" t="s">
        <v>629</v>
      </c>
      <c r="E673">
        <v>47</v>
      </c>
      <c r="F673" t="s">
        <v>355</v>
      </c>
      <c r="G673" t="s">
        <v>36</v>
      </c>
      <c r="H673" t="s">
        <v>3155</v>
      </c>
      <c r="I673" s="2">
        <v>17000</v>
      </c>
      <c r="J673" t="s">
        <v>397</v>
      </c>
      <c r="K673" t="s">
        <v>2509</v>
      </c>
    </row>
    <row r="674" spans="1:11" x14ac:dyDescent="0.25">
      <c r="A674" t="s">
        <v>1369</v>
      </c>
      <c r="B674" s="3">
        <v>46284</v>
      </c>
      <c r="C674" t="s">
        <v>284</v>
      </c>
      <c r="D674" t="s">
        <v>213</v>
      </c>
      <c r="E674">
        <v>18</v>
      </c>
      <c r="F674" t="s">
        <v>2</v>
      </c>
      <c r="G674" t="s">
        <v>85</v>
      </c>
      <c r="H674" t="s">
        <v>3156</v>
      </c>
      <c r="I674" s="2">
        <v>2006000</v>
      </c>
      <c r="J674" t="s">
        <v>108</v>
      </c>
      <c r="K674" t="s">
        <v>2513</v>
      </c>
    </row>
    <row r="675" spans="1:11" x14ac:dyDescent="0.25">
      <c r="A675" t="s">
        <v>1370</v>
      </c>
      <c r="B675" s="3">
        <v>46284</v>
      </c>
      <c r="C675" t="s">
        <v>39</v>
      </c>
      <c r="D675" t="s">
        <v>21</v>
      </c>
      <c r="E675">
        <v>45</v>
      </c>
      <c r="F675" t="s">
        <v>2</v>
      </c>
      <c r="G675" t="s">
        <v>40</v>
      </c>
      <c r="H675" t="s">
        <v>3157</v>
      </c>
      <c r="I675" s="2">
        <v>35000</v>
      </c>
      <c r="J675" t="s">
        <v>42</v>
      </c>
      <c r="K675" t="s">
        <v>2503</v>
      </c>
    </row>
    <row r="676" spans="1:11" x14ac:dyDescent="0.25">
      <c r="A676" t="s">
        <v>1371</v>
      </c>
      <c r="B676" s="3">
        <v>46284</v>
      </c>
      <c r="C676" t="s">
        <v>613</v>
      </c>
      <c r="D676" t="s">
        <v>597</v>
      </c>
      <c r="E676">
        <v>21</v>
      </c>
      <c r="F676" t="s">
        <v>355</v>
      </c>
      <c r="G676" t="s">
        <v>32</v>
      </c>
      <c r="H676" t="s">
        <v>3158</v>
      </c>
      <c r="I676" s="2">
        <v>48000</v>
      </c>
      <c r="J676" t="s">
        <v>221</v>
      </c>
      <c r="K676" t="s">
        <v>2513</v>
      </c>
    </row>
    <row r="677" spans="1:11" x14ac:dyDescent="0.25">
      <c r="A677" t="s">
        <v>1372</v>
      </c>
      <c r="B677" s="3">
        <v>46284</v>
      </c>
      <c r="C677" t="s">
        <v>572</v>
      </c>
      <c r="D677" t="s">
        <v>490</v>
      </c>
      <c r="E677">
        <v>42</v>
      </c>
      <c r="F677" t="s">
        <v>355</v>
      </c>
      <c r="G677" t="s">
        <v>17</v>
      </c>
      <c r="H677" t="s">
        <v>3159</v>
      </c>
      <c r="I677" s="2">
        <v>13000</v>
      </c>
      <c r="J677" t="s">
        <v>27</v>
      </c>
      <c r="K677" t="s">
        <v>2500</v>
      </c>
    </row>
    <row r="678" spans="1:11" x14ac:dyDescent="0.25">
      <c r="A678" t="s">
        <v>1373</v>
      </c>
      <c r="B678" s="3">
        <v>46284</v>
      </c>
      <c r="C678" t="s">
        <v>90</v>
      </c>
      <c r="D678" t="s">
        <v>15</v>
      </c>
      <c r="E678">
        <v>38</v>
      </c>
      <c r="F678" t="s">
        <v>2</v>
      </c>
      <c r="G678" t="s">
        <v>55</v>
      </c>
      <c r="H678" t="s">
        <v>3160</v>
      </c>
      <c r="I678" s="2">
        <v>279000</v>
      </c>
      <c r="J678" t="s">
        <v>73</v>
      </c>
      <c r="K678" t="s">
        <v>2500</v>
      </c>
    </row>
    <row r="679" spans="1:11" x14ac:dyDescent="0.25">
      <c r="A679" t="s">
        <v>1374</v>
      </c>
      <c r="B679" s="3">
        <v>46284</v>
      </c>
      <c r="C679" t="s">
        <v>313</v>
      </c>
      <c r="D679" t="s">
        <v>225</v>
      </c>
      <c r="E679">
        <v>65</v>
      </c>
      <c r="F679" t="s">
        <v>2</v>
      </c>
      <c r="G679" t="s">
        <v>55</v>
      </c>
      <c r="H679" t="s">
        <v>3161</v>
      </c>
      <c r="I679" s="2">
        <v>904000</v>
      </c>
      <c r="J679" t="s">
        <v>314</v>
      </c>
      <c r="K679" t="s">
        <v>2500</v>
      </c>
    </row>
    <row r="680" spans="1:11" x14ac:dyDescent="0.25">
      <c r="A680" t="s">
        <v>1375</v>
      </c>
      <c r="B680" s="3">
        <v>46284</v>
      </c>
      <c r="C680" t="s">
        <v>492</v>
      </c>
      <c r="D680" t="s">
        <v>467</v>
      </c>
      <c r="E680">
        <v>60</v>
      </c>
      <c r="F680" t="s">
        <v>469</v>
      </c>
      <c r="G680" t="s">
        <v>40</v>
      </c>
      <c r="H680" t="s">
        <v>3162</v>
      </c>
      <c r="I680" s="2">
        <v>21000</v>
      </c>
      <c r="J680" t="s">
        <v>102</v>
      </c>
      <c r="K680" t="s">
        <v>2513</v>
      </c>
    </row>
    <row r="681" spans="1:11" x14ac:dyDescent="0.25">
      <c r="A681" t="s">
        <v>1376</v>
      </c>
      <c r="B681" s="3">
        <v>46284</v>
      </c>
      <c r="C681" t="s">
        <v>577</v>
      </c>
      <c r="D681" t="s">
        <v>481</v>
      </c>
      <c r="E681">
        <v>60</v>
      </c>
      <c r="F681" t="s">
        <v>2</v>
      </c>
      <c r="G681" t="s">
        <v>85</v>
      </c>
      <c r="H681" t="s">
        <v>3163</v>
      </c>
      <c r="I681" s="2">
        <v>342000</v>
      </c>
      <c r="J681" t="s">
        <v>102</v>
      </c>
      <c r="K681" t="s">
        <v>2509</v>
      </c>
    </row>
    <row r="682" spans="1:11" x14ac:dyDescent="0.25">
      <c r="A682" t="s">
        <v>1377</v>
      </c>
      <c r="B682" s="3">
        <v>46284</v>
      </c>
      <c r="C682" t="s">
        <v>406</v>
      </c>
      <c r="D682" t="s">
        <v>366</v>
      </c>
      <c r="E682">
        <v>38</v>
      </c>
      <c r="F682" t="s">
        <v>2</v>
      </c>
      <c r="G682" t="s">
        <v>32</v>
      </c>
      <c r="H682" t="s">
        <v>2866</v>
      </c>
      <c r="I682" s="2">
        <v>18000</v>
      </c>
      <c r="J682" t="s">
        <v>64</v>
      </c>
      <c r="K682" t="s">
        <v>2509</v>
      </c>
    </row>
    <row r="683" spans="1:11" x14ac:dyDescent="0.25">
      <c r="A683" t="s">
        <v>1378</v>
      </c>
      <c r="B683" s="3">
        <v>46284</v>
      </c>
      <c r="C683" t="s">
        <v>637</v>
      </c>
      <c r="D683" t="s">
        <v>629</v>
      </c>
      <c r="E683">
        <v>2</v>
      </c>
      <c r="F683" t="s">
        <v>355</v>
      </c>
      <c r="G683" t="s">
        <v>85</v>
      </c>
      <c r="H683" t="s">
        <v>3164</v>
      </c>
      <c r="I683" s="2">
        <v>51000</v>
      </c>
      <c r="J683" t="s">
        <v>19</v>
      </c>
      <c r="K683" t="s">
        <v>2500</v>
      </c>
    </row>
    <row r="684" spans="1:11" x14ac:dyDescent="0.25">
      <c r="A684" t="s">
        <v>1379</v>
      </c>
      <c r="B684" s="3">
        <v>46284</v>
      </c>
      <c r="C684" t="s">
        <v>139</v>
      </c>
      <c r="D684" t="s">
        <v>44</v>
      </c>
      <c r="E684">
        <v>4</v>
      </c>
      <c r="F684" t="s">
        <v>2</v>
      </c>
      <c r="G684" t="s">
        <v>81</v>
      </c>
      <c r="H684" t="s">
        <v>3165</v>
      </c>
      <c r="I684" s="2">
        <v>86000</v>
      </c>
      <c r="J684" t="s">
        <v>140</v>
      </c>
      <c r="K684" t="s">
        <v>2509</v>
      </c>
    </row>
    <row r="685" spans="1:11" x14ac:dyDescent="0.25">
      <c r="A685" t="s">
        <v>1380</v>
      </c>
      <c r="B685" s="3">
        <v>46284</v>
      </c>
      <c r="C685" t="s">
        <v>524</v>
      </c>
      <c r="D685" t="s">
        <v>474</v>
      </c>
      <c r="E685">
        <v>23</v>
      </c>
      <c r="F685" t="s">
        <v>2</v>
      </c>
      <c r="G685" t="s">
        <v>17</v>
      </c>
      <c r="H685" t="s">
        <v>3166</v>
      </c>
      <c r="I685" s="2">
        <v>8000</v>
      </c>
      <c r="J685" t="s">
        <v>257</v>
      </c>
      <c r="K685" t="s">
        <v>2503</v>
      </c>
    </row>
    <row r="686" spans="1:11" x14ac:dyDescent="0.25">
      <c r="A686" t="s">
        <v>1381</v>
      </c>
      <c r="B686" s="3">
        <v>46284</v>
      </c>
      <c r="C686" t="s">
        <v>533</v>
      </c>
      <c r="D686" t="s">
        <v>474</v>
      </c>
      <c r="E686">
        <v>33</v>
      </c>
      <c r="F686" t="s">
        <v>2</v>
      </c>
      <c r="G686" t="s">
        <v>55</v>
      </c>
      <c r="H686" t="s">
        <v>3167</v>
      </c>
      <c r="I686" s="2">
        <v>5000</v>
      </c>
      <c r="J686" t="s">
        <v>59</v>
      </c>
      <c r="K686" t="s">
        <v>2503</v>
      </c>
    </row>
    <row r="687" spans="1:11" x14ac:dyDescent="0.25">
      <c r="A687" t="s">
        <v>1382</v>
      </c>
      <c r="B687" s="3">
        <v>46285</v>
      </c>
      <c r="C687" t="s">
        <v>609</v>
      </c>
      <c r="D687" t="s">
        <v>585</v>
      </c>
      <c r="E687">
        <v>40</v>
      </c>
      <c r="F687" t="s">
        <v>355</v>
      </c>
      <c r="G687" t="s">
        <v>55</v>
      </c>
      <c r="H687" t="s">
        <v>3168</v>
      </c>
      <c r="I687" s="2">
        <v>22000</v>
      </c>
      <c r="J687" t="s">
        <v>206</v>
      </c>
      <c r="K687" t="s">
        <v>2509</v>
      </c>
    </row>
    <row r="688" spans="1:11" x14ac:dyDescent="0.25">
      <c r="A688" t="s">
        <v>1383</v>
      </c>
      <c r="B688" s="3">
        <v>46285</v>
      </c>
      <c r="C688" t="s">
        <v>46</v>
      </c>
      <c r="D688" t="s">
        <v>47</v>
      </c>
      <c r="E688">
        <v>40</v>
      </c>
      <c r="F688" t="s">
        <v>2</v>
      </c>
      <c r="G688" t="s">
        <v>48</v>
      </c>
      <c r="H688" t="s">
        <v>3169</v>
      </c>
      <c r="I688" s="2">
        <v>130000</v>
      </c>
      <c r="J688" t="s">
        <v>50</v>
      </c>
      <c r="K688" t="s">
        <v>2500</v>
      </c>
    </row>
    <row r="689" spans="1:11" x14ac:dyDescent="0.25">
      <c r="A689" t="s">
        <v>1384</v>
      </c>
      <c r="B689" s="3">
        <v>46285</v>
      </c>
      <c r="C689" t="s">
        <v>336</v>
      </c>
      <c r="D689" t="s">
        <v>227</v>
      </c>
      <c r="E689">
        <v>38</v>
      </c>
      <c r="F689" t="s">
        <v>2</v>
      </c>
      <c r="G689" t="s">
        <v>32</v>
      </c>
      <c r="H689" t="s">
        <v>3170</v>
      </c>
      <c r="I689" s="2">
        <v>645000</v>
      </c>
      <c r="J689" t="s">
        <v>330</v>
      </c>
      <c r="K689" t="s">
        <v>2513</v>
      </c>
    </row>
    <row r="690" spans="1:11" x14ac:dyDescent="0.25">
      <c r="A690" t="s">
        <v>1385</v>
      </c>
      <c r="B690" s="3">
        <v>46285</v>
      </c>
      <c r="C690" t="s">
        <v>176</v>
      </c>
      <c r="D690" t="s">
        <v>21</v>
      </c>
      <c r="E690">
        <v>53</v>
      </c>
      <c r="F690" t="s">
        <v>2</v>
      </c>
      <c r="G690" t="s">
        <v>40</v>
      </c>
      <c r="H690" t="s">
        <v>3171</v>
      </c>
      <c r="I690" s="2">
        <v>96000</v>
      </c>
      <c r="J690" t="s">
        <v>177</v>
      </c>
      <c r="K690" t="s">
        <v>2500</v>
      </c>
    </row>
    <row r="691" spans="1:11" x14ac:dyDescent="0.25">
      <c r="A691" t="s">
        <v>1386</v>
      </c>
      <c r="B691" s="3">
        <v>46285</v>
      </c>
      <c r="C691" t="s">
        <v>421</v>
      </c>
      <c r="D691" t="s">
        <v>360</v>
      </c>
      <c r="E691">
        <v>47</v>
      </c>
      <c r="F691" t="s">
        <v>358</v>
      </c>
      <c r="G691" t="s">
        <v>36</v>
      </c>
      <c r="H691" t="s">
        <v>3172</v>
      </c>
      <c r="I691" s="2">
        <v>17000</v>
      </c>
      <c r="J691" t="s">
        <v>144</v>
      </c>
      <c r="K691" t="s">
        <v>2513</v>
      </c>
    </row>
    <row r="692" spans="1:11" x14ac:dyDescent="0.25">
      <c r="A692" t="s">
        <v>1387</v>
      </c>
      <c r="B692" s="3">
        <v>46285</v>
      </c>
      <c r="C692" t="s">
        <v>111</v>
      </c>
      <c r="D692" t="s">
        <v>66</v>
      </c>
      <c r="E692">
        <v>44</v>
      </c>
      <c r="F692" t="s">
        <v>2</v>
      </c>
      <c r="G692" t="s">
        <v>48</v>
      </c>
      <c r="H692" t="s">
        <v>3173</v>
      </c>
      <c r="I692" s="2">
        <v>174000</v>
      </c>
      <c r="J692" t="s">
        <v>104</v>
      </c>
      <c r="K692" t="s">
        <v>2509</v>
      </c>
    </row>
    <row r="693" spans="1:11" x14ac:dyDescent="0.25">
      <c r="A693" t="s">
        <v>1388</v>
      </c>
      <c r="B693" s="3">
        <v>46285</v>
      </c>
      <c r="C693" t="s">
        <v>176</v>
      </c>
      <c r="D693" t="s">
        <v>21</v>
      </c>
      <c r="E693">
        <v>13</v>
      </c>
      <c r="F693" t="s">
        <v>2</v>
      </c>
      <c r="G693" t="s">
        <v>40</v>
      </c>
      <c r="H693" t="s">
        <v>3174</v>
      </c>
      <c r="I693" s="2">
        <v>96000</v>
      </c>
      <c r="J693" t="s">
        <v>177</v>
      </c>
      <c r="K693" t="s">
        <v>2509</v>
      </c>
    </row>
    <row r="694" spans="1:11" x14ac:dyDescent="0.25">
      <c r="A694" t="s">
        <v>1389</v>
      </c>
      <c r="B694" s="3">
        <v>46285</v>
      </c>
      <c r="C694" t="s">
        <v>483</v>
      </c>
      <c r="D694" t="s">
        <v>484</v>
      </c>
      <c r="E694">
        <v>9</v>
      </c>
      <c r="F694" t="s">
        <v>469</v>
      </c>
      <c r="G694" t="s">
        <v>61</v>
      </c>
      <c r="H694" t="s">
        <v>3175</v>
      </c>
      <c r="I694" s="2">
        <v>80000</v>
      </c>
      <c r="J694" t="s">
        <v>368</v>
      </c>
      <c r="K694" t="s">
        <v>2503</v>
      </c>
    </row>
    <row r="695" spans="1:11" x14ac:dyDescent="0.25">
      <c r="A695" t="s">
        <v>1390</v>
      </c>
      <c r="B695" s="3">
        <v>46285</v>
      </c>
      <c r="C695" t="s">
        <v>334</v>
      </c>
      <c r="D695" t="s">
        <v>218</v>
      </c>
      <c r="E695">
        <v>38</v>
      </c>
      <c r="F695" t="s">
        <v>2</v>
      </c>
      <c r="G695" t="s">
        <v>85</v>
      </c>
      <c r="H695" t="s">
        <v>3176</v>
      </c>
      <c r="I695" s="2">
        <v>2544000</v>
      </c>
      <c r="J695" t="s">
        <v>181</v>
      </c>
      <c r="K695" t="s">
        <v>2500</v>
      </c>
    </row>
    <row r="696" spans="1:11" x14ac:dyDescent="0.25">
      <c r="A696" t="s">
        <v>1391</v>
      </c>
      <c r="B696" s="3">
        <v>46285</v>
      </c>
      <c r="C696" t="s">
        <v>672</v>
      </c>
      <c r="D696" t="s">
        <v>612</v>
      </c>
      <c r="E696">
        <v>37</v>
      </c>
      <c r="F696" t="s">
        <v>2</v>
      </c>
      <c r="G696" t="s">
        <v>40</v>
      </c>
      <c r="H696" t="s">
        <v>3177</v>
      </c>
      <c r="I696" s="2">
        <v>33000</v>
      </c>
      <c r="J696" t="s">
        <v>147</v>
      </c>
      <c r="K696" t="s">
        <v>2513</v>
      </c>
    </row>
    <row r="697" spans="1:11" x14ac:dyDescent="0.25">
      <c r="A697" t="s">
        <v>1392</v>
      </c>
      <c r="B697" s="3">
        <v>46285</v>
      </c>
      <c r="C697" t="s">
        <v>231</v>
      </c>
      <c r="D697" t="s">
        <v>227</v>
      </c>
      <c r="E697">
        <v>55</v>
      </c>
      <c r="F697" t="s">
        <v>2</v>
      </c>
      <c r="G697" t="s">
        <v>40</v>
      </c>
      <c r="H697" t="s">
        <v>3178</v>
      </c>
      <c r="I697" s="2">
        <v>747000</v>
      </c>
      <c r="J697" t="s">
        <v>30</v>
      </c>
      <c r="K697" t="s">
        <v>2513</v>
      </c>
    </row>
    <row r="698" spans="1:11" x14ac:dyDescent="0.25">
      <c r="A698" t="s">
        <v>1393</v>
      </c>
      <c r="B698" s="3">
        <v>46285</v>
      </c>
      <c r="C698" t="s">
        <v>531</v>
      </c>
      <c r="D698" t="s">
        <v>479</v>
      </c>
      <c r="E698">
        <v>14</v>
      </c>
      <c r="F698" t="s">
        <v>469</v>
      </c>
      <c r="G698" t="s">
        <v>48</v>
      </c>
      <c r="H698" t="s">
        <v>3179</v>
      </c>
      <c r="I698" s="2">
        <v>16000</v>
      </c>
      <c r="J698" t="s">
        <v>129</v>
      </c>
      <c r="K698" t="s">
        <v>2509</v>
      </c>
    </row>
    <row r="699" spans="1:11" x14ac:dyDescent="0.25">
      <c r="A699" t="s">
        <v>1394</v>
      </c>
      <c r="B699" s="3">
        <v>46285</v>
      </c>
      <c r="C699" t="s">
        <v>575</v>
      </c>
      <c r="D699" t="s">
        <v>467</v>
      </c>
      <c r="E699">
        <v>22</v>
      </c>
      <c r="F699" t="s">
        <v>469</v>
      </c>
      <c r="G699" t="s">
        <v>36</v>
      </c>
      <c r="H699" t="s">
        <v>2753</v>
      </c>
      <c r="I699" s="2">
        <v>33000</v>
      </c>
      <c r="J699" t="s">
        <v>108</v>
      </c>
      <c r="K699" t="s">
        <v>2509</v>
      </c>
    </row>
    <row r="700" spans="1:11" x14ac:dyDescent="0.25">
      <c r="A700" t="s">
        <v>1395</v>
      </c>
      <c r="B700" s="3">
        <v>46285</v>
      </c>
      <c r="C700" t="s">
        <v>90</v>
      </c>
      <c r="D700" t="s">
        <v>15</v>
      </c>
      <c r="E700">
        <v>52</v>
      </c>
      <c r="F700" t="s">
        <v>2</v>
      </c>
      <c r="G700" t="s">
        <v>55</v>
      </c>
      <c r="H700" t="s">
        <v>3180</v>
      </c>
      <c r="I700" s="2">
        <v>279000</v>
      </c>
      <c r="J700" t="s">
        <v>73</v>
      </c>
      <c r="K700" t="s">
        <v>2500</v>
      </c>
    </row>
    <row r="701" spans="1:11" x14ac:dyDescent="0.25">
      <c r="A701" t="s">
        <v>1396</v>
      </c>
      <c r="B701" s="3">
        <v>46285</v>
      </c>
      <c r="C701" t="s">
        <v>309</v>
      </c>
      <c r="D701" t="s">
        <v>225</v>
      </c>
      <c r="E701">
        <v>42</v>
      </c>
      <c r="F701" t="s">
        <v>2</v>
      </c>
      <c r="G701" t="s">
        <v>36</v>
      </c>
      <c r="H701" t="s">
        <v>3181</v>
      </c>
      <c r="I701" s="2">
        <v>781000</v>
      </c>
      <c r="J701" t="s">
        <v>310</v>
      </c>
      <c r="K701" t="s">
        <v>2513</v>
      </c>
    </row>
    <row r="702" spans="1:11" x14ac:dyDescent="0.25">
      <c r="A702" t="s">
        <v>1397</v>
      </c>
      <c r="B702" s="3">
        <v>46285</v>
      </c>
      <c r="C702" t="s">
        <v>506</v>
      </c>
      <c r="D702" t="s">
        <v>471</v>
      </c>
      <c r="E702">
        <v>12</v>
      </c>
      <c r="F702" t="s">
        <v>355</v>
      </c>
      <c r="G702" t="s">
        <v>61</v>
      </c>
      <c r="H702" t="s">
        <v>3182</v>
      </c>
      <c r="I702" s="2">
        <v>19000</v>
      </c>
      <c r="J702" t="s">
        <v>34</v>
      </c>
      <c r="K702" t="s">
        <v>2500</v>
      </c>
    </row>
    <row r="703" spans="1:11" x14ac:dyDescent="0.25">
      <c r="A703" t="s">
        <v>1398</v>
      </c>
      <c r="B703" s="3">
        <v>46285</v>
      </c>
      <c r="C703" t="s">
        <v>372</v>
      </c>
      <c r="D703" t="s">
        <v>360</v>
      </c>
      <c r="E703">
        <v>64</v>
      </c>
      <c r="F703" t="s">
        <v>358</v>
      </c>
      <c r="G703" t="s">
        <v>81</v>
      </c>
      <c r="H703" t="s">
        <v>3183</v>
      </c>
      <c r="I703" s="2">
        <v>15000</v>
      </c>
      <c r="J703" t="s">
        <v>126</v>
      </c>
      <c r="K703" t="s">
        <v>2509</v>
      </c>
    </row>
    <row r="704" spans="1:11" x14ac:dyDescent="0.25">
      <c r="A704" t="s">
        <v>1399</v>
      </c>
      <c r="B704" s="3">
        <v>46285</v>
      </c>
      <c r="C704" t="s">
        <v>398</v>
      </c>
      <c r="D704" t="s">
        <v>344</v>
      </c>
      <c r="E704">
        <v>59</v>
      </c>
      <c r="F704" t="s">
        <v>346</v>
      </c>
      <c r="G704" t="s">
        <v>17</v>
      </c>
      <c r="H704" t="s">
        <v>3149</v>
      </c>
      <c r="I704" s="2">
        <v>66000</v>
      </c>
      <c r="J704" t="s">
        <v>108</v>
      </c>
      <c r="K704" t="s">
        <v>2509</v>
      </c>
    </row>
    <row r="705" spans="1:11" x14ac:dyDescent="0.25">
      <c r="A705" t="s">
        <v>1400</v>
      </c>
      <c r="B705" s="3">
        <v>46285</v>
      </c>
      <c r="C705" t="s">
        <v>510</v>
      </c>
      <c r="D705" t="s">
        <v>479</v>
      </c>
      <c r="E705">
        <v>11</v>
      </c>
      <c r="F705" t="s">
        <v>469</v>
      </c>
      <c r="G705" t="s">
        <v>48</v>
      </c>
      <c r="H705" t="s">
        <v>3184</v>
      </c>
      <c r="I705" s="2">
        <v>27000</v>
      </c>
      <c r="J705" t="s">
        <v>117</v>
      </c>
      <c r="K705" t="s">
        <v>2503</v>
      </c>
    </row>
    <row r="706" spans="1:11" x14ac:dyDescent="0.25">
      <c r="A706" t="s">
        <v>1401</v>
      </c>
      <c r="B706" s="3">
        <v>46285</v>
      </c>
      <c r="C706" t="s">
        <v>648</v>
      </c>
      <c r="D706" t="s">
        <v>585</v>
      </c>
      <c r="E706">
        <v>1</v>
      </c>
      <c r="F706" t="s">
        <v>355</v>
      </c>
      <c r="G706" t="s">
        <v>22</v>
      </c>
      <c r="H706" t="s">
        <v>3185</v>
      </c>
      <c r="I706" s="2">
        <v>29000</v>
      </c>
      <c r="J706" t="s">
        <v>203</v>
      </c>
      <c r="K706" t="s">
        <v>2513</v>
      </c>
    </row>
    <row r="707" spans="1:11" x14ac:dyDescent="0.25">
      <c r="A707" t="s">
        <v>1402</v>
      </c>
      <c r="B707" s="3">
        <v>46285</v>
      </c>
      <c r="C707" t="s">
        <v>94</v>
      </c>
      <c r="D707" t="s">
        <v>15</v>
      </c>
      <c r="E707">
        <v>68</v>
      </c>
      <c r="F707" t="s">
        <v>2</v>
      </c>
      <c r="G707" t="s">
        <v>22</v>
      </c>
      <c r="H707" t="s">
        <v>3186</v>
      </c>
      <c r="I707" s="2">
        <v>148000</v>
      </c>
      <c r="J707" t="s">
        <v>95</v>
      </c>
      <c r="K707" t="s">
        <v>2503</v>
      </c>
    </row>
    <row r="708" spans="1:11" x14ac:dyDescent="0.25">
      <c r="A708" t="s">
        <v>1403</v>
      </c>
      <c r="B708" s="3">
        <v>46285</v>
      </c>
      <c r="C708" t="s">
        <v>591</v>
      </c>
      <c r="D708" t="s">
        <v>585</v>
      </c>
      <c r="E708">
        <v>69</v>
      </c>
      <c r="F708" t="s">
        <v>355</v>
      </c>
      <c r="G708" t="s">
        <v>55</v>
      </c>
      <c r="H708" t="s">
        <v>3187</v>
      </c>
      <c r="I708" s="2">
        <v>17000</v>
      </c>
      <c r="J708" t="s">
        <v>368</v>
      </c>
      <c r="K708" t="s">
        <v>2509</v>
      </c>
    </row>
    <row r="709" spans="1:11" x14ac:dyDescent="0.25">
      <c r="A709" t="s">
        <v>1404</v>
      </c>
      <c r="B709" s="3">
        <v>46285</v>
      </c>
      <c r="C709" t="s">
        <v>613</v>
      </c>
      <c r="D709" t="s">
        <v>597</v>
      </c>
      <c r="E709">
        <v>39</v>
      </c>
      <c r="F709" t="s">
        <v>355</v>
      </c>
      <c r="G709" t="s">
        <v>32</v>
      </c>
      <c r="H709" t="s">
        <v>3188</v>
      </c>
      <c r="I709" s="2">
        <v>48000</v>
      </c>
      <c r="J709" t="s">
        <v>221</v>
      </c>
      <c r="K709" t="s">
        <v>2509</v>
      </c>
    </row>
    <row r="710" spans="1:11" x14ac:dyDescent="0.25">
      <c r="A710" t="s">
        <v>1405</v>
      </c>
      <c r="B710" s="3">
        <v>46285</v>
      </c>
      <c r="C710" t="s">
        <v>558</v>
      </c>
      <c r="D710" t="s">
        <v>471</v>
      </c>
      <c r="E710">
        <v>31</v>
      </c>
      <c r="F710" t="s">
        <v>355</v>
      </c>
      <c r="G710" t="s">
        <v>48</v>
      </c>
      <c r="H710" t="s">
        <v>3189</v>
      </c>
      <c r="I710" s="2">
        <v>51000</v>
      </c>
      <c r="J710" t="s">
        <v>246</v>
      </c>
      <c r="K710" t="s">
        <v>2503</v>
      </c>
    </row>
    <row r="711" spans="1:11" x14ac:dyDescent="0.25">
      <c r="A711" t="s">
        <v>1406</v>
      </c>
      <c r="B711" s="3">
        <v>46285</v>
      </c>
      <c r="C711" t="s">
        <v>304</v>
      </c>
      <c r="D711" t="s">
        <v>227</v>
      </c>
      <c r="E711">
        <v>9</v>
      </c>
      <c r="F711" t="s">
        <v>2</v>
      </c>
      <c r="G711" t="s">
        <v>17</v>
      </c>
      <c r="H711" t="s">
        <v>3190</v>
      </c>
      <c r="I711" s="2">
        <v>1029000</v>
      </c>
      <c r="J711" t="s">
        <v>305</v>
      </c>
      <c r="K711" t="s">
        <v>2500</v>
      </c>
    </row>
    <row r="712" spans="1:11" x14ac:dyDescent="0.25">
      <c r="A712" t="s">
        <v>1407</v>
      </c>
      <c r="B712" s="3">
        <v>46285</v>
      </c>
      <c r="C712" t="s">
        <v>122</v>
      </c>
      <c r="D712" t="s">
        <v>54</v>
      </c>
      <c r="E712">
        <v>60</v>
      </c>
      <c r="F712" t="s">
        <v>2</v>
      </c>
      <c r="G712" t="s">
        <v>17</v>
      </c>
      <c r="H712" t="s">
        <v>3191</v>
      </c>
      <c r="I712" s="2">
        <v>169000</v>
      </c>
      <c r="J712" t="s">
        <v>98</v>
      </c>
      <c r="K712" t="s">
        <v>2513</v>
      </c>
    </row>
    <row r="713" spans="1:11" x14ac:dyDescent="0.25">
      <c r="A713" t="s">
        <v>1408</v>
      </c>
      <c r="B713" s="3">
        <v>46285</v>
      </c>
      <c r="C713" t="s">
        <v>533</v>
      </c>
      <c r="D713" t="s">
        <v>474</v>
      </c>
      <c r="E713">
        <v>57</v>
      </c>
      <c r="F713" t="s">
        <v>2</v>
      </c>
      <c r="G713" t="s">
        <v>55</v>
      </c>
      <c r="H713" t="s">
        <v>3192</v>
      </c>
      <c r="I713" s="2">
        <v>5000</v>
      </c>
      <c r="J713" t="s">
        <v>59</v>
      </c>
      <c r="K713" t="s">
        <v>2500</v>
      </c>
    </row>
    <row r="714" spans="1:11" x14ac:dyDescent="0.25">
      <c r="A714" t="s">
        <v>1409</v>
      </c>
      <c r="B714" s="3">
        <v>46285</v>
      </c>
      <c r="C714" t="s">
        <v>393</v>
      </c>
      <c r="D714" t="s">
        <v>382</v>
      </c>
      <c r="E714">
        <v>60</v>
      </c>
      <c r="F714" t="s">
        <v>383</v>
      </c>
      <c r="G714" t="s">
        <v>81</v>
      </c>
      <c r="H714" t="s">
        <v>3193</v>
      </c>
      <c r="I714" s="2">
        <v>142000</v>
      </c>
      <c r="J714" t="s">
        <v>219</v>
      </c>
      <c r="K714" t="s">
        <v>2513</v>
      </c>
    </row>
    <row r="715" spans="1:11" x14ac:dyDescent="0.25">
      <c r="A715" t="s">
        <v>1410</v>
      </c>
      <c r="B715" s="3">
        <v>46285</v>
      </c>
      <c r="C715" t="s">
        <v>561</v>
      </c>
      <c r="D715" t="s">
        <v>484</v>
      </c>
      <c r="E715">
        <v>54</v>
      </c>
      <c r="F715" t="s">
        <v>469</v>
      </c>
      <c r="G715" t="s">
        <v>85</v>
      </c>
      <c r="H715" t="s">
        <v>3194</v>
      </c>
      <c r="I715" s="2">
        <v>51000</v>
      </c>
      <c r="J715" t="s">
        <v>310</v>
      </c>
      <c r="K715" t="s">
        <v>2503</v>
      </c>
    </row>
    <row r="716" spans="1:11" x14ac:dyDescent="0.25">
      <c r="A716" t="s">
        <v>1411</v>
      </c>
      <c r="B716" s="3">
        <v>46285</v>
      </c>
      <c r="C716" t="s">
        <v>575</v>
      </c>
      <c r="D716" t="s">
        <v>467</v>
      </c>
      <c r="E716">
        <v>37</v>
      </c>
      <c r="F716" t="s">
        <v>469</v>
      </c>
      <c r="G716" t="s">
        <v>36</v>
      </c>
      <c r="H716" t="s">
        <v>3195</v>
      </c>
      <c r="I716" s="2">
        <v>33000</v>
      </c>
      <c r="J716" t="s">
        <v>108</v>
      </c>
      <c r="K716" t="s">
        <v>2509</v>
      </c>
    </row>
    <row r="717" spans="1:11" x14ac:dyDescent="0.25">
      <c r="A717" t="s">
        <v>1412</v>
      </c>
      <c r="B717" s="3">
        <v>46285</v>
      </c>
      <c r="C717" t="s">
        <v>394</v>
      </c>
      <c r="D717" t="s">
        <v>354</v>
      </c>
      <c r="E717">
        <v>17</v>
      </c>
      <c r="F717" t="s">
        <v>355</v>
      </c>
      <c r="G717" t="s">
        <v>85</v>
      </c>
      <c r="H717" t="s">
        <v>3196</v>
      </c>
      <c r="I717" s="2">
        <v>14000</v>
      </c>
      <c r="J717" t="s">
        <v>42</v>
      </c>
      <c r="K717" t="s">
        <v>2513</v>
      </c>
    </row>
    <row r="718" spans="1:11" x14ac:dyDescent="0.25">
      <c r="A718" t="s">
        <v>1413</v>
      </c>
      <c r="B718" s="3">
        <v>46285</v>
      </c>
      <c r="C718" t="s">
        <v>569</v>
      </c>
      <c r="D718" t="s">
        <v>474</v>
      </c>
      <c r="E718">
        <v>59</v>
      </c>
      <c r="F718" t="s">
        <v>2</v>
      </c>
      <c r="G718" t="s">
        <v>32</v>
      </c>
      <c r="H718" t="s">
        <v>2550</v>
      </c>
      <c r="I718" s="2">
        <v>3000</v>
      </c>
      <c r="J718" t="s">
        <v>161</v>
      </c>
      <c r="K718" t="s">
        <v>2500</v>
      </c>
    </row>
    <row r="719" spans="1:11" x14ac:dyDescent="0.25">
      <c r="A719" t="s">
        <v>1414</v>
      </c>
      <c r="B719" s="3">
        <v>46285</v>
      </c>
      <c r="C719" t="s">
        <v>256</v>
      </c>
      <c r="D719" t="s">
        <v>210</v>
      </c>
      <c r="E719">
        <v>12</v>
      </c>
      <c r="F719" t="s">
        <v>2</v>
      </c>
      <c r="G719" t="s">
        <v>81</v>
      </c>
      <c r="H719" t="s">
        <v>3197</v>
      </c>
      <c r="I719" s="2">
        <v>11002000</v>
      </c>
      <c r="J719" t="s">
        <v>257</v>
      </c>
      <c r="K719" t="s">
        <v>2513</v>
      </c>
    </row>
    <row r="720" spans="1:11" x14ac:dyDescent="0.25">
      <c r="A720" t="s">
        <v>1415</v>
      </c>
      <c r="B720" s="3">
        <v>46285</v>
      </c>
      <c r="C720" t="s">
        <v>466</v>
      </c>
      <c r="D720" t="s">
        <v>467</v>
      </c>
      <c r="E720">
        <v>53</v>
      </c>
      <c r="F720" t="s">
        <v>469</v>
      </c>
      <c r="G720" t="s">
        <v>40</v>
      </c>
      <c r="H720" t="s">
        <v>3198</v>
      </c>
      <c r="I720" s="2">
        <v>45000</v>
      </c>
      <c r="J720" t="s">
        <v>106</v>
      </c>
      <c r="K720" t="s">
        <v>2500</v>
      </c>
    </row>
    <row r="721" spans="1:11" x14ac:dyDescent="0.25">
      <c r="A721" t="s">
        <v>1416</v>
      </c>
      <c r="B721" s="3">
        <v>46285</v>
      </c>
      <c r="C721" t="s">
        <v>167</v>
      </c>
      <c r="D721" t="s">
        <v>26</v>
      </c>
      <c r="E721">
        <v>28</v>
      </c>
      <c r="F721" t="s">
        <v>2</v>
      </c>
      <c r="G721" t="s">
        <v>17</v>
      </c>
      <c r="H721" t="s">
        <v>3199</v>
      </c>
      <c r="I721" s="2">
        <v>524000</v>
      </c>
      <c r="J721" t="s">
        <v>64</v>
      </c>
      <c r="K721" t="s">
        <v>2513</v>
      </c>
    </row>
    <row r="722" spans="1:11" x14ac:dyDescent="0.25">
      <c r="A722" t="s">
        <v>1417</v>
      </c>
      <c r="B722" s="3">
        <v>46286</v>
      </c>
      <c r="C722" t="s">
        <v>492</v>
      </c>
      <c r="D722" t="s">
        <v>467</v>
      </c>
      <c r="E722">
        <v>24</v>
      </c>
      <c r="F722" t="s">
        <v>469</v>
      </c>
      <c r="G722" t="s">
        <v>40</v>
      </c>
      <c r="H722" t="s">
        <v>3200</v>
      </c>
      <c r="I722" s="2">
        <v>21000</v>
      </c>
      <c r="J722" t="s">
        <v>102</v>
      </c>
      <c r="K722" t="s">
        <v>2500</v>
      </c>
    </row>
    <row r="723" spans="1:11" x14ac:dyDescent="0.25">
      <c r="A723" t="s">
        <v>1418</v>
      </c>
      <c r="B723" s="3">
        <v>46286</v>
      </c>
      <c r="C723" t="s">
        <v>154</v>
      </c>
      <c r="D723" t="s">
        <v>26</v>
      </c>
      <c r="E723">
        <v>49</v>
      </c>
      <c r="F723" t="s">
        <v>2</v>
      </c>
      <c r="G723" t="s">
        <v>32</v>
      </c>
      <c r="H723" t="s">
        <v>3201</v>
      </c>
      <c r="I723" s="2">
        <v>366000</v>
      </c>
      <c r="J723" t="s">
        <v>155</v>
      </c>
      <c r="K723" t="s">
        <v>2503</v>
      </c>
    </row>
    <row r="724" spans="1:11" x14ac:dyDescent="0.25">
      <c r="A724" t="s">
        <v>1419</v>
      </c>
      <c r="B724" s="3">
        <v>46286</v>
      </c>
      <c r="C724" t="s">
        <v>578</v>
      </c>
      <c r="D724" t="s">
        <v>502</v>
      </c>
      <c r="E724">
        <v>19</v>
      </c>
      <c r="F724" t="s">
        <v>469</v>
      </c>
      <c r="G724" t="s">
        <v>22</v>
      </c>
      <c r="H724" t="s">
        <v>3202</v>
      </c>
      <c r="I724" s="2">
        <v>101000</v>
      </c>
      <c r="J724" t="s">
        <v>42</v>
      </c>
      <c r="K724" t="s">
        <v>2513</v>
      </c>
    </row>
    <row r="725" spans="1:11" x14ac:dyDescent="0.25">
      <c r="A725" t="s">
        <v>1420</v>
      </c>
      <c r="B725" s="3">
        <v>46286</v>
      </c>
      <c r="C725" t="s">
        <v>335</v>
      </c>
      <c r="D725" t="s">
        <v>218</v>
      </c>
      <c r="E725">
        <v>58</v>
      </c>
      <c r="F725" t="s">
        <v>2</v>
      </c>
      <c r="G725" t="s">
        <v>55</v>
      </c>
      <c r="H725" t="s">
        <v>2579</v>
      </c>
      <c r="I725" s="2">
        <v>2212000</v>
      </c>
      <c r="J725" t="s">
        <v>147</v>
      </c>
      <c r="K725" t="s">
        <v>2513</v>
      </c>
    </row>
    <row r="726" spans="1:11" x14ac:dyDescent="0.25">
      <c r="A726" t="s">
        <v>1421</v>
      </c>
      <c r="B726" s="3">
        <v>46286</v>
      </c>
      <c r="C726" t="s">
        <v>520</v>
      </c>
      <c r="D726" t="s">
        <v>502</v>
      </c>
      <c r="E726">
        <v>45</v>
      </c>
      <c r="F726" t="s">
        <v>469</v>
      </c>
      <c r="G726" t="s">
        <v>17</v>
      </c>
      <c r="H726" t="s">
        <v>3203</v>
      </c>
      <c r="I726" s="2">
        <v>32000</v>
      </c>
      <c r="J726" t="s">
        <v>368</v>
      </c>
      <c r="K726" t="s">
        <v>2503</v>
      </c>
    </row>
    <row r="727" spans="1:11" x14ac:dyDescent="0.25">
      <c r="A727" t="s">
        <v>1422</v>
      </c>
      <c r="B727" s="3">
        <v>46286</v>
      </c>
      <c r="C727" t="s">
        <v>367</v>
      </c>
      <c r="D727" t="s">
        <v>344</v>
      </c>
      <c r="E727">
        <v>58</v>
      </c>
      <c r="F727" t="s">
        <v>346</v>
      </c>
      <c r="G727" t="s">
        <v>32</v>
      </c>
      <c r="H727" t="s">
        <v>3204</v>
      </c>
      <c r="I727" s="2">
        <v>67000</v>
      </c>
      <c r="J727" t="s">
        <v>368</v>
      </c>
      <c r="K727" t="s">
        <v>2513</v>
      </c>
    </row>
    <row r="728" spans="1:11" x14ac:dyDescent="0.25">
      <c r="A728" t="s">
        <v>1423</v>
      </c>
      <c r="B728" s="3">
        <v>46286</v>
      </c>
      <c r="C728" t="s">
        <v>336</v>
      </c>
      <c r="D728" t="s">
        <v>227</v>
      </c>
      <c r="E728">
        <v>9</v>
      </c>
      <c r="F728" t="s">
        <v>2</v>
      </c>
      <c r="G728" t="s">
        <v>32</v>
      </c>
      <c r="H728" t="s">
        <v>3205</v>
      </c>
      <c r="I728" s="2">
        <v>645000</v>
      </c>
      <c r="J728" t="s">
        <v>330</v>
      </c>
      <c r="K728" t="s">
        <v>2500</v>
      </c>
    </row>
    <row r="729" spans="1:11" x14ac:dyDescent="0.25">
      <c r="A729" t="s">
        <v>1424</v>
      </c>
      <c r="B729" s="3">
        <v>46286</v>
      </c>
      <c r="C729" t="s">
        <v>373</v>
      </c>
      <c r="D729" t="s">
        <v>364</v>
      </c>
      <c r="E729">
        <v>47</v>
      </c>
      <c r="F729" t="s">
        <v>358</v>
      </c>
      <c r="G729" t="s">
        <v>32</v>
      </c>
      <c r="H729" t="s">
        <v>3206</v>
      </c>
      <c r="I729" s="2">
        <v>34000</v>
      </c>
      <c r="J729" t="s">
        <v>206</v>
      </c>
      <c r="K729" t="s">
        <v>2513</v>
      </c>
    </row>
    <row r="730" spans="1:11" x14ac:dyDescent="0.25">
      <c r="A730" t="s">
        <v>1425</v>
      </c>
      <c r="B730" s="3">
        <v>46286</v>
      </c>
      <c r="C730" t="s">
        <v>454</v>
      </c>
      <c r="D730" t="s">
        <v>344</v>
      </c>
      <c r="E730">
        <v>30</v>
      </c>
      <c r="F730" t="s">
        <v>346</v>
      </c>
      <c r="G730" t="s">
        <v>55</v>
      </c>
      <c r="H730" t="s">
        <v>3085</v>
      </c>
      <c r="I730" s="2">
        <v>50000</v>
      </c>
      <c r="J730" t="s">
        <v>455</v>
      </c>
      <c r="K730" t="s">
        <v>2509</v>
      </c>
    </row>
    <row r="731" spans="1:11" x14ac:dyDescent="0.25">
      <c r="A731" t="s">
        <v>1426</v>
      </c>
      <c r="B731" s="3">
        <v>46286</v>
      </c>
      <c r="C731" t="s">
        <v>580</v>
      </c>
      <c r="D731" t="s">
        <v>490</v>
      </c>
      <c r="E731">
        <v>16</v>
      </c>
      <c r="F731" t="s">
        <v>355</v>
      </c>
      <c r="G731" t="s">
        <v>36</v>
      </c>
      <c r="H731" t="s">
        <v>3207</v>
      </c>
      <c r="I731" s="2">
        <v>18000</v>
      </c>
      <c r="J731" t="s">
        <v>69</v>
      </c>
      <c r="K731" t="s">
        <v>2503</v>
      </c>
    </row>
    <row r="732" spans="1:11" x14ac:dyDescent="0.25">
      <c r="A732" t="s">
        <v>1427</v>
      </c>
      <c r="B732" s="3">
        <v>46286</v>
      </c>
      <c r="C732" t="s">
        <v>120</v>
      </c>
      <c r="D732" t="s">
        <v>54</v>
      </c>
      <c r="E732">
        <v>64</v>
      </c>
      <c r="F732" t="s">
        <v>2</v>
      </c>
      <c r="G732" t="s">
        <v>61</v>
      </c>
      <c r="H732" t="s">
        <v>3208</v>
      </c>
      <c r="I732" s="2">
        <v>88000</v>
      </c>
      <c r="J732" t="s">
        <v>121</v>
      </c>
      <c r="K732" t="s">
        <v>2509</v>
      </c>
    </row>
    <row r="733" spans="1:11" x14ac:dyDescent="0.25">
      <c r="A733" t="s">
        <v>1428</v>
      </c>
      <c r="B733" s="3">
        <v>46286</v>
      </c>
      <c r="C733" t="s">
        <v>367</v>
      </c>
      <c r="D733" t="s">
        <v>344</v>
      </c>
      <c r="E733">
        <v>34</v>
      </c>
      <c r="F733" t="s">
        <v>346</v>
      </c>
      <c r="G733" t="s">
        <v>32</v>
      </c>
      <c r="H733" t="s">
        <v>3209</v>
      </c>
      <c r="I733" s="2">
        <v>67000</v>
      </c>
      <c r="J733" t="s">
        <v>368</v>
      </c>
      <c r="K733" t="s">
        <v>2500</v>
      </c>
    </row>
    <row r="734" spans="1:11" x14ac:dyDescent="0.25">
      <c r="A734" t="s">
        <v>1429</v>
      </c>
      <c r="B734" s="3">
        <v>46286</v>
      </c>
      <c r="C734" t="s">
        <v>442</v>
      </c>
      <c r="D734" t="s">
        <v>382</v>
      </c>
      <c r="E734">
        <v>41</v>
      </c>
      <c r="F734" t="s">
        <v>383</v>
      </c>
      <c r="G734" t="s">
        <v>36</v>
      </c>
      <c r="H734" t="s">
        <v>3210</v>
      </c>
      <c r="I734" s="2">
        <v>83000</v>
      </c>
      <c r="J734" t="s">
        <v>203</v>
      </c>
      <c r="K734" t="s">
        <v>2503</v>
      </c>
    </row>
    <row r="735" spans="1:11" x14ac:dyDescent="0.25">
      <c r="A735" t="s">
        <v>1430</v>
      </c>
      <c r="B735" s="3">
        <v>46286</v>
      </c>
      <c r="C735" t="s">
        <v>253</v>
      </c>
      <c r="D735" t="s">
        <v>216</v>
      </c>
      <c r="E735">
        <v>21</v>
      </c>
      <c r="F735" t="s">
        <v>2</v>
      </c>
      <c r="G735" t="s">
        <v>85</v>
      </c>
      <c r="H735" t="s">
        <v>3211</v>
      </c>
      <c r="I735" s="2">
        <v>812000</v>
      </c>
      <c r="J735" t="s">
        <v>71</v>
      </c>
      <c r="K735" t="s">
        <v>2500</v>
      </c>
    </row>
    <row r="736" spans="1:11" x14ac:dyDescent="0.25">
      <c r="A736" t="s">
        <v>1431</v>
      </c>
      <c r="B736" s="3">
        <v>46286</v>
      </c>
      <c r="C736" t="s">
        <v>604</v>
      </c>
      <c r="D736" t="s">
        <v>599</v>
      </c>
      <c r="E736">
        <v>55</v>
      </c>
      <c r="F736" t="s">
        <v>2</v>
      </c>
      <c r="G736" t="s">
        <v>48</v>
      </c>
      <c r="H736" t="s">
        <v>3212</v>
      </c>
      <c r="I736" s="2">
        <v>117000</v>
      </c>
      <c r="J736" t="s">
        <v>110</v>
      </c>
      <c r="K736" t="s">
        <v>2500</v>
      </c>
    </row>
    <row r="737" spans="1:11" x14ac:dyDescent="0.25">
      <c r="A737" t="s">
        <v>1432</v>
      </c>
      <c r="B737" s="3">
        <v>46286</v>
      </c>
      <c r="C737" t="s">
        <v>90</v>
      </c>
      <c r="D737" t="s">
        <v>15</v>
      </c>
      <c r="E737">
        <v>12</v>
      </c>
      <c r="F737" t="s">
        <v>2</v>
      </c>
      <c r="G737" t="s">
        <v>55</v>
      </c>
      <c r="H737" t="s">
        <v>3213</v>
      </c>
      <c r="I737" s="2">
        <v>279000</v>
      </c>
      <c r="J737" t="s">
        <v>73</v>
      </c>
      <c r="K737" t="s">
        <v>2500</v>
      </c>
    </row>
    <row r="738" spans="1:11" x14ac:dyDescent="0.25">
      <c r="A738" t="s">
        <v>1433</v>
      </c>
      <c r="B738" s="3">
        <v>46286</v>
      </c>
      <c r="C738" t="s">
        <v>128</v>
      </c>
      <c r="D738" t="s">
        <v>47</v>
      </c>
      <c r="E738">
        <v>8</v>
      </c>
      <c r="F738" t="s">
        <v>2</v>
      </c>
      <c r="G738" t="s">
        <v>36</v>
      </c>
      <c r="H738" t="s">
        <v>3214</v>
      </c>
      <c r="I738" s="2">
        <v>170000</v>
      </c>
      <c r="J738" t="s">
        <v>129</v>
      </c>
      <c r="K738" t="s">
        <v>2513</v>
      </c>
    </row>
    <row r="739" spans="1:11" x14ac:dyDescent="0.25">
      <c r="A739" t="s">
        <v>1434</v>
      </c>
      <c r="B739" s="3">
        <v>46286</v>
      </c>
      <c r="C739" t="s">
        <v>405</v>
      </c>
      <c r="D739" t="s">
        <v>344</v>
      </c>
      <c r="E739">
        <v>52</v>
      </c>
      <c r="F739" t="s">
        <v>346</v>
      </c>
      <c r="G739" t="s">
        <v>48</v>
      </c>
      <c r="H739" t="s">
        <v>3215</v>
      </c>
      <c r="I739" s="2">
        <v>65000</v>
      </c>
      <c r="J739" t="s">
        <v>121</v>
      </c>
      <c r="K739" t="s">
        <v>2513</v>
      </c>
    </row>
    <row r="740" spans="1:11" x14ac:dyDescent="0.25">
      <c r="A740" t="s">
        <v>1435</v>
      </c>
      <c r="B740" s="3">
        <v>46286</v>
      </c>
      <c r="C740" t="s">
        <v>518</v>
      </c>
      <c r="D740" t="s">
        <v>467</v>
      </c>
      <c r="E740">
        <v>18</v>
      </c>
      <c r="F740" t="s">
        <v>469</v>
      </c>
      <c r="G740" t="s">
        <v>40</v>
      </c>
      <c r="H740" t="s">
        <v>3216</v>
      </c>
      <c r="I740" s="2">
        <v>36000</v>
      </c>
      <c r="J740" t="s">
        <v>98</v>
      </c>
      <c r="K740" t="s">
        <v>2509</v>
      </c>
    </row>
    <row r="741" spans="1:11" x14ac:dyDescent="0.25">
      <c r="A741" t="s">
        <v>1436</v>
      </c>
      <c r="B741" s="3">
        <v>46286</v>
      </c>
      <c r="C741" t="s">
        <v>679</v>
      </c>
      <c r="D741" t="s">
        <v>597</v>
      </c>
      <c r="E741">
        <v>27</v>
      </c>
      <c r="F741" t="s">
        <v>355</v>
      </c>
      <c r="G741" t="s">
        <v>85</v>
      </c>
      <c r="H741" t="s">
        <v>3217</v>
      </c>
      <c r="I741" s="2">
        <v>41000</v>
      </c>
      <c r="J741" t="s">
        <v>368</v>
      </c>
      <c r="K741" t="s">
        <v>2500</v>
      </c>
    </row>
    <row r="742" spans="1:11" x14ac:dyDescent="0.25">
      <c r="A742" t="s">
        <v>1437</v>
      </c>
      <c r="B742" s="3">
        <v>46286</v>
      </c>
      <c r="C742" t="s">
        <v>483</v>
      </c>
      <c r="D742" t="s">
        <v>484</v>
      </c>
      <c r="E742">
        <v>29</v>
      </c>
      <c r="F742" t="s">
        <v>469</v>
      </c>
      <c r="G742" t="s">
        <v>61</v>
      </c>
      <c r="H742" t="s">
        <v>3218</v>
      </c>
      <c r="I742" s="2">
        <v>80000</v>
      </c>
      <c r="J742" t="s">
        <v>368</v>
      </c>
      <c r="K742" t="s">
        <v>2509</v>
      </c>
    </row>
    <row r="743" spans="1:11" x14ac:dyDescent="0.25">
      <c r="A743" t="s">
        <v>1438</v>
      </c>
      <c r="B743" s="3">
        <v>46286</v>
      </c>
      <c r="C743" t="s">
        <v>535</v>
      </c>
      <c r="D743" t="s">
        <v>467</v>
      </c>
      <c r="E743">
        <v>65</v>
      </c>
      <c r="F743" t="s">
        <v>469</v>
      </c>
      <c r="G743" t="s">
        <v>17</v>
      </c>
      <c r="H743" t="s">
        <v>3219</v>
      </c>
      <c r="I743" s="2">
        <v>46000</v>
      </c>
      <c r="J743" t="s">
        <v>327</v>
      </c>
      <c r="K743" t="s">
        <v>2509</v>
      </c>
    </row>
    <row r="744" spans="1:11" x14ac:dyDescent="0.25">
      <c r="A744" t="s">
        <v>1439</v>
      </c>
      <c r="B744" s="3">
        <v>46286</v>
      </c>
      <c r="C744" t="s">
        <v>228</v>
      </c>
      <c r="D744" t="s">
        <v>218</v>
      </c>
      <c r="E744">
        <v>3</v>
      </c>
      <c r="F744" t="s">
        <v>2</v>
      </c>
      <c r="G744" t="s">
        <v>48</v>
      </c>
      <c r="H744" t="s">
        <v>3220</v>
      </c>
      <c r="I744" s="2">
        <v>1819000</v>
      </c>
      <c r="J744" t="s">
        <v>67</v>
      </c>
      <c r="K744" t="s">
        <v>2513</v>
      </c>
    </row>
    <row r="745" spans="1:11" x14ac:dyDescent="0.25">
      <c r="A745" t="s">
        <v>1440</v>
      </c>
      <c r="B745" s="3">
        <v>46286</v>
      </c>
      <c r="C745" t="s">
        <v>271</v>
      </c>
      <c r="D745" t="s">
        <v>225</v>
      </c>
      <c r="E745">
        <v>6</v>
      </c>
      <c r="F745" t="s">
        <v>2</v>
      </c>
      <c r="G745" t="s">
        <v>81</v>
      </c>
      <c r="H745" t="s">
        <v>3221</v>
      </c>
      <c r="I745" s="2">
        <v>921000</v>
      </c>
      <c r="J745" t="s">
        <v>147</v>
      </c>
      <c r="K745" t="s">
        <v>2509</v>
      </c>
    </row>
    <row r="746" spans="1:11" x14ac:dyDescent="0.25">
      <c r="A746" t="s">
        <v>1441</v>
      </c>
      <c r="B746" s="3">
        <v>46286</v>
      </c>
      <c r="C746" t="s">
        <v>404</v>
      </c>
      <c r="D746" t="s">
        <v>357</v>
      </c>
      <c r="E746">
        <v>46</v>
      </c>
      <c r="F746" t="s">
        <v>358</v>
      </c>
      <c r="G746" t="s">
        <v>32</v>
      </c>
      <c r="H746" t="s">
        <v>3222</v>
      </c>
      <c r="I746" s="2">
        <v>25000</v>
      </c>
      <c r="J746" t="s">
        <v>149</v>
      </c>
      <c r="K746" t="s">
        <v>2503</v>
      </c>
    </row>
    <row r="747" spans="1:11" x14ac:dyDescent="0.25">
      <c r="A747" t="s">
        <v>1442</v>
      </c>
      <c r="B747" s="3">
        <v>46286</v>
      </c>
      <c r="C747" t="s">
        <v>132</v>
      </c>
      <c r="D747" t="s">
        <v>26</v>
      </c>
      <c r="E747">
        <v>9</v>
      </c>
      <c r="F747" t="s">
        <v>2</v>
      </c>
      <c r="G747" t="s">
        <v>36</v>
      </c>
      <c r="H747" t="s">
        <v>3223</v>
      </c>
      <c r="I747" s="2">
        <v>547000</v>
      </c>
      <c r="J747" t="s">
        <v>133</v>
      </c>
      <c r="K747" t="s">
        <v>2513</v>
      </c>
    </row>
    <row r="748" spans="1:11" x14ac:dyDescent="0.25">
      <c r="A748" t="s">
        <v>1443</v>
      </c>
      <c r="B748" s="3">
        <v>46286</v>
      </c>
      <c r="C748" t="s">
        <v>429</v>
      </c>
      <c r="D748" t="s">
        <v>351</v>
      </c>
      <c r="E748">
        <v>24</v>
      </c>
      <c r="F748" t="s">
        <v>2</v>
      </c>
      <c r="G748" t="s">
        <v>22</v>
      </c>
      <c r="H748" t="s">
        <v>3224</v>
      </c>
      <c r="I748" s="2">
        <v>625000</v>
      </c>
      <c r="J748" t="s">
        <v>126</v>
      </c>
      <c r="K748" t="s">
        <v>2500</v>
      </c>
    </row>
    <row r="749" spans="1:11" x14ac:dyDescent="0.25">
      <c r="A749" t="s">
        <v>1444</v>
      </c>
      <c r="B749" s="3">
        <v>46286</v>
      </c>
      <c r="C749" t="s">
        <v>511</v>
      </c>
      <c r="D749" t="s">
        <v>502</v>
      </c>
      <c r="E749">
        <v>14</v>
      </c>
      <c r="F749" t="s">
        <v>469</v>
      </c>
      <c r="G749" t="s">
        <v>81</v>
      </c>
      <c r="H749" t="s">
        <v>3225</v>
      </c>
      <c r="I749" s="2">
        <v>76000</v>
      </c>
      <c r="J749" t="s">
        <v>512</v>
      </c>
      <c r="K749" t="s">
        <v>2503</v>
      </c>
    </row>
    <row r="750" spans="1:11" x14ac:dyDescent="0.25">
      <c r="A750" t="s">
        <v>1445</v>
      </c>
      <c r="B750" s="3">
        <v>46286</v>
      </c>
      <c r="C750" t="s">
        <v>190</v>
      </c>
      <c r="D750" t="s">
        <v>29</v>
      </c>
      <c r="E750">
        <v>53</v>
      </c>
      <c r="F750" t="s">
        <v>2</v>
      </c>
      <c r="G750" t="s">
        <v>48</v>
      </c>
      <c r="H750" t="s">
        <v>3226</v>
      </c>
      <c r="I750" s="2">
        <v>252000</v>
      </c>
      <c r="J750" t="s">
        <v>77</v>
      </c>
      <c r="K750" t="s">
        <v>2513</v>
      </c>
    </row>
    <row r="751" spans="1:11" x14ac:dyDescent="0.25">
      <c r="A751" t="s">
        <v>1446</v>
      </c>
      <c r="B751" s="3">
        <v>46286</v>
      </c>
      <c r="C751" t="s">
        <v>655</v>
      </c>
      <c r="D751" t="s">
        <v>597</v>
      </c>
      <c r="E751">
        <v>67</v>
      </c>
      <c r="F751" t="s">
        <v>355</v>
      </c>
      <c r="G751" t="s">
        <v>61</v>
      </c>
      <c r="H751" t="s">
        <v>3227</v>
      </c>
      <c r="I751" s="2">
        <v>55000</v>
      </c>
      <c r="J751" t="s">
        <v>289</v>
      </c>
      <c r="K751" t="s">
        <v>2509</v>
      </c>
    </row>
    <row r="752" spans="1:11" x14ac:dyDescent="0.25">
      <c r="A752" t="s">
        <v>1447</v>
      </c>
      <c r="B752" s="3">
        <v>46286</v>
      </c>
      <c r="C752" t="s">
        <v>460</v>
      </c>
      <c r="D752" t="s">
        <v>366</v>
      </c>
      <c r="E752">
        <v>9</v>
      </c>
      <c r="F752" t="s">
        <v>2</v>
      </c>
      <c r="G752" t="s">
        <v>55</v>
      </c>
      <c r="H752" t="s">
        <v>3228</v>
      </c>
      <c r="I752" s="2">
        <v>35000</v>
      </c>
      <c r="J752" t="s">
        <v>201</v>
      </c>
      <c r="K752" t="s">
        <v>2509</v>
      </c>
    </row>
    <row r="753" spans="1:11" x14ac:dyDescent="0.25">
      <c r="A753" t="s">
        <v>1448</v>
      </c>
      <c r="B753" s="3">
        <v>46286</v>
      </c>
      <c r="C753" t="s">
        <v>136</v>
      </c>
      <c r="D753" t="s">
        <v>21</v>
      </c>
      <c r="E753">
        <v>67</v>
      </c>
      <c r="F753" t="s">
        <v>2</v>
      </c>
      <c r="G753" t="s">
        <v>81</v>
      </c>
      <c r="H753" t="s">
        <v>2592</v>
      </c>
      <c r="I753" s="2">
        <v>21000</v>
      </c>
      <c r="J753" t="s">
        <v>83</v>
      </c>
      <c r="K753" t="s">
        <v>2503</v>
      </c>
    </row>
    <row r="754" spans="1:11" x14ac:dyDescent="0.25">
      <c r="A754" t="s">
        <v>1449</v>
      </c>
      <c r="B754" s="3">
        <v>46287</v>
      </c>
      <c r="C754" t="s">
        <v>547</v>
      </c>
      <c r="D754" t="s">
        <v>481</v>
      </c>
      <c r="E754">
        <v>5</v>
      </c>
      <c r="F754" t="s">
        <v>2</v>
      </c>
      <c r="G754" t="s">
        <v>40</v>
      </c>
      <c r="H754" t="s">
        <v>3229</v>
      </c>
      <c r="I754" s="2">
        <v>263000</v>
      </c>
      <c r="J754" t="s">
        <v>69</v>
      </c>
      <c r="K754" t="s">
        <v>2500</v>
      </c>
    </row>
    <row r="755" spans="1:11" x14ac:dyDescent="0.25">
      <c r="A755" t="s">
        <v>1450</v>
      </c>
      <c r="B755" s="3">
        <v>46287</v>
      </c>
      <c r="C755" t="s">
        <v>608</v>
      </c>
      <c r="D755" t="s">
        <v>582</v>
      </c>
      <c r="E755">
        <v>24</v>
      </c>
      <c r="F755" t="s">
        <v>2</v>
      </c>
      <c r="G755" t="s">
        <v>81</v>
      </c>
      <c r="H755" t="s">
        <v>3230</v>
      </c>
      <c r="I755" s="2">
        <v>120000</v>
      </c>
      <c r="J755" t="s">
        <v>206</v>
      </c>
      <c r="K755" t="s">
        <v>2509</v>
      </c>
    </row>
    <row r="756" spans="1:11" x14ac:dyDescent="0.25">
      <c r="A756" t="s">
        <v>1451</v>
      </c>
      <c r="B756" s="3">
        <v>46287</v>
      </c>
      <c r="C756" t="s">
        <v>105</v>
      </c>
      <c r="D756" t="s">
        <v>44</v>
      </c>
      <c r="E756">
        <v>12</v>
      </c>
      <c r="F756" t="s">
        <v>2</v>
      </c>
      <c r="G756" t="s">
        <v>40</v>
      </c>
      <c r="H756" t="s">
        <v>2924</v>
      </c>
      <c r="I756" s="2">
        <v>28000</v>
      </c>
      <c r="J756" t="s">
        <v>106</v>
      </c>
      <c r="K756" t="s">
        <v>2503</v>
      </c>
    </row>
    <row r="757" spans="1:11" x14ac:dyDescent="0.25">
      <c r="A757" t="s">
        <v>1452</v>
      </c>
      <c r="B757" s="3">
        <v>46287</v>
      </c>
      <c r="C757" t="s">
        <v>204</v>
      </c>
      <c r="D757" t="s">
        <v>15</v>
      </c>
      <c r="E757">
        <v>62</v>
      </c>
      <c r="F757" t="s">
        <v>2</v>
      </c>
      <c r="G757" t="s">
        <v>85</v>
      </c>
      <c r="H757" t="s">
        <v>3231</v>
      </c>
      <c r="I757" s="2">
        <v>236000</v>
      </c>
      <c r="J757" t="s">
        <v>52</v>
      </c>
      <c r="K757" t="s">
        <v>2503</v>
      </c>
    </row>
    <row r="758" spans="1:11" x14ac:dyDescent="0.25">
      <c r="A758" t="s">
        <v>1453</v>
      </c>
      <c r="B758" s="3">
        <v>46287</v>
      </c>
      <c r="C758" t="s">
        <v>560</v>
      </c>
      <c r="D758" t="s">
        <v>467</v>
      </c>
      <c r="E758">
        <v>5</v>
      </c>
      <c r="F758" t="s">
        <v>469</v>
      </c>
      <c r="G758" t="s">
        <v>32</v>
      </c>
      <c r="H758" t="s">
        <v>3232</v>
      </c>
      <c r="I758" s="2">
        <v>27000</v>
      </c>
      <c r="J758" t="s">
        <v>119</v>
      </c>
      <c r="K758" t="s">
        <v>2513</v>
      </c>
    </row>
    <row r="759" spans="1:11" x14ac:dyDescent="0.25">
      <c r="A759" t="s">
        <v>1454</v>
      </c>
      <c r="B759" s="3">
        <v>46287</v>
      </c>
      <c r="C759" t="s">
        <v>143</v>
      </c>
      <c r="D759" t="s">
        <v>47</v>
      </c>
      <c r="E759">
        <v>22</v>
      </c>
      <c r="F759" t="s">
        <v>2</v>
      </c>
      <c r="G759" t="s">
        <v>48</v>
      </c>
      <c r="H759" t="s">
        <v>3233</v>
      </c>
      <c r="I759" s="2">
        <v>171000</v>
      </c>
      <c r="J759" t="s">
        <v>144</v>
      </c>
      <c r="K759" t="s">
        <v>2503</v>
      </c>
    </row>
    <row r="760" spans="1:11" x14ac:dyDescent="0.25">
      <c r="A760" t="s">
        <v>1455</v>
      </c>
      <c r="B760" s="3">
        <v>46287</v>
      </c>
      <c r="C760" t="s">
        <v>122</v>
      </c>
      <c r="D760" t="s">
        <v>54</v>
      </c>
      <c r="E760">
        <v>41</v>
      </c>
      <c r="F760" t="s">
        <v>2</v>
      </c>
      <c r="G760" t="s">
        <v>17</v>
      </c>
      <c r="H760" t="s">
        <v>3234</v>
      </c>
      <c r="I760" s="2">
        <v>169000</v>
      </c>
      <c r="J760" t="s">
        <v>98</v>
      </c>
      <c r="K760" t="s">
        <v>2513</v>
      </c>
    </row>
    <row r="761" spans="1:11" x14ac:dyDescent="0.25">
      <c r="A761" t="s">
        <v>1456</v>
      </c>
      <c r="B761" s="3">
        <v>46287</v>
      </c>
      <c r="C761" t="s">
        <v>506</v>
      </c>
      <c r="D761" t="s">
        <v>471</v>
      </c>
      <c r="E761">
        <v>54</v>
      </c>
      <c r="F761" t="s">
        <v>355</v>
      </c>
      <c r="G761" t="s">
        <v>61</v>
      </c>
      <c r="H761" t="s">
        <v>3235</v>
      </c>
      <c r="I761" s="2">
        <v>19000</v>
      </c>
      <c r="J761" t="s">
        <v>34</v>
      </c>
      <c r="K761" t="s">
        <v>2500</v>
      </c>
    </row>
    <row r="762" spans="1:11" x14ac:dyDescent="0.25">
      <c r="A762" t="s">
        <v>1457</v>
      </c>
      <c r="B762" s="3">
        <v>46287</v>
      </c>
      <c r="C762" t="s">
        <v>693</v>
      </c>
      <c r="D762" t="s">
        <v>582</v>
      </c>
      <c r="E762">
        <v>45</v>
      </c>
      <c r="F762" t="s">
        <v>2</v>
      </c>
      <c r="G762" t="s">
        <v>36</v>
      </c>
      <c r="H762" t="s">
        <v>3236</v>
      </c>
      <c r="I762" s="2">
        <v>136000</v>
      </c>
      <c r="J762" t="s">
        <v>175</v>
      </c>
      <c r="K762" t="s">
        <v>2500</v>
      </c>
    </row>
    <row r="763" spans="1:11" x14ac:dyDescent="0.25">
      <c r="A763" t="s">
        <v>1458</v>
      </c>
      <c r="B763" s="3">
        <v>46287</v>
      </c>
      <c r="C763" t="s">
        <v>669</v>
      </c>
      <c r="D763" t="s">
        <v>594</v>
      </c>
      <c r="E763">
        <v>60</v>
      </c>
      <c r="F763" t="s">
        <v>595</v>
      </c>
      <c r="G763" t="s">
        <v>81</v>
      </c>
      <c r="H763" t="s">
        <v>3237</v>
      </c>
      <c r="I763" s="2">
        <v>4000</v>
      </c>
      <c r="J763" t="s">
        <v>410</v>
      </c>
      <c r="K763" t="s">
        <v>2500</v>
      </c>
    </row>
    <row r="764" spans="1:11" x14ac:dyDescent="0.25">
      <c r="A764" t="s">
        <v>1459</v>
      </c>
      <c r="B764" s="3">
        <v>46287</v>
      </c>
      <c r="C764" t="s">
        <v>667</v>
      </c>
      <c r="D764" t="s">
        <v>602</v>
      </c>
      <c r="E764">
        <v>55</v>
      </c>
      <c r="F764" t="s">
        <v>2</v>
      </c>
      <c r="G764" t="s">
        <v>85</v>
      </c>
      <c r="H764" t="s">
        <v>3238</v>
      </c>
      <c r="I764" s="2">
        <v>128000</v>
      </c>
      <c r="J764" t="s">
        <v>201</v>
      </c>
      <c r="K764" t="s">
        <v>2513</v>
      </c>
    </row>
    <row r="765" spans="1:11" x14ac:dyDescent="0.25">
      <c r="A765" t="s">
        <v>1460</v>
      </c>
      <c r="B765" s="3">
        <v>46287</v>
      </c>
      <c r="C765" t="s">
        <v>567</v>
      </c>
      <c r="D765" t="s">
        <v>502</v>
      </c>
      <c r="E765">
        <v>59</v>
      </c>
      <c r="F765" t="s">
        <v>469</v>
      </c>
      <c r="G765" t="s">
        <v>61</v>
      </c>
      <c r="H765" t="s">
        <v>3239</v>
      </c>
      <c r="I765" s="2">
        <v>63000</v>
      </c>
      <c r="J765" t="s">
        <v>152</v>
      </c>
      <c r="K765" t="s">
        <v>2500</v>
      </c>
    </row>
    <row r="766" spans="1:11" x14ac:dyDescent="0.25">
      <c r="A766" t="s">
        <v>1461</v>
      </c>
      <c r="B766" s="3">
        <v>46287</v>
      </c>
      <c r="C766" t="s">
        <v>14</v>
      </c>
      <c r="D766" t="s">
        <v>15</v>
      </c>
      <c r="E766">
        <v>26</v>
      </c>
      <c r="F766" t="s">
        <v>2</v>
      </c>
      <c r="G766" t="s">
        <v>17</v>
      </c>
      <c r="H766" t="s">
        <v>3240</v>
      </c>
      <c r="I766" s="2">
        <v>91000</v>
      </c>
      <c r="J766" t="s">
        <v>19</v>
      </c>
      <c r="K766" t="s">
        <v>2503</v>
      </c>
    </row>
    <row r="767" spans="1:11" x14ac:dyDescent="0.25">
      <c r="A767" t="s">
        <v>1462</v>
      </c>
      <c r="B767" s="3">
        <v>46287</v>
      </c>
      <c r="C767" t="s">
        <v>660</v>
      </c>
      <c r="D767" t="s">
        <v>629</v>
      </c>
      <c r="E767">
        <v>20</v>
      </c>
      <c r="F767" t="s">
        <v>355</v>
      </c>
      <c r="G767" t="s">
        <v>48</v>
      </c>
      <c r="H767" t="s">
        <v>3241</v>
      </c>
      <c r="I767" s="2">
        <v>18000</v>
      </c>
      <c r="J767" t="s">
        <v>312</v>
      </c>
      <c r="K767" t="s">
        <v>2513</v>
      </c>
    </row>
    <row r="768" spans="1:11" x14ac:dyDescent="0.25">
      <c r="A768" t="s">
        <v>1463</v>
      </c>
      <c r="B768" s="3">
        <v>46287</v>
      </c>
      <c r="C768" t="s">
        <v>176</v>
      </c>
      <c r="D768" t="s">
        <v>21</v>
      </c>
      <c r="E768">
        <v>51</v>
      </c>
      <c r="F768" t="s">
        <v>2</v>
      </c>
      <c r="G768" t="s">
        <v>40</v>
      </c>
      <c r="H768" t="s">
        <v>3242</v>
      </c>
      <c r="I768" s="2">
        <v>96000</v>
      </c>
      <c r="J768" t="s">
        <v>177</v>
      </c>
      <c r="K768" t="s">
        <v>2513</v>
      </c>
    </row>
    <row r="769" spans="1:11" x14ac:dyDescent="0.25">
      <c r="A769" t="s">
        <v>1464</v>
      </c>
      <c r="B769" s="3">
        <v>46287</v>
      </c>
      <c r="C769" t="s">
        <v>390</v>
      </c>
      <c r="D769" t="s">
        <v>378</v>
      </c>
      <c r="E769">
        <v>40</v>
      </c>
      <c r="F769" t="s">
        <v>2</v>
      </c>
      <c r="G769" t="s">
        <v>81</v>
      </c>
      <c r="H769" t="s">
        <v>3243</v>
      </c>
      <c r="I769" s="2">
        <v>18000</v>
      </c>
      <c r="J769" t="s">
        <v>206</v>
      </c>
      <c r="K769" t="s">
        <v>2503</v>
      </c>
    </row>
    <row r="770" spans="1:11" x14ac:dyDescent="0.25">
      <c r="A770" t="s">
        <v>1465</v>
      </c>
      <c r="B770" s="3">
        <v>46287</v>
      </c>
      <c r="C770" t="s">
        <v>561</v>
      </c>
      <c r="D770" t="s">
        <v>484</v>
      </c>
      <c r="E770">
        <v>34</v>
      </c>
      <c r="F770" t="s">
        <v>469</v>
      </c>
      <c r="G770" t="s">
        <v>85</v>
      </c>
      <c r="H770" t="s">
        <v>3244</v>
      </c>
      <c r="I770" s="2">
        <v>51000</v>
      </c>
      <c r="J770" t="s">
        <v>310</v>
      </c>
      <c r="K770" t="s">
        <v>2503</v>
      </c>
    </row>
    <row r="771" spans="1:11" x14ac:dyDescent="0.25">
      <c r="A771" t="s">
        <v>1466</v>
      </c>
      <c r="B771" s="3">
        <v>46287</v>
      </c>
      <c r="C771" t="s">
        <v>656</v>
      </c>
      <c r="D771" t="s">
        <v>597</v>
      </c>
      <c r="E771">
        <v>16</v>
      </c>
      <c r="F771" t="s">
        <v>355</v>
      </c>
      <c r="G771" t="s">
        <v>85</v>
      </c>
      <c r="H771" t="s">
        <v>3245</v>
      </c>
      <c r="I771" s="2">
        <v>20000</v>
      </c>
      <c r="J771" t="s">
        <v>95</v>
      </c>
      <c r="K771" t="s">
        <v>2509</v>
      </c>
    </row>
    <row r="772" spans="1:11" x14ac:dyDescent="0.25">
      <c r="A772" t="s">
        <v>1467</v>
      </c>
      <c r="B772" s="3">
        <v>46287</v>
      </c>
      <c r="C772" t="s">
        <v>348</v>
      </c>
      <c r="D772" t="s">
        <v>349</v>
      </c>
      <c r="E772">
        <v>31</v>
      </c>
      <c r="F772" t="s">
        <v>2</v>
      </c>
      <c r="G772" t="s">
        <v>32</v>
      </c>
      <c r="H772" t="s">
        <v>3246</v>
      </c>
      <c r="I772" s="2">
        <v>4000</v>
      </c>
      <c r="J772" t="s">
        <v>171</v>
      </c>
      <c r="K772" t="s">
        <v>2509</v>
      </c>
    </row>
    <row r="773" spans="1:11" x14ac:dyDescent="0.25">
      <c r="A773" t="s">
        <v>1468</v>
      </c>
      <c r="B773" s="3">
        <v>46287</v>
      </c>
      <c r="C773" t="s">
        <v>96</v>
      </c>
      <c r="D773" t="s">
        <v>26</v>
      </c>
      <c r="E773">
        <v>6</v>
      </c>
      <c r="F773" t="s">
        <v>2</v>
      </c>
      <c r="G773" t="s">
        <v>22</v>
      </c>
      <c r="H773" t="s">
        <v>3247</v>
      </c>
      <c r="I773" s="2">
        <v>481000</v>
      </c>
      <c r="J773" t="s">
        <v>59</v>
      </c>
      <c r="K773" t="s">
        <v>2500</v>
      </c>
    </row>
    <row r="774" spans="1:11" x14ac:dyDescent="0.25">
      <c r="A774" t="s">
        <v>1469</v>
      </c>
      <c r="B774" s="3">
        <v>46287</v>
      </c>
      <c r="C774" t="s">
        <v>508</v>
      </c>
      <c r="D774" t="s">
        <v>476</v>
      </c>
      <c r="E774">
        <v>49</v>
      </c>
      <c r="F774" t="s">
        <v>477</v>
      </c>
      <c r="G774" t="s">
        <v>81</v>
      </c>
      <c r="H774" t="s">
        <v>3248</v>
      </c>
      <c r="I774" s="2">
        <v>11000</v>
      </c>
      <c r="J774" t="s">
        <v>89</v>
      </c>
      <c r="K774" t="s">
        <v>2509</v>
      </c>
    </row>
    <row r="775" spans="1:11" x14ac:dyDescent="0.25">
      <c r="A775" t="s">
        <v>1470</v>
      </c>
      <c r="B775" s="3">
        <v>46287</v>
      </c>
      <c r="C775" t="s">
        <v>376</v>
      </c>
      <c r="D775" t="s">
        <v>351</v>
      </c>
      <c r="E775">
        <v>3</v>
      </c>
      <c r="F775" t="s">
        <v>2</v>
      </c>
      <c r="G775" t="s">
        <v>61</v>
      </c>
      <c r="H775" t="s">
        <v>3249</v>
      </c>
      <c r="I775" s="2">
        <v>639000</v>
      </c>
      <c r="J775" t="s">
        <v>259</v>
      </c>
      <c r="K775" t="s">
        <v>2503</v>
      </c>
    </row>
    <row r="776" spans="1:11" x14ac:dyDescent="0.25">
      <c r="A776" t="s">
        <v>1471</v>
      </c>
      <c r="B776" s="3">
        <v>46287</v>
      </c>
      <c r="C776" t="s">
        <v>687</v>
      </c>
      <c r="D776" t="s">
        <v>612</v>
      </c>
      <c r="E776">
        <v>38</v>
      </c>
      <c r="F776" t="s">
        <v>2</v>
      </c>
      <c r="G776" t="s">
        <v>22</v>
      </c>
      <c r="H776" t="s">
        <v>3250</v>
      </c>
      <c r="I776" s="2">
        <v>21000</v>
      </c>
      <c r="J776" t="s">
        <v>59</v>
      </c>
      <c r="K776" t="s">
        <v>2513</v>
      </c>
    </row>
    <row r="777" spans="1:11" x14ac:dyDescent="0.25">
      <c r="A777" t="s">
        <v>1472</v>
      </c>
      <c r="B777" s="3">
        <v>46287</v>
      </c>
      <c r="C777" t="s">
        <v>420</v>
      </c>
      <c r="D777" t="s">
        <v>344</v>
      </c>
      <c r="E777">
        <v>21</v>
      </c>
      <c r="F777" t="s">
        <v>346</v>
      </c>
      <c r="G777" t="s">
        <v>17</v>
      </c>
      <c r="H777" t="s">
        <v>3251</v>
      </c>
      <c r="I777" s="2">
        <v>58000</v>
      </c>
      <c r="J777" t="s">
        <v>38</v>
      </c>
      <c r="K777" t="s">
        <v>2509</v>
      </c>
    </row>
    <row r="778" spans="1:11" x14ac:dyDescent="0.25">
      <c r="A778" t="s">
        <v>1473</v>
      </c>
      <c r="B778" s="3">
        <v>46287</v>
      </c>
      <c r="C778" t="s">
        <v>99</v>
      </c>
      <c r="D778" t="s">
        <v>26</v>
      </c>
      <c r="E778">
        <v>20</v>
      </c>
      <c r="F778" t="s">
        <v>2</v>
      </c>
      <c r="G778" t="s">
        <v>55</v>
      </c>
      <c r="H778" t="s">
        <v>3252</v>
      </c>
      <c r="I778" s="2">
        <v>456000</v>
      </c>
      <c r="J778" t="s">
        <v>100</v>
      </c>
      <c r="K778" t="s">
        <v>2513</v>
      </c>
    </row>
    <row r="779" spans="1:11" x14ac:dyDescent="0.25">
      <c r="A779" t="s">
        <v>1474</v>
      </c>
      <c r="B779" s="3">
        <v>46287</v>
      </c>
      <c r="C779" t="s">
        <v>157</v>
      </c>
      <c r="D779" t="s">
        <v>44</v>
      </c>
      <c r="E779">
        <v>11</v>
      </c>
      <c r="F779" t="s">
        <v>2</v>
      </c>
      <c r="G779" t="s">
        <v>81</v>
      </c>
      <c r="H779" t="s">
        <v>3253</v>
      </c>
      <c r="I779" s="2">
        <v>66000</v>
      </c>
      <c r="J779" t="s">
        <v>158</v>
      </c>
      <c r="K779" t="s">
        <v>2500</v>
      </c>
    </row>
    <row r="780" spans="1:11" x14ac:dyDescent="0.25">
      <c r="A780" t="s">
        <v>1475</v>
      </c>
      <c r="B780" s="3">
        <v>46287</v>
      </c>
      <c r="C780" t="s">
        <v>369</v>
      </c>
      <c r="D780" t="s">
        <v>351</v>
      </c>
      <c r="E780">
        <v>15</v>
      </c>
      <c r="F780" t="s">
        <v>2</v>
      </c>
      <c r="G780" t="s">
        <v>36</v>
      </c>
      <c r="H780" t="s">
        <v>3254</v>
      </c>
      <c r="I780" s="2">
        <v>594000</v>
      </c>
      <c r="J780" t="s">
        <v>312</v>
      </c>
      <c r="K780" t="s">
        <v>2509</v>
      </c>
    </row>
    <row r="781" spans="1:11" x14ac:dyDescent="0.25">
      <c r="A781" t="s">
        <v>1476</v>
      </c>
      <c r="B781" s="3">
        <v>46287</v>
      </c>
      <c r="C781" t="s">
        <v>531</v>
      </c>
      <c r="D781" t="s">
        <v>479</v>
      </c>
      <c r="E781">
        <v>44</v>
      </c>
      <c r="F781" t="s">
        <v>469</v>
      </c>
      <c r="G781" t="s">
        <v>48</v>
      </c>
      <c r="H781" t="s">
        <v>3255</v>
      </c>
      <c r="I781" s="2">
        <v>16000</v>
      </c>
      <c r="J781" t="s">
        <v>129</v>
      </c>
      <c r="K781" t="s">
        <v>2500</v>
      </c>
    </row>
    <row r="782" spans="1:11" x14ac:dyDescent="0.25">
      <c r="A782" t="s">
        <v>1477</v>
      </c>
      <c r="B782" s="3">
        <v>46287</v>
      </c>
      <c r="C782" t="s">
        <v>569</v>
      </c>
      <c r="D782" t="s">
        <v>474</v>
      </c>
      <c r="E782">
        <v>29</v>
      </c>
      <c r="F782" t="s">
        <v>2</v>
      </c>
      <c r="G782" t="s">
        <v>32</v>
      </c>
      <c r="H782" t="s">
        <v>3256</v>
      </c>
      <c r="I782" s="2">
        <v>3000</v>
      </c>
      <c r="J782" t="s">
        <v>161</v>
      </c>
      <c r="K782" t="s">
        <v>2513</v>
      </c>
    </row>
    <row r="783" spans="1:11" x14ac:dyDescent="0.25">
      <c r="A783" t="s">
        <v>1478</v>
      </c>
      <c r="B783" s="3">
        <v>46287</v>
      </c>
      <c r="C783" t="s">
        <v>375</v>
      </c>
      <c r="D783" t="s">
        <v>364</v>
      </c>
      <c r="E783">
        <v>52</v>
      </c>
      <c r="F783" t="s">
        <v>358</v>
      </c>
      <c r="G783" t="s">
        <v>55</v>
      </c>
      <c r="H783" t="s">
        <v>3257</v>
      </c>
      <c r="I783" s="2">
        <v>23000</v>
      </c>
      <c r="J783" t="s">
        <v>110</v>
      </c>
      <c r="K783" t="s">
        <v>2500</v>
      </c>
    </row>
    <row r="784" spans="1:11" x14ac:dyDescent="0.25">
      <c r="A784" t="s">
        <v>1479</v>
      </c>
      <c r="B784" s="3">
        <v>46287</v>
      </c>
      <c r="C784" t="s">
        <v>341</v>
      </c>
      <c r="D784" t="s">
        <v>234</v>
      </c>
      <c r="E784">
        <v>8</v>
      </c>
      <c r="F784" t="s">
        <v>2</v>
      </c>
      <c r="G784" t="s">
        <v>22</v>
      </c>
      <c r="H784" t="s">
        <v>3258</v>
      </c>
      <c r="I784" s="2">
        <v>1606000</v>
      </c>
      <c r="J784" t="s">
        <v>161</v>
      </c>
      <c r="K784" t="s">
        <v>2503</v>
      </c>
    </row>
    <row r="785" spans="1:11" x14ac:dyDescent="0.25">
      <c r="A785" t="s">
        <v>1480</v>
      </c>
      <c r="B785" s="3">
        <v>46287</v>
      </c>
      <c r="C785" t="s">
        <v>167</v>
      </c>
      <c r="D785" t="s">
        <v>26</v>
      </c>
      <c r="E785">
        <v>10</v>
      </c>
      <c r="F785" t="s">
        <v>2</v>
      </c>
      <c r="G785" t="s">
        <v>17</v>
      </c>
      <c r="H785" t="s">
        <v>3259</v>
      </c>
      <c r="I785" s="2">
        <v>524000</v>
      </c>
      <c r="J785" t="s">
        <v>64</v>
      </c>
      <c r="K785" t="s">
        <v>2503</v>
      </c>
    </row>
    <row r="786" spans="1:11" x14ac:dyDescent="0.25">
      <c r="A786" t="s">
        <v>1481</v>
      </c>
      <c r="B786" s="3">
        <v>46287</v>
      </c>
      <c r="C786" t="s">
        <v>422</v>
      </c>
      <c r="D786" t="s">
        <v>360</v>
      </c>
      <c r="E786">
        <v>7</v>
      </c>
      <c r="F786" t="s">
        <v>358</v>
      </c>
      <c r="G786" t="s">
        <v>32</v>
      </c>
      <c r="H786" t="s">
        <v>3260</v>
      </c>
      <c r="I786" s="2">
        <v>16000</v>
      </c>
      <c r="J786" t="s">
        <v>423</v>
      </c>
      <c r="K786" t="s">
        <v>2503</v>
      </c>
    </row>
    <row r="787" spans="1:11" x14ac:dyDescent="0.25">
      <c r="A787" t="s">
        <v>1482</v>
      </c>
      <c r="B787" s="3">
        <v>46288</v>
      </c>
      <c r="C787" t="s">
        <v>444</v>
      </c>
      <c r="D787" t="s">
        <v>364</v>
      </c>
      <c r="E787">
        <v>9</v>
      </c>
      <c r="F787" t="s">
        <v>358</v>
      </c>
      <c r="G787" t="s">
        <v>32</v>
      </c>
      <c r="H787" t="s">
        <v>3261</v>
      </c>
      <c r="I787" s="2">
        <v>32000</v>
      </c>
      <c r="J787" t="s">
        <v>330</v>
      </c>
      <c r="K787" t="s">
        <v>2509</v>
      </c>
    </row>
    <row r="788" spans="1:11" x14ac:dyDescent="0.25">
      <c r="A788" t="s">
        <v>1483</v>
      </c>
      <c r="B788" s="3">
        <v>46288</v>
      </c>
      <c r="C788" t="s">
        <v>670</v>
      </c>
      <c r="D788" t="s">
        <v>599</v>
      </c>
      <c r="E788">
        <v>41</v>
      </c>
      <c r="F788" t="s">
        <v>2</v>
      </c>
      <c r="G788" t="s">
        <v>32</v>
      </c>
      <c r="H788" t="s">
        <v>3262</v>
      </c>
      <c r="I788" s="2">
        <v>124000</v>
      </c>
      <c r="J788" t="s">
        <v>93</v>
      </c>
      <c r="K788" t="s">
        <v>2503</v>
      </c>
    </row>
    <row r="789" spans="1:11" x14ac:dyDescent="0.25">
      <c r="A789" t="s">
        <v>1484</v>
      </c>
      <c r="B789" s="3">
        <v>46288</v>
      </c>
      <c r="C789" t="s">
        <v>224</v>
      </c>
      <c r="D789" t="s">
        <v>225</v>
      </c>
      <c r="E789">
        <v>10</v>
      </c>
      <c r="F789" t="s">
        <v>2</v>
      </c>
      <c r="G789" t="s">
        <v>55</v>
      </c>
      <c r="H789" t="s">
        <v>3263</v>
      </c>
      <c r="I789" s="2">
        <v>803000</v>
      </c>
      <c r="J789" t="s">
        <v>106</v>
      </c>
      <c r="K789" t="s">
        <v>2503</v>
      </c>
    </row>
    <row r="790" spans="1:11" x14ac:dyDescent="0.25">
      <c r="A790" t="s">
        <v>1485</v>
      </c>
      <c r="B790" s="3">
        <v>46288</v>
      </c>
      <c r="C790" t="s">
        <v>407</v>
      </c>
      <c r="D790" t="s">
        <v>344</v>
      </c>
      <c r="E790">
        <v>50</v>
      </c>
      <c r="F790" t="s">
        <v>346</v>
      </c>
      <c r="G790" t="s">
        <v>81</v>
      </c>
      <c r="H790" t="s">
        <v>3264</v>
      </c>
      <c r="I790" s="2">
        <v>58000</v>
      </c>
      <c r="J790" t="s">
        <v>30</v>
      </c>
      <c r="K790" t="s">
        <v>2500</v>
      </c>
    </row>
    <row r="791" spans="1:11" x14ac:dyDescent="0.25">
      <c r="A791" t="s">
        <v>1486</v>
      </c>
      <c r="B791" s="3">
        <v>46288</v>
      </c>
      <c r="C791" t="s">
        <v>673</v>
      </c>
      <c r="D791" t="s">
        <v>594</v>
      </c>
      <c r="E791">
        <v>6</v>
      </c>
      <c r="F791" t="s">
        <v>595</v>
      </c>
      <c r="G791" t="s">
        <v>40</v>
      </c>
      <c r="H791" t="s">
        <v>3265</v>
      </c>
      <c r="I791" s="2">
        <v>14000</v>
      </c>
      <c r="J791" t="s">
        <v>87</v>
      </c>
      <c r="K791" t="s">
        <v>2509</v>
      </c>
    </row>
    <row r="792" spans="1:11" x14ac:dyDescent="0.25">
      <c r="A792" t="s">
        <v>1487</v>
      </c>
      <c r="B792" s="3">
        <v>46288</v>
      </c>
      <c r="C792" t="s">
        <v>137</v>
      </c>
      <c r="D792" t="s">
        <v>44</v>
      </c>
      <c r="E792">
        <v>42</v>
      </c>
      <c r="F792" t="s">
        <v>2</v>
      </c>
      <c r="G792" t="s">
        <v>81</v>
      </c>
      <c r="H792" t="s">
        <v>3266</v>
      </c>
      <c r="I792" s="2">
        <v>89000</v>
      </c>
      <c r="J792" t="s">
        <v>38</v>
      </c>
      <c r="K792" t="s">
        <v>2500</v>
      </c>
    </row>
    <row r="793" spans="1:11" x14ac:dyDescent="0.25">
      <c r="A793" t="s">
        <v>1488</v>
      </c>
      <c r="B793" s="3">
        <v>46288</v>
      </c>
      <c r="C793" t="s">
        <v>519</v>
      </c>
      <c r="D793" t="s">
        <v>488</v>
      </c>
      <c r="E793">
        <v>42</v>
      </c>
      <c r="F793" t="s">
        <v>469</v>
      </c>
      <c r="G793" t="s">
        <v>32</v>
      </c>
      <c r="H793" t="s">
        <v>3267</v>
      </c>
      <c r="I793" s="2">
        <v>50000</v>
      </c>
      <c r="J793" t="s">
        <v>126</v>
      </c>
      <c r="K793" t="s">
        <v>2509</v>
      </c>
    </row>
    <row r="794" spans="1:11" x14ac:dyDescent="0.25">
      <c r="A794" t="s">
        <v>1489</v>
      </c>
      <c r="B794" s="3">
        <v>46288</v>
      </c>
      <c r="C794" t="s">
        <v>472</v>
      </c>
      <c r="D794" t="s">
        <v>467</v>
      </c>
      <c r="E794">
        <v>36</v>
      </c>
      <c r="F794" t="s">
        <v>469</v>
      </c>
      <c r="G794" t="s">
        <v>40</v>
      </c>
      <c r="H794" t="s">
        <v>3268</v>
      </c>
      <c r="I794" s="2">
        <v>58000</v>
      </c>
      <c r="J794" t="s">
        <v>119</v>
      </c>
      <c r="K794" t="s">
        <v>2509</v>
      </c>
    </row>
    <row r="795" spans="1:11" x14ac:dyDescent="0.25">
      <c r="A795" t="s">
        <v>1490</v>
      </c>
      <c r="B795" s="3">
        <v>46288</v>
      </c>
      <c r="C795" t="s">
        <v>197</v>
      </c>
      <c r="D795" t="s">
        <v>21</v>
      </c>
      <c r="E795">
        <v>69</v>
      </c>
      <c r="F795" t="s">
        <v>2</v>
      </c>
      <c r="G795" t="s">
        <v>85</v>
      </c>
      <c r="H795" t="s">
        <v>3141</v>
      </c>
      <c r="I795" s="2">
        <v>26000</v>
      </c>
      <c r="J795" t="s">
        <v>171</v>
      </c>
      <c r="K795" t="s">
        <v>2509</v>
      </c>
    </row>
    <row r="796" spans="1:11" x14ac:dyDescent="0.25">
      <c r="A796" t="s">
        <v>1491</v>
      </c>
      <c r="B796" s="3">
        <v>46288</v>
      </c>
      <c r="C796" t="s">
        <v>320</v>
      </c>
      <c r="D796" t="s">
        <v>227</v>
      </c>
      <c r="E796">
        <v>63</v>
      </c>
      <c r="F796" t="s">
        <v>2</v>
      </c>
      <c r="G796" t="s">
        <v>32</v>
      </c>
      <c r="H796" t="s">
        <v>3269</v>
      </c>
      <c r="I796" s="2">
        <v>762000</v>
      </c>
      <c r="J796" t="s">
        <v>171</v>
      </c>
      <c r="K796" t="s">
        <v>2500</v>
      </c>
    </row>
    <row r="797" spans="1:11" x14ac:dyDescent="0.25">
      <c r="A797" t="s">
        <v>1492</v>
      </c>
      <c r="B797" s="3">
        <v>46288</v>
      </c>
      <c r="C797" t="s">
        <v>307</v>
      </c>
      <c r="D797" t="s">
        <v>210</v>
      </c>
      <c r="E797">
        <v>28</v>
      </c>
      <c r="F797" t="s">
        <v>2</v>
      </c>
      <c r="G797" t="s">
        <v>61</v>
      </c>
      <c r="H797" t="s">
        <v>3270</v>
      </c>
      <c r="I797" s="2">
        <v>8538000</v>
      </c>
      <c r="J797" t="s">
        <v>57</v>
      </c>
      <c r="K797" t="s">
        <v>2513</v>
      </c>
    </row>
    <row r="798" spans="1:11" x14ac:dyDescent="0.25">
      <c r="A798" t="s">
        <v>1493</v>
      </c>
      <c r="B798" s="3">
        <v>46288</v>
      </c>
      <c r="C798" t="s">
        <v>460</v>
      </c>
      <c r="D798" t="s">
        <v>366</v>
      </c>
      <c r="E798">
        <v>51</v>
      </c>
      <c r="F798" t="s">
        <v>2</v>
      </c>
      <c r="G798" t="s">
        <v>55</v>
      </c>
      <c r="H798" t="s">
        <v>3271</v>
      </c>
      <c r="I798" s="2">
        <v>35000</v>
      </c>
      <c r="J798" t="s">
        <v>201</v>
      </c>
      <c r="K798" t="s">
        <v>2500</v>
      </c>
    </row>
    <row r="799" spans="1:11" x14ac:dyDescent="0.25">
      <c r="A799" t="s">
        <v>1494</v>
      </c>
      <c r="B799" s="3">
        <v>46288</v>
      </c>
      <c r="C799" t="s">
        <v>197</v>
      </c>
      <c r="D799" t="s">
        <v>21</v>
      </c>
      <c r="E799">
        <v>49</v>
      </c>
      <c r="F799" t="s">
        <v>2</v>
      </c>
      <c r="G799" t="s">
        <v>85</v>
      </c>
      <c r="H799" t="s">
        <v>3272</v>
      </c>
      <c r="I799" s="2">
        <v>26000</v>
      </c>
      <c r="J799" t="s">
        <v>171</v>
      </c>
      <c r="K799" t="s">
        <v>2513</v>
      </c>
    </row>
    <row r="800" spans="1:11" x14ac:dyDescent="0.25">
      <c r="A800" t="s">
        <v>1495</v>
      </c>
      <c r="B800" s="3">
        <v>46288</v>
      </c>
      <c r="C800" t="s">
        <v>434</v>
      </c>
      <c r="D800" t="s">
        <v>360</v>
      </c>
      <c r="E800">
        <v>30</v>
      </c>
      <c r="F800" t="s">
        <v>358</v>
      </c>
      <c r="G800" t="s">
        <v>81</v>
      </c>
      <c r="H800" t="s">
        <v>3273</v>
      </c>
      <c r="I800" s="2">
        <v>12000</v>
      </c>
      <c r="J800" t="s">
        <v>69</v>
      </c>
      <c r="K800" t="s">
        <v>2500</v>
      </c>
    </row>
    <row r="801" spans="1:11" x14ac:dyDescent="0.25">
      <c r="A801" t="s">
        <v>1496</v>
      </c>
      <c r="B801" s="3">
        <v>46288</v>
      </c>
      <c r="C801" t="s">
        <v>372</v>
      </c>
      <c r="D801" t="s">
        <v>360</v>
      </c>
      <c r="E801">
        <v>38</v>
      </c>
      <c r="F801" t="s">
        <v>358</v>
      </c>
      <c r="G801" t="s">
        <v>81</v>
      </c>
      <c r="H801" t="s">
        <v>3274</v>
      </c>
      <c r="I801" s="2">
        <v>15000</v>
      </c>
      <c r="J801" t="s">
        <v>126</v>
      </c>
      <c r="K801" t="s">
        <v>2513</v>
      </c>
    </row>
    <row r="802" spans="1:11" x14ac:dyDescent="0.25">
      <c r="A802" t="s">
        <v>1497</v>
      </c>
      <c r="B802" s="3">
        <v>46288</v>
      </c>
      <c r="C802" t="s">
        <v>178</v>
      </c>
      <c r="D802" t="s">
        <v>163</v>
      </c>
      <c r="E802">
        <v>65</v>
      </c>
      <c r="F802" t="s">
        <v>2</v>
      </c>
      <c r="G802" t="s">
        <v>36</v>
      </c>
      <c r="H802" t="s">
        <v>3275</v>
      </c>
      <c r="I802" s="2">
        <v>30000</v>
      </c>
      <c r="J802" t="s">
        <v>110</v>
      </c>
      <c r="K802" t="s">
        <v>2513</v>
      </c>
    </row>
    <row r="803" spans="1:11" x14ac:dyDescent="0.25">
      <c r="A803" t="s">
        <v>1498</v>
      </c>
      <c r="B803" s="3">
        <v>46288</v>
      </c>
      <c r="C803" t="s">
        <v>353</v>
      </c>
      <c r="D803" t="s">
        <v>354</v>
      </c>
      <c r="E803">
        <v>2</v>
      </c>
      <c r="F803" t="s">
        <v>355</v>
      </c>
      <c r="G803" t="s">
        <v>40</v>
      </c>
      <c r="H803" t="s">
        <v>3276</v>
      </c>
      <c r="I803" s="2">
        <v>21000</v>
      </c>
      <c r="J803" t="s">
        <v>312</v>
      </c>
      <c r="K803" t="s">
        <v>2509</v>
      </c>
    </row>
    <row r="804" spans="1:11" x14ac:dyDescent="0.25">
      <c r="A804" t="s">
        <v>1499</v>
      </c>
      <c r="B804" s="3">
        <v>46288</v>
      </c>
      <c r="C804" t="s">
        <v>320</v>
      </c>
      <c r="D804" t="s">
        <v>227</v>
      </c>
      <c r="E804">
        <v>70</v>
      </c>
      <c r="F804" t="s">
        <v>2</v>
      </c>
      <c r="G804" t="s">
        <v>32</v>
      </c>
      <c r="H804" t="s">
        <v>3277</v>
      </c>
      <c r="I804" s="2">
        <v>762000</v>
      </c>
      <c r="J804" t="s">
        <v>171</v>
      </c>
      <c r="K804" t="s">
        <v>2503</v>
      </c>
    </row>
    <row r="805" spans="1:11" x14ac:dyDescent="0.25">
      <c r="A805" t="s">
        <v>1500</v>
      </c>
      <c r="B805" s="3">
        <v>46288</v>
      </c>
      <c r="C805" t="s">
        <v>565</v>
      </c>
      <c r="D805" t="s">
        <v>474</v>
      </c>
      <c r="E805">
        <v>52</v>
      </c>
      <c r="F805" t="s">
        <v>2</v>
      </c>
      <c r="G805" t="s">
        <v>61</v>
      </c>
      <c r="H805" t="s">
        <v>3278</v>
      </c>
      <c r="I805" s="2">
        <v>3000</v>
      </c>
      <c r="J805" t="s">
        <v>45</v>
      </c>
      <c r="K805" t="s">
        <v>2503</v>
      </c>
    </row>
    <row r="806" spans="1:11" x14ac:dyDescent="0.25">
      <c r="A806" t="s">
        <v>1501</v>
      </c>
      <c r="B806" s="3">
        <v>46288</v>
      </c>
      <c r="C806" t="s">
        <v>573</v>
      </c>
      <c r="D806" t="s">
        <v>502</v>
      </c>
      <c r="E806">
        <v>17</v>
      </c>
      <c r="F806" t="s">
        <v>469</v>
      </c>
      <c r="G806" t="s">
        <v>81</v>
      </c>
      <c r="H806" t="s">
        <v>3279</v>
      </c>
      <c r="I806" s="2">
        <v>59000</v>
      </c>
      <c r="J806" t="s">
        <v>574</v>
      </c>
      <c r="K806" t="s">
        <v>2500</v>
      </c>
    </row>
    <row r="807" spans="1:11" x14ac:dyDescent="0.25">
      <c r="A807" t="s">
        <v>1502</v>
      </c>
      <c r="B807" s="3">
        <v>46288</v>
      </c>
      <c r="C807" t="s">
        <v>693</v>
      </c>
      <c r="D807" t="s">
        <v>582</v>
      </c>
      <c r="E807">
        <v>43</v>
      </c>
      <c r="F807" t="s">
        <v>2</v>
      </c>
      <c r="G807" t="s">
        <v>36</v>
      </c>
      <c r="H807" t="s">
        <v>3280</v>
      </c>
      <c r="I807" s="2">
        <v>136000</v>
      </c>
      <c r="J807" t="s">
        <v>175</v>
      </c>
      <c r="K807" t="s">
        <v>2500</v>
      </c>
    </row>
    <row r="808" spans="1:11" x14ac:dyDescent="0.25">
      <c r="A808" t="s">
        <v>1503</v>
      </c>
      <c r="B808" s="3">
        <v>46288</v>
      </c>
      <c r="C808" t="s">
        <v>683</v>
      </c>
      <c r="D808" t="s">
        <v>594</v>
      </c>
      <c r="E808">
        <v>67</v>
      </c>
      <c r="F808" t="s">
        <v>595</v>
      </c>
      <c r="G808" t="s">
        <v>55</v>
      </c>
      <c r="H808" t="s">
        <v>3281</v>
      </c>
      <c r="I808" s="2">
        <v>7000</v>
      </c>
      <c r="J808" t="s">
        <v>75</v>
      </c>
      <c r="K808" t="s">
        <v>2500</v>
      </c>
    </row>
    <row r="809" spans="1:11" x14ac:dyDescent="0.25">
      <c r="A809" t="s">
        <v>1504</v>
      </c>
      <c r="B809" s="3">
        <v>46288</v>
      </c>
      <c r="C809" t="s">
        <v>658</v>
      </c>
      <c r="D809" t="s">
        <v>597</v>
      </c>
      <c r="E809">
        <v>62</v>
      </c>
      <c r="F809" t="s">
        <v>355</v>
      </c>
      <c r="G809" t="s">
        <v>61</v>
      </c>
      <c r="H809" t="s">
        <v>3282</v>
      </c>
      <c r="I809" s="2">
        <v>50000</v>
      </c>
      <c r="J809" t="s">
        <v>113</v>
      </c>
      <c r="K809" t="s">
        <v>2513</v>
      </c>
    </row>
    <row r="810" spans="1:11" x14ac:dyDescent="0.25">
      <c r="A810" t="s">
        <v>1505</v>
      </c>
      <c r="B810" s="3">
        <v>46288</v>
      </c>
      <c r="C810" t="s">
        <v>537</v>
      </c>
      <c r="D810" t="s">
        <v>479</v>
      </c>
      <c r="E810">
        <v>52</v>
      </c>
      <c r="F810" t="s">
        <v>469</v>
      </c>
      <c r="G810" t="s">
        <v>55</v>
      </c>
      <c r="H810" t="s">
        <v>3283</v>
      </c>
      <c r="I810" s="2">
        <v>28000</v>
      </c>
      <c r="J810" t="s">
        <v>173</v>
      </c>
      <c r="K810" t="s">
        <v>2503</v>
      </c>
    </row>
    <row r="811" spans="1:11" x14ac:dyDescent="0.25">
      <c r="A811" t="s">
        <v>1506</v>
      </c>
      <c r="B811" s="3">
        <v>46288</v>
      </c>
      <c r="C811" t="s">
        <v>556</v>
      </c>
      <c r="D811" t="s">
        <v>474</v>
      </c>
      <c r="E811">
        <v>70</v>
      </c>
      <c r="F811" t="s">
        <v>2</v>
      </c>
      <c r="G811" t="s">
        <v>55</v>
      </c>
      <c r="H811" t="s">
        <v>3284</v>
      </c>
      <c r="I811" s="2">
        <v>11000</v>
      </c>
      <c r="J811" t="s">
        <v>45</v>
      </c>
      <c r="K811" t="s">
        <v>2509</v>
      </c>
    </row>
    <row r="812" spans="1:11" x14ac:dyDescent="0.25">
      <c r="A812" t="s">
        <v>1507</v>
      </c>
      <c r="B812" s="3">
        <v>46288</v>
      </c>
      <c r="C812" t="s">
        <v>112</v>
      </c>
      <c r="D812" t="s">
        <v>29</v>
      </c>
      <c r="E812">
        <v>4</v>
      </c>
      <c r="F812" t="s">
        <v>2</v>
      </c>
      <c r="G812" t="s">
        <v>55</v>
      </c>
      <c r="H812" t="s">
        <v>3285</v>
      </c>
      <c r="I812" s="2">
        <v>81000</v>
      </c>
      <c r="J812" t="s">
        <v>113</v>
      </c>
      <c r="K812" t="s">
        <v>2513</v>
      </c>
    </row>
    <row r="813" spans="1:11" x14ac:dyDescent="0.25">
      <c r="A813" t="s">
        <v>1508</v>
      </c>
      <c r="B813" s="3">
        <v>46288</v>
      </c>
      <c r="C813" t="s">
        <v>530</v>
      </c>
      <c r="D813" t="s">
        <v>481</v>
      </c>
      <c r="E813">
        <v>46</v>
      </c>
      <c r="F813" t="s">
        <v>2</v>
      </c>
      <c r="G813" t="s">
        <v>17</v>
      </c>
      <c r="H813" t="s">
        <v>3286</v>
      </c>
      <c r="I813" s="2">
        <v>297000</v>
      </c>
      <c r="J813" t="s">
        <v>124</v>
      </c>
      <c r="K813" t="s">
        <v>2513</v>
      </c>
    </row>
    <row r="814" spans="1:11" x14ac:dyDescent="0.25">
      <c r="A814" t="s">
        <v>1509</v>
      </c>
      <c r="B814" s="3">
        <v>46288</v>
      </c>
      <c r="C814" t="s">
        <v>385</v>
      </c>
      <c r="D814" t="s">
        <v>364</v>
      </c>
      <c r="E814">
        <v>23</v>
      </c>
      <c r="F814" t="s">
        <v>358</v>
      </c>
      <c r="G814" t="s">
        <v>85</v>
      </c>
      <c r="H814" t="s">
        <v>3287</v>
      </c>
      <c r="I814" s="2">
        <v>43000</v>
      </c>
      <c r="J814" t="s">
        <v>133</v>
      </c>
      <c r="K814" t="s">
        <v>2500</v>
      </c>
    </row>
    <row r="815" spans="1:11" x14ac:dyDescent="0.25">
      <c r="A815" t="s">
        <v>1510</v>
      </c>
      <c r="B815" s="3">
        <v>46289</v>
      </c>
      <c r="C815" t="s">
        <v>622</v>
      </c>
      <c r="D815" t="s">
        <v>585</v>
      </c>
      <c r="E815">
        <v>34</v>
      </c>
      <c r="F815" t="s">
        <v>355</v>
      </c>
      <c r="G815" t="s">
        <v>48</v>
      </c>
      <c r="H815" t="s">
        <v>3288</v>
      </c>
      <c r="I815" s="2">
        <v>30000</v>
      </c>
      <c r="J815" t="s">
        <v>71</v>
      </c>
      <c r="K815" t="s">
        <v>2503</v>
      </c>
    </row>
    <row r="816" spans="1:11" x14ac:dyDescent="0.25">
      <c r="A816" t="s">
        <v>1511</v>
      </c>
      <c r="B816" s="3">
        <v>46289</v>
      </c>
      <c r="C816" t="s">
        <v>495</v>
      </c>
      <c r="D816" t="s">
        <v>467</v>
      </c>
      <c r="E816">
        <v>9</v>
      </c>
      <c r="F816" t="s">
        <v>469</v>
      </c>
      <c r="G816" t="s">
        <v>85</v>
      </c>
      <c r="H816" t="s">
        <v>3289</v>
      </c>
      <c r="I816" s="2">
        <v>45000</v>
      </c>
      <c r="J816" t="s">
        <v>368</v>
      </c>
      <c r="K816" t="s">
        <v>2509</v>
      </c>
    </row>
    <row r="817" spans="1:11" x14ac:dyDescent="0.25">
      <c r="A817" t="s">
        <v>1512</v>
      </c>
      <c r="B817" s="3">
        <v>46289</v>
      </c>
      <c r="C817" t="s">
        <v>415</v>
      </c>
      <c r="D817" t="s">
        <v>382</v>
      </c>
      <c r="E817">
        <v>27</v>
      </c>
      <c r="F817" t="s">
        <v>383</v>
      </c>
      <c r="G817" t="s">
        <v>22</v>
      </c>
      <c r="H817" t="s">
        <v>3290</v>
      </c>
      <c r="I817" s="2">
        <v>179000</v>
      </c>
      <c r="J817" t="s">
        <v>152</v>
      </c>
      <c r="K817" t="s">
        <v>2500</v>
      </c>
    </row>
    <row r="818" spans="1:11" x14ac:dyDescent="0.25">
      <c r="A818" t="s">
        <v>1513</v>
      </c>
      <c r="B818" s="3">
        <v>46289</v>
      </c>
      <c r="C818" t="s">
        <v>190</v>
      </c>
      <c r="D818" t="s">
        <v>29</v>
      </c>
      <c r="E818">
        <v>15</v>
      </c>
      <c r="F818" t="s">
        <v>2</v>
      </c>
      <c r="G818" t="s">
        <v>48</v>
      </c>
      <c r="H818" t="s">
        <v>3291</v>
      </c>
      <c r="I818" s="2">
        <v>252000</v>
      </c>
      <c r="J818" t="s">
        <v>77</v>
      </c>
      <c r="K818" t="s">
        <v>2513</v>
      </c>
    </row>
    <row r="819" spans="1:11" x14ac:dyDescent="0.25">
      <c r="A819" t="s">
        <v>1514</v>
      </c>
      <c r="B819" s="3">
        <v>46289</v>
      </c>
      <c r="C819" t="s">
        <v>671</v>
      </c>
      <c r="D819" t="s">
        <v>629</v>
      </c>
      <c r="E819">
        <v>33</v>
      </c>
      <c r="F819" t="s">
        <v>355</v>
      </c>
      <c r="G819" t="s">
        <v>36</v>
      </c>
      <c r="H819" t="s">
        <v>3292</v>
      </c>
      <c r="I819" s="2">
        <v>25000</v>
      </c>
      <c r="J819" t="s">
        <v>89</v>
      </c>
      <c r="K819" t="s">
        <v>2513</v>
      </c>
    </row>
    <row r="820" spans="1:11" x14ac:dyDescent="0.25">
      <c r="A820" t="s">
        <v>1515</v>
      </c>
      <c r="B820" s="3">
        <v>46289</v>
      </c>
      <c r="C820" t="s">
        <v>339</v>
      </c>
      <c r="D820" t="s">
        <v>223</v>
      </c>
      <c r="E820">
        <v>60</v>
      </c>
      <c r="F820" t="s">
        <v>2</v>
      </c>
      <c r="G820" t="s">
        <v>17</v>
      </c>
      <c r="H820" t="s">
        <v>2623</v>
      </c>
      <c r="I820" s="2">
        <v>397000</v>
      </c>
      <c r="J820" t="s">
        <v>34</v>
      </c>
      <c r="K820" t="s">
        <v>2503</v>
      </c>
    </row>
    <row r="821" spans="1:11" x14ac:dyDescent="0.25">
      <c r="A821" t="s">
        <v>1516</v>
      </c>
      <c r="B821" s="3">
        <v>46289</v>
      </c>
      <c r="C821" t="s">
        <v>162</v>
      </c>
      <c r="D821" t="s">
        <v>163</v>
      </c>
      <c r="E821">
        <v>64</v>
      </c>
      <c r="F821" t="s">
        <v>2</v>
      </c>
      <c r="G821" t="s">
        <v>40</v>
      </c>
      <c r="H821" t="s">
        <v>3293</v>
      </c>
      <c r="I821" s="2">
        <v>66000</v>
      </c>
      <c r="J821" t="s">
        <v>164</v>
      </c>
      <c r="K821" t="s">
        <v>2513</v>
      </c>
    </row>
    <row r="822" spans="1:11" x14ac:dyDescent="0.25">
      <c r="A822" t="s">
        <v>1517</v>
      </c>
      <c r="B822" s="3">
        <v>46289</v>
      </c>
      <c r="C822" t="s">
        <v>348</v>
      </c>
      <c r="D822" t="s">
        <v>349</v>
      </c>
      <c r="E822">
        <v>39</v>
      </c>
      <c r="F822" t="s">
        <v>2</v>
      </c>
      <c r="G822" t="s">
        <v>32</v>
      </c>
      <c r="H822" t="s">
        <v>3294</v>
      </c>
      <c r="I822" s="2">
        <v>4000</v>
      </c>
      <c r="J822" t="s">
        <v>171</v>
      </c>
      <c r="K822" t="s">
        <v>2509</v>
      </c>
    </row>
    <row r="823" spans="1:11" x14ac:dyDescent="0.25">
      <c r="A823" t="s">
        <v>1518</v>
      </c>
      <c r="B823" s="3">
        <v>46289</v>
      </c>
      <c r="C823" t="s">
        <v>535</v>
      </c>
      <c r="D823" t="s">
        <v>467</v>
      </c>
      <c r="E823">
        <v>41</v>
      </c>
      <c r="F823" t="s">
        <v>469</v>
      </c>
      <c r="G823" t="s">
        <v>17</v>
      </c>
      <c r="H823" t="s">
        <v>3295</v>
      </c>
      <c r="I823" s="2">
        <v>46000</v>
      </c>
      <c r="J823" t="s">
        <v>327</v>
      </c>
      <c r="K823" t="s">
        <v>2513</v>
      </c>
    </row>
    <row r="824" spans="1:11" x14ac:dyDescent="0.25">
      <c r="A824" t="s">
        <v>1519</v>
      </c>
      <c r="B824" s="3">
        <v>46289</v>
      </c>
      <c r="C824" t="s">
        <v>684</v>
      </c>
      <c r="D824" t="s">
        <v>602</v>
      </c>
      <c r="E824">
        <v>22</v>
      </c>
      <c r="F824" t="s">
        <v>2</v>
      </c>
      <c r="G824" t="s">
        <v>22</v>
      </c>
      <c r="H824" t="s">
        <v>3296</v>
      </c>
      <c r="I824" s="2">
        <v>239000</v>
      </c>
      <c r="J824" t="s">
        <v>142</v>
      </c>
      <c r="K824" t="s">
        <v>2500</v>
      </c>
    </row>
    <row r="825" spans="1:11" x14ac:dyDescent="0.25">
      <c r="A825" t="s">
        <v>1520</v>
      </c>
      <c r="B825" s="3">
        <v>46289</v>
      </c>
      <c r="C825" t="s">
        <v>544</v>
      </c>
      <c r="D825" t="s">
        <v>488</v>
      </c>
      <c r="E825">
        <v>68</v>
      </c>
      <c r="F825" t="s">
        <v>469</v>
      </c>
      <c r="G825" t="s">
        <v>22</v>
      </c>
      <c r="H825" t="s">
        <v>3297</v>
      </c>
      <c r="I825" s="2">
        <v>152000</v>
      </c>
      <c r="J825" t="s">
        <v>219</v>
      </c>
      <c r="K825" t="s">
        <v>2509</v>
      </c>
    </row>
    <row r="826" spans="1:11" x14ac:dyDescent="0.25">
      <c r="A826" t="s">
        <v>1521</v>
      </c>
      <c r="B826" s="3">
        <v>46289</v>
      </c>
      <c r="C826" t="s">
        <v>116</v>
      </c>
      <c r="D826" t="s">
        <v>54</v>
      </c>
      <c r="E826">
        <v>51</v>
      </c>
      <c r="F826" t="s">
        <v>2</v>
      </c>
      <c r="G826" t="s">
        <v>22</v>
      </c>
      <c r="H826" t="s">
        <v>3144</v>
      </c>
      <c r="I826" s="2">
        <v>147000</v>
      </c>
      <c r="J826" t="s">
        <v>117</v>
      </c>
      <c r="K826" t="s">
        <v>2513</v>
      </c>
    </row>
    <row r="827" spans="1:11" x14ac:dyDescent="0.25">
      <c r="A827" t="s">
        <v>1522</v>
      </c>
      <c r="B827" s="3">
        <v>46289</v>
      </c>
      <c r="C827" t="s">
        <v>101</v>
      </c>
      <c r="D827" t="s">
        <v>29</v>
      </c>
      <c r="E827">
        <v>7</v>
      </c>
      <c r="F827" t="s">
        <v>2</v>
      </c>
      <c r="G827" t="s">
        <v>48</v>
      </c>
      <c r="H827" t="s">
        <v>3298</v>
      </c>
      <c r="I827" s="2">
        <v>177000</v>
      </c>
      <c r="J827" t="s">
        <v>102</v>
      </c>
      <c r="K827" t="s">
        <v>2503</v>
      </c>
    </row>
    <row r="828" spans="1:11" x14ac:dyDescent="0.25">
      <c r="A828" t="s">
        <v>1523</v>
      </c>
      <c r="B828" s="3">
        <v>46289</v>
      </c>
      <c r="C828" t="s">
        <v>264</v>
      </c>
      <c r="D828" t="s">
        <v>240</v>
      </c>
      <c r="E828">
        <v>54</v>
      </c>
      <c r="F828" t="s">
        <v>2</v>
      </c>
      <c r="G828" t="s">
        <v>55</v>
      </c>
      <c r="H828" t="s">
        <v>3299</v>
      </c>
      <c r="I828" s="2">
        <v>446000</v>
      </c>
      <c r="J828" t="s">
        <v>265</v>
      </c>
      <c r="K828" t="s">
        <v>2513</v>
      </c>
    </row>
    <row r="829" spans="1:11" x14ac:dyDescent="0.25">
      <c r="A829" t="s">
        <v>1524</v>
      </c>
      <c r="B829" s="3">
        <v>46289</v>
      </c>
      <c r="C829" t="s">
        <v>606</v>
      </c>
      <c r="D829" t="s">
        <v>602</v>
      </c>
      <c r="E829">
        <v>24</v>
      </c>
      <c r="F829" t="s">
        <v>2</v>
      </c>
      <c r="G829" t="s">
        <v>55</v>
      </c>
      <c r="H829" t="s">
        <v>3300</v>
      </c>
      <c r="I829" s="2">
        <v>193000</v>
      </c>
      <c r="J829" t="s">
        <v>314</v>
      </c>
      <c r="K829" t="s">
        <v>2509</v>
      </c>
    </row>
    <row r="830" spans="1:11" x14ac:dyDescent="0.25">
      <c r="A830" t="s">
        <v>1525</v>
      </c>
      <c r="B830" s="3">
        <v>46289</v>
      </c>
      <c r="C830" t="s">
        <v>415</v>
      </c>
      <c r="D830" t="s">
        <v>382</v>
      </c>
      <c r="E830">
        <v>67</v>
      </c>
      <c r="F830" t="s">
        <v>383</v>
      </c>
      <c r="G830" t="s">
        <v>22</v>
      </c>
      <c r="H830" t="s">
        <v>3301</v>
      </c>
      <c r="I830" s="2">
        <v>179000</v>
      </c>
      <c r="J830" t="s">
        <v>152</v>
      </c>
      <c r="K830" t="s">
        <v>2513</v>
      </c>
    </row>
    <row r="831" spans="1:11" x14ac:dyDescent="0.25">
      <c r="A831" t="s">
        <v>1526</v>
      </c>
      <c r="B831" s="3">
        <v>46289</v>
      </c>
      <c r="C831" t="s">
        <v>503</v>
      </c>
      <c r="D831" t="s">
        <v>476</v>
      </c>
      <c r="E831">
        <v>6</v>
      </c>
      <c r="F831" t="s">
        <v>477</v>
      </c>
      <c r="G831" t="s">
        <v>36</v>
      </c>
      <c r="H831" t="s">
        <v>3302</v>
      </c>
      <c r="I831" s="2">
        <v>18000</v>
      </c>
      <c r="J831" t="s">
        <v>259</v>
      </c>
      <c r="K831" t="s">
        <v>2509</v>
      </c>
    </row>
    <row r="832" spans="1:11" x14ac:dyDescent="0.25">
      <c r="A832" t="s">
        <v>1527</v>
      </c>
      <c r="B832" s="3">
        <v>46289</v>
      </c>
      <c r="C832" t="s">
        <v>674</v>
      </c>
      <c r="D832" t="s">
        <v>587</v>
      </c>
      <c r="E832">
        <v>52</v>
      </c>
      <c r="F832" t="s">
        <v>2</v>
      </c>
      <c r="G832" t="s">
        <v>36</v>
      </c>
      <c r="H832" t="s">
        <v>3303</v>
      </c>
      <c r="I832" s="2">
        <v>46000</v>
      </c>
      <c r="J832" t="s">
        <v>75</v>
      </c>
      <c r="K832" t="s">
        <v>2500</v>
      </c>
    </row>
    <row r="833" spans="1:11" x14ac:dyDescent="0.25">
      <c r="A833" t="s">
        <v>1528</v>
      </c>
      <c r="B833" s="3">
        <v>46289</v>
      </c>
      <c r="C833" t="s">
        <v>260</v>
      </c>
      <c r="D833" t="s">
        <v>261</v>
      </c>
      <c r="E833">
        <v>24</v>
      </c>
      <c r="F833" t="s">
        <v>2</v>
      </c>
      <c r="G833" t="s">
        <v>36</v>
      </c>
      <c r="H833" t="s">
        <v>3304</v>
      </c>
      <c r="I833" s="2">
        <v>418000</v>
      </c>
      <c r="J833" t="s">
        <v>45</v>
      </c>
      <c r="K833" t="s">
        <v>2500</v>
      </c>
    </row>
    <row r="834" spans="1:11" x14ac:dyDescent="0.25">
      <c r="A834" t="s">
        <v>1529</v>
      </c>
      <c r="B834" s="3">
        <v>46289</v>
      </c>
      <c r="C834" t="s">
        <v>309</v>
      </c>
      <c r="D834" t="s">
        <v>225</v>
      </c>
      <c r="E834">
        <v>44</v>
      </c>
      <c r="F834" t="s">
        <v>2</v>
      </c>
      <c r="G834" t="s">
        <v>36</v>
      </c>
      <c r="H834" t="s">
        <v>3305</v>
      </c>
      <c r="I834" s="2">
        <v>781000</v>
      </c>
      <c r="J834" t="s">
        <v>310</v>
      </c>
      <c r="K834" t="s">
        <v>2513</v>
      </c>
    </row>
    <row r="835" spans="1:11" x14ac:dyDescent="0.25">
      <c r="A835" t="s">
        <v>1530</v>
      </c>
      <c r="B835" s="3">
        <v>46289</v>
      </c>
      <c r="C835" t="s">
        <v>111</v>
      </c>
      <c r="D835" t="s">
        <v>66</v>
      </c>
      <c r="E835">
        <v>5</v>
      </c>
      <c r="F835" t="s">
        <v>2</v>
      </c>
      <c r="G835" t="s">
        <v>48</v>
      </c>
      <c r="H835" t="s">
        <v>3306</v>
      </c>
      <c r="I835" s="2">
        <v>174000</v>
      </c>
      <c r="J835" t="s">
        <v>104</v>
      </c>
      <c r="K835" t="s">
        <v>2513</v>
      </c>
    </row>
    <row r="836" spans="1:11" x14ac:dyDescent="0.25">
      <c r="A836" t="s">
        <v>1531</v>
      </c>
      <c r="B836" s="3">
        <v>46289</v>
      </c>
      <c r="C836" t="s">
        <v>302</v>
      </c>
      <c r="D836" t="s">
        <v>261</v>
      </c>
      <c r="E836">
        <v>34</v>
      </c>
      <c r="F836" t="s">
        <v>2</v>
      </c>
      <c r="G836" t="s">
        <v>40</v>
      </c>
      <c r="H836" t="s">
        <v>3307</v>
      </c>
      <c r="I836" s="2">
        <v>352000</v>
      </c>
      <c r="J836" t="s">
        <v>133</v>
      </c>
      <c r="K836" t="s">
        <v>2503</v>
      </c>
    </row>
    <row r="837" spans="1:11" x14ac:dyDescent="0.25">
      <c r="A837" t="s">
        <v>1532</v>
      </c>
      <c r="B837" s="3">
        <v>46289</v>
      </c>
      <c r="C837" t="s">
        <v>622</v>
      </c>
      <c r="D837" t="s">
        <v>585</v>
      </c>
      <c r="E837">
        <v>18</v>
      </c>
      <c r="F837" t="s">
        <v>355</v>
      </c>
      <c r="G837" t="s">
        <v>48</v>
      </c>
      <c r="H837" t="s">
        <v>3308</v>
      </c>
      <c r="I837" s="2">
        <v>30000</v>
      </c>
      <c r="J837" t="s">
        <v>71</v>
      </c>
      <c r="K837" t="s">
        <v>2509</v>
      </c>
    </row>
    <row r="838" spans="1:11" x14ac:dyDescent="0.25">
      <c r="A838" t="s">
        <v>1533</v>
      </c>
      <c r="B838" s="3">
        <v>46289</v>
      </c>
      <c r="C838" t="s">
        <v>363</v>
      </c>
      <c r="D838" t="s">
        <v>364</v>
      </c>
      <c r="E838">
        <v>14</v>
      </c>
      <c r="F838" t="s">
        <v>358</v>
      </c>
      <c r="G838" t="s">
        <v>81</v>
      </c>
      <c r="H838" t="s">
        <v>3309</v>
      </c>
      <c r="I838" s="2">
        <v>18000</v>
      </c>
      <c r="J838" t="s">
        <v>57</v>
      </c>
      <c r="K838" t="s">
        <v>2509</v>
      </c>
    </row>
    <row r="839" spans="1:11" x14ac:dyDescent="0.25">
      <c r="A839" t="s">
        <v>1534</v>
      </c>
      <c r="B839" s="3">
        <v>46289</v>
      </c>
      <c r="C839" t="s">
        <v>385</v>
      </c>
      <c r="D839" t="s">
        <v>364</v>
      </c>
      <c r="E839">
        <v>66</v>
      </c>
      <c r="F839" t="s">
        <v>358</v>
      </c>
      <c r="G839" t="s">
        <v>85</v>
      </c>
      <c r="H839" t="s">
        <v>3310</v>
      </c>
      <c r="I839" s="2">
        <v>43000</v>
      </c>
      <c r="J839" t="s">
        <v>133</v>
      </c>
      <c r="K839" t="s">
        <v>2503</v>
      </c>
    </row>
    <row r="840" spans="1:11" x14ac:dyDescent="0.25">
      <c r="A840" t="s">
        <v>1535</v>
      </c>
      <c r="B840" s="3">
        <v>46289</v>
      </c>
      <c r="C840" t="s">
        <v>533</v>
      </c>
      <c r="D840" t="s">
        <v>474</v>
      </c>
      <c r="E840">
        <v>18</v>
      </c>
      <c r="F840" t="s">
        <v>2</v>
      </c>
      <c r="G840" t="s">
        <v>55</v>
      </c>
      <c r="H840" t="s">
        <v>3311</v>
      </c>
      <c r="I840" s="2">
        <v>5000</v>
      </c>
      <c r="J840" t="s">
        <v>59</v>
      </c>
      <c r="K840" t="s">
        <v>2503</v>
      </c>
    </row>
    <row r="841" spans="1:11" x14ac:dyDescent="0.25">
      <c r="A841" t="s">
        <v>1536</v>
      </c>
      <c r="B841" s="3">
        <v>46289</v>
      </c>
      <c r="C841" t="s">
        <v>414</v>
      </c>
      <c r="D841" t="s">
        <v>378</v>
      </c>
      <c r="E841">
        <v>5</v>
      </c>
      <c r="F841" t="s">
        <v>2</v>
      </c>
      <c r="G841" t="s">
        <v>32</v>
      </c>
      <c r="H841" t="s">
        <v>3312</v>
      </c>
      <c r="I841" s="2">
        <v>29000</v>
      </c>
      <c r="J841" t="s">
        <v>147</v>
      </c>
      <c r="K841" t="s">
        <v>2509</v>
      </c>
    </row>
    <row r="842" spans="1:11" x14ac:dyDescent="0.25">
      <c r="A842" t="s">
        <v>1537</v>
      </c>
      <c r="B842" s="3">
        <v>46289</v>
      </c>
      <c r="C842" t="s">
        <v>229</v>
      </c>
      <c r="D842" t="s">
        <v>218</v>
      </c>
      <c r="E842">
        <v>15</v>
      </c>
      <c r="F842" t="s">
        <v>2</v>
      </c>
      <c r="G842" t="s">
        <v>36</v>
      </c>
      <c r="H842" t="s">
        <v>3313</v>
      </c>
      <c r="I842" s="2">
        <v>1570000</v>
      </c>
      <c r="J842" t="s">
        <v>230</v>
      </c>
      <c r="K842" t="s">
        <v>2500</v>
      </c>
    </row>
    <row r="843" spans="1:11" x14ac:dyDescent="0.25">
      <c r="A843" t="s">
        <v>1538</v>
      </c>
      <c r="B843" s="3">
        <v>46289</v>
      </c>
      <c r="C843" t="s">
        <v>94</v>
      </c>
      <c r="D843" t="s">
        <v>15</v>
      </c>
      <c r="E843">
        <v>55</v>
      </c>
      <c r="F843" t="s">
        <v>2</v>
      </c>
      <c r="G843" t="s">
        <v>22</v>
      </c>
      <c r="H843" t="s">
        <v>3314</v>
      </c>
      <c r="I843" s="2">
        <v>148000</v>
      </c>
      <c r="J843" t="s">
        <v>95</v>
      </c>
      <c r="K843" t="s">
        <v>2503</v>
      </c>
    </row>
    <row r="844" spans="1:11" x14ac:dyDescent="0.25">
      <c r="A844" t="s">
        <v>1539</v>
      </c>
      <c r="B844" s="3">
        <v>46289</v>
      </c>
      <c r="C844" t="s">
        <v>332</v>
      </c>
      <c r="D844" t="s">
        <v>223</v>
      </c>
      <c r="E844">
        <v>22</v>
      </c>
      <c r="F844" t="s">
        <v>2</v>
      </c>
      <c r="G844" t="s">
        <v>48</v>
      </c>
      <c r="H844" t="s">
        <v>3315</v>
      </c>
      <c r="I844" s="2">
        <v>481000</v>
      </c>
      <c r="J844" t="s">
        <v>279</v>
      </c>
      <c r="K844" t="s">
        <v>2509</v>
      </c>
    </row>
    <row r="845" spans="1:11" x14ac:dyDescent="0.25">
      <c r="A845" t="s">
        <v>1540</v>
      </c>
      <c r="B845" s="3">
        <v>46289</v>
      </c>
      <c r="C845" t="s">
        <v>254</v>
      </c>
      <c r="D845" t="s">
        <v>213</v>
      </c>
      <c r="E845">
        <v>59</v>
      </c>
      <c r="F845" t="s">
        <v>2</v>
      </c>
      <c r="G845" t="s">
        <v>85</v>
      </c>
      <c r="H845" t="s">
        <v>2554</v>
      </c>
      <c r="I845" s="2">
        <v>3840000</v>
      </c>
      <c r="J845" t="s">
        <v>59</v>
      </c>
      <c r="K845" t="s">
        <v>2503</v>
      </c>
    </row>
    <row r="846" spans="1:11" x14ac:dyDescent="0.25">
      <c r="A846" t="s">
        <v>1541</v>
      </c>
      <c r="B846" s="3">
        <v>46289</v>
      </c>
      <c r="C846" t="s">
        <v>460</v>
      </c>
      <c r="D846" t="s">
        <v>366</v>
      </c>
      <c r="E846">
        <v>46</v>
      </c>
      <c r="F846" t="s">
        <v>2</v>
      </c>
      <c r="G846" t="s">
        <v>55</v>
      </c>
      <c r="H846" t="s">
        <v>3316</v>
      </c>
      <c r="I846" s="2">
        <v>35000</v>
      </c>
      <c r="J846" t="s">
        <v>201</v>
      </c>
      <c r="K846" t="s">
        <v>2500</v>
      </c>
    </row>
    <row r="847" spans="1:11" x14ac:dyDescent="0.25">
      <c r="A847" t="s">
        <v>1542</v>
      </c>
      <c r="B847" s="3">
        <v>46289</v>
      </c>
      <c r="C847" t="s">
        <v>453</v>
      </c>
      <c r="D847" t="s">
        <v>354</v>
      </c>
      <c r="E847">
        <v>36</v>
      </c>
      <c r="F847" t="s">
        <v>355</v>
      </c>
      <c r="G847" t="s">
        <v>36</v>
      </c>
      <c r="H847" t="s">
        <v>3317</v>
      </c>
      <c r="I847" s="2">
        <v>15000</v>
      </c>
      <c r="J847" t="s">
        <v>124</v>
      </c>
      <c r="K847" t="s">
        <v>2513</v>
      </c>
    </row>
    <row r="848" spans="1:11" x14ac:dyDescent="0.25">
      <c r="A848" t="s">
        <v>1543</v>
      </c>
      <c r="B848" s="3">
        <v>46289</v>
      </c>
      <c r="C848" t="s">
        <v>199</v>
      </c>
      <c r="D848" t="s">
        <v>163</v>
      </c>
      <c r="E848">
        <v>49</v>
      </c>
      <c r="F848" t="s">
        <v>2</v>
      </c>
      <c r="G848" t="s">
        <v>36</v>
      </c>
      <c r="H848" t="s">
        <v>2662</v>
      </c>
      <c r="I848" s="2">
        <v>24000</v>
      </c>
      <c r="J848" t="s">
        <v>75</v>
      </c>
      <c r="K848" t="s">
        <v>2513</v>
      </c>
    </row>
    <row r="849" spans="1:11" x14ac:dyDescent="0.25">
      <c r="A849" t="s">
        <v>1544</v>
      </c>
      <c r="B849" s="3">
        <v>46290</v>
      </c>
      <c r="C849" t="s">
        <v>536</v>
      </c>
      <c r="D849" t="s">
        <v>481</v>
      </c>
      <c r="E849">
        <v>14</v>
      </c>
      <c r="F849" t="s">
        <v>2</v>
      </c>
      <c r="G849" t="s">
        <v>22</v>
      </c>
      <c r="H849" t="s">
        <v>3318</v>
      </c>
      <c r="I849" s="2">
        <v>193000</v>
      </c>
      <c r="J849" t="s">
        <v>221</v>
      </c>
      <c r="K849" t="s">
        <v>2509</v>
      </c>
    </row>
    <row r="850" spans="1:11" x14ac:dyDescent="0.25">
      <c r="A850" t="s">
        <v>1545</v>
      </c>
      <c r="B850" s="3">
        <v>46290</v>
      </c>
      <c r="C850" t="s">
        <v>520</v>
      </c>
      <c r="D850" t="s">
        <v>502</v>
      </c>
      <c r="E850">
        <v>35</v>
      </c>
      <c r="F850" t="s">
        <v>469</v>
      </c>
      <c r="G850" t="s">
        <v>17</v>
      </c>
      <c r="H850" t="s">
        <v>3319</v>
      </c>
      <c r="I850" s="2">
        <v>32000</v>
      </c>
      <c r="J850" t="s">
        <v>368</v>
      </c>
      <c r="K850" t="s">
        <v>2503</v>
      </c>
    </row>
    <row r="851" spans="1:11" x14ac:dyDescent="0.25">
      <c r="A851" t="s">
        <v>1546</v>
      </c>
      <c r="B851" s="3">
        <v>46290</v>
      </c>
      <c r="C851" t="s">
        <v>489</v>
      </c>
      <c r="D851" t="s">
        <v>490</v>
      </c>
      <c r="E851">
        <v>46</v>
      </c>
      <c r="F851" t="s">
        <v>355</v>
      </c>
      <c r="G851" t="s">
        <v>22</v>
      </c>
      <c r="H851" t="s">
        <v>3320</v>
      </c>
      <c r="I851" s="2">
        <v>40000</v>
      </c>
      <c r="J851" t="s">
        <v>183</v>
      </c>
      <c r="K851" t="s">
        <v>2513</v>
      </c>
    </row>
    <row r="852" spans="1:11" x14ac:dyDescent="0.25">
      <c r="A852" t="s">
        <v>1547</v>
      </c>
      <c r="B852" s="3">
        <v>46290</v>
      </c>
      <c r="C852" t="s">
        <v>581</v>
      </c>
      <c r="D852" t="s">
        <v>582</v>
      </c>
      <c r="E852">
        <v>61</v>
      </c>
      <c r="F852" t="s">
        <v>2</v>
      </c>
      <c r="G852" t="s">
        <v>36</v>
      </c>
      <c r="H852" t="s">
        <v>3321</v>
      </c>
      <c r="I852" s="2">
        <v>87000</v>
      </c>
      <c r="J852" t="s">
        <v>512</v>
      </c>
      <c r="K852" t="s">
        <v>2513</v>
      </c>
    </row>
    <row r="853" spans="1:11" x14ac:dyDescent="0.25">
      <c r="A853" t="s">
        <v>1548</v>
      </c>
      <c r="B853" s="3">
        <v>46290</v>
      </c>
      <c r="C853" t="s">
        <v>618</v>
      </c>
      <c r="D853" t="s">
        <v>587</v>
      </c>
      <c r="E853">
        <v>38</v>
      </c>
      <c r="F853" t="s">
        <v>2</v>
      </c>
      <c r="G853" t="s">
        <v>40</v>
      </c>
      <c r="H853" t="s">
        <v>2622</v>
      </c>
      <c r="I853" s="2">
        <v>17000</v>
      </c>
      <c r="J853" t="s">
        <v>79</v>
      </c>
      <c r="K853" t="s">
        <v>2500</v>
      </c>
    </row>
    <row r="854" spans="1:11" x14ac:dyDescent="0.25">
      <c r="A854" t="s">
        <v>1549</v>
      </c>
      <c r="B854" s="3">
        <v>46290</v>
      </c>
      <c r="C854" t="s">
        <v>691</v>
      </c>
      <c r="D854" t="s">
        <v>585</v>
      </c>
      <c r="E854">
        <v>46</v>
      </c>
      <c r="F854" t="s">
        <v>355</v>
      </c>
      <c r="G854" t="s">
        <v>17</v>
      </c>
      <c r="H854" t="s">
        <v>3322</v>
      </c>
      <c r="I854" s="2">
        <v>22000</v>
      </c>
      <c r="J854" t="s">
        <v>19</v>
      </c>
      <c r="K854" t="s">
        <v>2513</v>
      </c>
    </row>
    <row r="855" spans="1:11" x14ac:dyDescent="0.25">
      <c r="A855" t="s">
        <v>1550</v>
      </c>
      <c r="B855" s="3">
        <v>46290</v>
      </c>
      <c r="C855" t="s">
        <v>486</v>
      </c>
      <c r="D855" t="s">
        <v>479</v>
      </c>
      <c r="E855">
        <v>55</v>
      </c>
      <c r="F855" t="s">
        <v>469</v>
      </c>
      <c r="G855" t="s">
        <v>61</v>
      </c>
      <c r="H855" t="s">
        <v>3323</v>
      </c>
      <c r="I855" s="2">
        <v>34000</v>
      </c>
      <c r="J855" t="s">
        <v>52</v>
      </c>
      <c r="K855" t="s">
        <v>2503</v>
      </c>
    </row>
    <row r="856" spans="1:11" x14ac:dyDescent="0.25">
      <c r="A856" t="s">
        <v>1551</v>
      </c>
      <c r="B856" s="3">
        <v>46290</v>
      </c>
      <c r="C856" t="s">
        <v>136</v>
      </c>
      <c r="D856" t="s">
        <v>21</v>
      </c>
      <c r="E856">
        <v>42</v>
      </c>
      <c r="F856" t="s">
        <v>2</v>
      </c>
      <c r="G856" t="s">
        <v>81</v>
      </c>
      <c r="H856" t="s">
        <v>3324</v>
      </c>
      <c r="I856" s="2">
        <v>21000</v>
      </c>
      <c r="J856" t="s">
        <v>83</v>
      </c>
      <c r="K856" t="s">
        <v>2509</v>
      </c>
    </row>
    <row r="857" spans="1:11" x14ac:dyDescent="0.25">
      <c r="A857" t="s">
        <v>1552</v>
      </c>
      <c r="B857" s="3">
        <v>46290</v>
      </c>
      <c r="C857" t="s">
        <v>403</v>
      </c>
      <c r="D857" t="s">
        <v>364</v>
      </c>
      <c r="E857">
        <v>40</v>
      </c>
      <c r="F857" t="s">
        <v>358</v>
      </c>
      <c r="G857" t="s">
        <v>55</v>
      </c>
      <c r="H857" t="s">
        <v>3325</v>
      </c>
      <c r="I857" s="2">
        <v>27000</v>
      </c>
      <c r="J857" t="s">
        <v>117</v>
      </c>
      <c r="K857" t="s">
        <v>2513</v>
      </c>
    </row>
    <row r="858" spans="1:11" x14ac:dyDescent="0.25">
      <c r="A858" t="s">
        <v>1553</v>
      </c>
      <c r="B858" s="3">
        <v>46290</v>
      </c>
      <c r="C858" t="s">
        <v>448</v>
      </c>
      <c r="D858" t="s">
        <v>360</v>
      </c>
      <c r="E858">
        <v>47</v>
      </c>
      <c r="F858" t="s">
        <v>358</v>
      </c>
      <c r="G858" t="s">
        <v>40</v>
      </c>
      <c r="H858" t="s">
        <v>3326</v>
      </c>
      <c r="I858" s="2">
        <v>9000</v>
      </c>
      <c r="J858" t="s">
        <v>24</v>
      </c>
      <c r="K858" t="s">
        <v>2513</v>
      </c>
    </row>
    <row r="859" spans="1:11" x14ac:dyDescent="0.25">
      <c r="A859" t="s">
        <v>1554</v>
      </c>
      <c r="B859" s="3">
        <v>46290</v>
      </c>
      <c r="C859" t="s">
        <v>550</v>
      </c>
      <c r="D859" t="s">
        <v>481</v>
      </c>
      <c r="E859">
        <v>52</v>
      </c>
      <c r="F859" t="s">
        <v>2</v>
      </c>
      <c r="G859" t="s">
        <v>32</v>
      </c>
      <c r="H859" t="s">
        <v>3327</v>
      </c>
      <c r="I859" s="2">
        <v>293000</v>
      </c>
      <c r="J859" t="s">
        <v>59</v>
      </c>
      <c r="K859" t="s">
        <v>2503</v>
      </c>
    </row>
    <row r="860" spans="1:11" x14ac:dyDescent="0.25">
      <c r="A860" t="s">
        <v>1555</v>
      </c>
      <c r="B860" s="3">
        <v>46290</v>
      </c>
      <c r="C860" t="s">
        <v>137</v>
      </c>
      <c r="D860" t="s">
        <v>44</v>
      </c>
      <c r="E860">
        <v>7</v>
      </c>
      <c r="F860" t="s">
        <v>2</v>
      </c>
      <c r="G860" t="s">
        <v>81</v>
      </c>
      <c r="H860" t="s">
        <v>3328</v>
      </c>
      <c r="I860" s="2">
        <v>89000</v>
      </c>
      <c r="J860" t="s">
        <v>38</v>
      </c>
      <c r="K860" t="s">
        <v>2509</v>
      </c>
    </row>
    <row r="861" spans="1:11" x14ac:dyDescent="0.25">
      <c r="A861" t="s">
        <v>1556</v>
      </c>
      <c r="B861" s="3">
        <v>46290</v>
      </c>
      <c r="C861" t="s">
        <v>387</v>
      </c>
      <c r="D861" t="s">
        <v>378</v>
      </c>
      <c r="E861">
        <v>16</v>
      </c>
      <c r="F861" t="s">
        <v>2</v>
      </c>
      <c r="G861" t="s">
        <v>48</v>
      </c>
      <c r="H861" t="s">
        <v>3329</v>
      </c>
      <c r="I861" s="2">
        <v>19000</v>
      </c>
      <c r="J861" t="s">
        <v>171</v>
      </c>
      <c r="K861" t="s">
        <v>2503</v>
      </c>
    </row>
    <row r="862" spans="1:11" x14ac:dyDescent="0.25">
      <c r="A862" t="s">
        <v>1557</v>
      </c>
      <c r="B862" s="3">
        <v>46290</v>
      </c>
      <c r="C862" t="s">
        <v>631</v>
      </c>
      <c r="D862" t="s">
        <v>582</v>
      </c>
      <c r="E862">
        <v>26</v>
      </c>
      <c r="F862" t="s">
        <v>2</v>
      </c>
      <c r="G862" t="s">
        <v>40</v>
      </c>
      <c r="H862" t="s">
        <v>3330</v>
      </c>
      <c r="I862" s="2">
        <v>113000</v>
      </c>
      <c r="J862" t="s">
        <v>110</v>
      </c>
      <c r="K862" t="s">
        <v>2513</v>
      </c>
    </row>
    <row r="863" spans="1:11" x14ac:dyDescent="0.25">
      <c r="A863" t="s">
        <v>1558</v>
      </c>
      <c r="B863" s="3">
        <v>46290</v>
      </c>
      <c r="C863" t="s">
        <v>20</v>
      </c>
      <c r="D863" t="s">
        <v>21</v>
      </c>
      <c r="E863">
        <v>62</v>
      </c>
      <c r="F863" t="s">
        <v>2</v>
      </c>
      <c r="G863" t="s">
        <v>22</v>
      </c>
      <c r="H863" t="s">
        <v>3331</v>
      </c>
      <c r="I863" s="2">
        <v>31000</v>
      </c>
      <c r="J863" t="s">
        <v>24</v>
      </c>
      <c r="K863" t="s">
        <v>2503</v>
      </c>
    </row>
    <row r="864" spans="1:11" x14ac:dyDescent="0.25">
      <c r="A864" t="s">
        <v>1559</v>
      </c>
      <c r="B864" s="3">
        <v>46290</v>
      </c>
      <c r="C864" t="s">
        <v>482</v>
      </c>
      <c r="D864" t="s">
        <v>467</v>
      </c>
      <c r="E864">
        <v>28</v>
      </c>
      <c r="F864" t="s">
        <v>469</v>
      </c>
      <c r="G864" t="s">
        <v>36</v>
      </c>
      <c r="H864" t="s">
        <v>2701</v>
      </c>
      <c r="I864" s="2">
        <v>53000</v>
      </c>
      <c r="J864" t="s">
        <v>77</v>
      </c>
      <c r="K864" t="s">
        <v>2513</v>
      </c>
    </row>
    <row r="865" spans="1:11" x14ac:dyDescent="0.25">
      <c r="A865" t="s">
        <v>1560</v>
      </c>
      <c r="B865" s="3">
        <v>46290</v>
      </c>
      <c r="C865" t="s">
        <v>123</v>
      </c>
      <c r="D865" t="s">
        <v>26</v>
      </c>
      <c r="E865">
        <v>51</v>
      </c>
      <c r="F865" t="s">
        <v>2</v>
      </c>
      <c r="G865" t="s">
        <v>36</v>
      </c>
      <c r="H865" t="s">
        <v>3332</v>
      </c>
      <c r="I865" s="2">
        <v>315000</v>
      </c>
      <c r="J865" t="s">
        <v>124</v>
      </c>
      <c r="K865" t="s">
        <v>2503</v>
      </c>
    </row>
    <row r="866" spans="1:11" x14ac:dyDescent="0.25">
      <c r="A866" t="s">
        <v>1561</v>
      </c>
      <c r="B866" s="3">
        <v>46290</v>
      </c>
      <c r="C866" t="s">
        <v>545</v>
      </c>
      <c r="D866" t="s">
        <v>502</v>
      </c>
      <c r="E866">
        <v>55</v>
      </c>
      <c r="F866" t="s">
        <v>469</v>
      </c>
      <c r="G866" t="s">
        <v>61</v>
      </c>
      <c r="H866" t="s">
        <v>3333</v>
      </c>
      <c r="I866" s="2">
        <v>120000</v>
      </c>
      <c r="J866" t="s">
        <v>183</v>
      </c>
      <c r="K866" t="s">
        <v>2500</v>
      </c>
    </row>
    <row r="867" spans="1:11" x14ac:dyDescent="0.25">
      <c r="A867" t="s">
        <v>1562</v>
      </c>
      <c r="B867" s="3">
        <v>46290</v>
      </c>
      <c r="C867" t="s">
        <v>68</v>
      </c>
      <c r="D867" t="s">
        <v>29</v>
      </c>
      <c r="E867">
        <v>55</v>
      </c>
      <c r="F867" t="s">
        <v>2</v>
      </c>
      <c r="G867" t="s">
        <v>40</v>
      </c>
      <c r="H867" t="s">
        <v>3334</v>
      </c>
      <c r="I867" s="2">
        <v>284000</v>
      </c>
      <c r="J867" t="s">
        <v>69</v>
      </c>
      <c r="K867" t="s">
        <v>2503</v>
      </c>
    </row>
    <row r="868" spans="1:11" x14ac:dyDescent="0.25">
      <c r="A868" t="s">
        <v>1563</v>
      </c>
      <c r="B868" s="3">
        <v>46290</v>
      </c>
      <c r="C868" t="s">
        <v>647</v>
      </c>
      <c r="D868" t="s">
        <v>629</v>
      </c>
      <c r="E868">
        <v>21</v>
      </c>
      <c r="F868" t="s">
        <v>355</v>
      </c>
      <c r="G868" t="s">
        <v>32</v>
      </c>
      <c r="H868" t="s">
        <v>3335</v>
      </c>
      <c r="I868" s="2">
        <v>25000</v>
      </c>
      <c r="J868" t="s">
        <v>230</v>
      </c>
      <c r="K868" t="s">
        <v>2500</v>
      </c>
    </row>
    <row r="869" spans="1:11" x14ac:dyDescent="0.25">
      <c r="A869" t="s">
        <v>1564</v>
      </c>
      <c r="B869" s="3">
        <v>46290</v>
      </c>
      <c r="C869" t="s">
        <v>414</v>
      </c>
      <c r="D869" t="s">
        <v>378</v>
      </c>
      <c r="E869">
        <v>45</v>
      </c>
      <c r="F869" t="s">
        <v>2</v>
      </c>
      <c r="G869" t="s">
        <v>32</v>
      </c>
      <c r="H869" t="s">
        <v>3306</v>
      </c>
      <c r="I869" s="2">
        <v>29000</v>
      </c>
      <c r="J869" t="s">
        <v>147</v>
      </c>
      <c r="K869" t="s">
        <v>2509</v>
      </c>
    </row>
    <row r="870" spans="1:11" x14ac:dyDescent="0.25">
      <c r="A870" t="s">
        <v>1565</v>
      </c>
      <c r="B870" s="3">
        <v>46290</v>
      </c>
      <c r="C870" t="s">
        <v>435</v>
      </c>
      <c r="D870" t="s">
        <v>357</v>
      </c>
      <c r="E870">
        <v>25</v>
      </c>
      <c r="F870" t="s">
        <v>358</v>
      </c>
      <c r="G870" t="s">
        <v>36</v>
      </c>
      <c r="H870" t="s">
        <v>3336</v>
      </c>
      <c r="I870" s="2">
        <v>55000</v>
      </c>
      <c r="J870" t="s">
        <v>183</v>
      </c>
      <c r="K870" t="s">
        <v>2513</v>
      </c>
    </row>
    <row r="871" spans="1:11" x14ac:dyDescent="0.25">
      <c r="A871" t="s">
        <v>1566</v>
      </c>
      <c r="B871" s="3">
        <v>46290</v>
      </c>
      <c r="C871" t="s">
        <v>575</v>
      </c>
      <c r="D871" t="s">
        <v>467</v>
      </c>
      <c r="E871">
        <v>31</v>
      </c>
      <c r="F871" t="s">
        <v>469</v>
      </c>
      <c r="G871" t="s">
        <v>36</v>
      </c>
      <c r="H871" t="s">
        <v>3337</v>
      </c>
      <c r="I871" s="2">
        <v>33000</v>
      </c>
      <c r="J871" t="s">
        <v>108</v>
      </c>
      <c r="K871" t="s">
        <v>2513</v>
      </c>
    </row>
    <row r="872" spans="1:11" x14ac:dyDescent="0.25">
      <c r="A872" t="s">
        <v>1567</v>
      </c>
      <c r="B872" s="3">
        <v>46290</v>
      </c>
      <c r="C872" t="s">
        <v>182</v>
      </c>
      <c r="D872" t="s">
        <v>15</v>
      </c>
      <c r="E872">
        <v>1</v>
      </c>
      <c r="F872" t="s">
        <v>2</v>
      </c>
      <c r="G872" t="s">
        <v>81</v>
      </c>
      <c r="H872" t="s">
        <v>3338</v>
      </c>
      <c r="I872" s="2">
        <v>120000</v>
      </c>
      <c r="J872" t="s">
        <v>183</v>
      </c>
      <c r="K872" t="s">
        <v>2513</v>
      </c>
    </row>
    <row r="873" spans="1:11" x14ac:dyDescent="0.25">
      <c r="A873" t="s">
        <v>1568</v>
      </c>
      <c r="B873" s="3">
        <v>46290</v>
      </c>
      <c r="C873" t="s">
        <v>622</v>
      </c>
      <c r="D873" t="s">
        <v>585</v>
      </c>
      <c r="E873">
        <v>67</v>
      </c>
      <c r="F873" t="s">
        <v>355</v>
      </c>
      <c r="G873" t="s">
        <v>48</v>
      </c>
      <c r="H873" t="s">
        <v>3339</v>
      </c>
      <c r="I873" s="2">
        <v>30000</v>
      </c>
      <c r="J873" t="s">
        <v>71</v>
      </c>
      <c r="K873" t="s">
        <v>2509</v>
      </c>
    </row>
    <row r="874" spans="1:11" x14ac:dyDescent="0.25">
      <c r="A874" t="s">
        <v>1569</v>
      </c>
      <c r="B874" s="3">
        <v>46290</v>
      </c>
      <c r="C874" t="s">
        <v>174</v>
      </c>
      <c r="D874" t="s">
        <v>26</v>
      </c>
      <c r="E874">
        <v>27</v>
      </c>
      <c r="F874" t="s">
        <v>2</v>
      </c>
      <c r="G874" t="s">
        <v>81</v>
      </c>
      <c r="H874" t="s">
        <v>3340</v>
      </c>
      <c r="I874" s="2">
        <v>649000</v>
      </c>
      <c r="J874" t="s">
        <v>175</v>
      </c>
      <c r="K874" t="s">
        <v>2513</v>
      </c>
    </row>
    <row r="875" spans="1:11" x14ac:dyDescent="0.25">
      <c r="A875" t="s">
        <v>1570</v>
      </c>
      <c r="B875" s="3">
        <v>46290</v>
      </c>
      <c r="C875" t="s">
        <v>628</v>
      </c>
      <c r="D875" t="s">
        <v>629</v>
      </c>
      <c r="E875">
        <v>57</v>
      </c>
      <c r="F875" t="s">
        <v>355</v>
      </c>
      <c r="G875" t="s">
        <v>36</v>
      </c>
      <c r="H875" t="s">
        <v>3341</v>
      </c>
      <c r="I875" s="2">
        <v>17000</v>
      </c>
      <c r="J875" t="s">
        <v>397</v>
      </c>
      <c r="K875" t="s">
        <v>2500</v>
      </c>
    </row>
    <row r="876" spans="1:11" x14ac:dyDescent="0.25">
      <c r="A876" t="s">
        <v>1571</v>
      </c>
      <c r="B876" s="3">
        <v>46290</v>
      </c>
      <c r="C876" t="s">
        <v>65</v>
      </c>
      <c r="D876" t="s">
        <v>66</v>
      </c>
      <c r="E876">
        <v>7</v>
      </c>
      <c r="F876" t="s">
        <v>2</v>
      </c>
      <c r="G876" t="s">
        <v>36</v>
      </c>
      <c r="H876" t="s">
        <v>3342</v>
      </c>
      <c r="I876" s="2">
        <v>133000</v>
      </c>
      <c r="J876" t="s">
        <v>67</v>
      </c>
      <c r="K876" t="s">
        <v>2513</v>
      </c>
    </row>
    <row r="877" spans="1:11" x14ac:dyDescent="0.25">
      <c r="A877" t="s">
        <v>1572</v>
      </c>
      <c r="B877" s="3">
        <v>46290</v>
      </c>
      <c r="C877" t="s">
        <v>272</v>
      </c>
      <c r="D877" t="s">
        <v>213</v>
      </c>
      <c r="E877">
        <v>18</v>
      </c>
      <c r="F877" t="s">
        <v>2</v>
      </c>
      <c r="G877" t="s">
        <v>22</v>
      </c>
      <c r="H877" t="s">
        <v>3343</v>
      </c>
      <c r="I877" s="2">
        <v>3984000</v>
      </c>
      <c r="J877" t="s">
        <v>113</v>
      </c>
      <c r="K877" t="s">
        <v>2513</v>
      </c>
    </row>
    <row r="878" spans="1:11" x14ac:dyDescent="0.25">
      <c r="A878" t="s">
        <v>1573</v>
      </c>
      <c r="B878" s="3">
        <v>46290</v>
      </c>
      <c r="C878" t="s">
        <v>651</v>
      </c>
      <c r="D878" t="s">
        <v>612</v>
      </c>
      <c r="E878">
        <v>45</v>
      </c>
      <c r="F878" t="s">
        <v>2</v>
      </c>
      <c r="G878" t="s">
        <v>48</v>
      </c>
      <c r="H878" t="s">
        <v>3344</v>
      </c>
      <c r="I878" s="2">
        <v>12000</v>
      </c>
      <c r="J878" t="s">
        <v>294</v>
      </c>
      <c r="K878" t="s">
        <v>2503</v>
      </c>
    </row>
    <row r="879" spans="1:11" x14ac:dyDescent="0.25">
      <c r="A879" t="s">
        <v>1574</v>
      </c>
      <c r="B879" s="3">
        <v>46290</v>
      </c>
      <c r="C879" t="s">
        <v>235</v>
      </c>
      <c r="D879" t="s">
        <v>216</v>
      </c>
      <c r="E879">
        <v>60</v>
      </c>
      <c r="F879" t="s">
        <v>2</v>
      </c>
      <c r="G879" t="s">
        <v>36</v>
      </c>
      <c r="H879" t="s">
        <v>3345</v>
      </c>
      <c r="I879" s="2">
        <v>314000</v>
      </c>
      <c r="J879" t="s">
        <v>38</v>
      </c>
      <c r="K879" t="s">
        <v>2503</v>
      </c>
    </row>
    <row r="880" spans="1:11" x14ac:dyDescent="0.25">
      <c r="A880" t="s">
        <v>1575</v>
      </c>
      <c r="B880" s="3">
        <v>46290</v>
      </c>
      <c r="C880" t="s">
        <v>278</v>
      </c>
      <c r="D880" t="s">
        <v>261</v>
      </c>
      <c r="E880">
        <v>21</v>
      </c>
      <c r="F880" t="s">
        <v>2</v>
      </c>
      <c r="G880" t="s">
        <v>55</v>
      </c>
      <c r="H880" t="s">
        <v>3346</v>
      </c>
      <c r="I880" s="2">
        <v>507000</v>
      </c>
      <c r="J880" t="s">
        <v>279</v>
      </c>
      <c r="K880" t="s">
        <v>2500</v>
      </c>
    </row>
    <row r="881" spans="1:11" x14ac:dyDescent="0.25">
      <c r="A881" t="s">
        <v>1576</v>
      </c>
      <c r="B881" s="3">
        <v>46290</v>
      </c>
      <c r="C881" t="s">
        <v>627</v>
      </c>
      <c r="D881" t="s">
        <v>589</v>
      </c>
      <c r="E881">
        <v>52</v>
      </c>
      <c r="F881" t="s">
        <v>469</v>
      </c>
      <c r="G881" t="s">
        <v>61</v>
      </c>
      <c r="H881" t="s">
        <v>3347</v>
      </c>
      <c r="I881" s="2">
        <v>19000</v>
      </c>
      <c r="J881" t="s">
        <v>149</v>
      </c>
      <c r="K881" t="s">
        <v>2509</v>
      </c>
    </row>
    <row r="882" spans="1:11" x14ac:dyDescent="0.25">
      <c r="A882" t="s">
        <v>1577</v>
      </c>
      <c r="B882" s="3">
        <v>46290</v>
      </c>
      <c r="C882" t="s">
        <v>513</v>
      </c>
      <c r="D882" t="s">
        <v>488</v>
      </c>
      <c r="E882">
        <v>55</v>
      </c>
      <c r="F882" t="s">
        <v>469</v>
      </c>
      <c r="G882" t="s">
        <v>55</v>
      </c>
      <c r="H882" t="s">
        <v>3348</v>
      </c>
      <c r="I882" s="2">
        <v>31000</v>
      </c>
      <c r="J882" t="s">
        <v>110</v>
      </c>
      <c r="K882" t="s">
        <v>2513</v>
      </c>
    </row>
    <row r="883" spans="1:11" x14ac:dyDescent="0.25">
      <c r="A883" t="s">
        <v>1578</v>
      </c>
      <c r="B883" s="3">
        <v>46290</v>
      </c>
      <c r="C883" t="s">
        <v>655</v>
      </c>
      <c r="D883" t="s">
        <v>597</v>
      </c>
      <c r="E883">
        <v>36</v>
      </c>
      <c r="F883" t="s">
        <v>355</v>
      </c>
      <c r="G883" t="s">
        <v>61</v>
      </c>
      <c r="H883" t="s">
        <v>3349</v>
      </c>
      <c r="I883" s="2">
        <v>55000</v>
      </c>
      <c r="J883" t="s">
        <v>289</v>
      </c>
      <c r="K883" t="s">
        <v>2503</v>
      </c>
    </row>
    <row r="884" spans="1:11" x14ac:dyDescent="0.25">
      <c r="A884" t="s">
        <v>1579</v>
      </c>
      <c r="B884" s="3">
        <v>46290</v>
      </c>
      <c r="C884" t="s">
        <v>283</v>
      </c>
      <c r="D884" t="s">
        <v>234</v>
      </c>
      <c r="E884">
        <v>13</v>
      </c>
      <c r="F884" t="s">
        <v>2</v>
      </c>
      <c r="G884" t="s">
        <v>36</v>
      </c>
      <c r="H884" t="s">
        <v>3350</v>
      </c>
      <c r="I884" s="2">
        <v>490000</v>
      </c>
      <c r="J884" t="s">
        <v>59</v>
      </c>
      <c r="K884" t="s">
        <v>2513</v>
      </c>
    </row>
    <row r="885" spans="1:11" x14ac:dyDescent="0.25">
      <c r="A885" t="s">
        <v>1580</v>
      </c>
      <c r="B885" s="3">
        <v>46290</v>
      </c>
      <c r="C885" t="s">
        <v>238</v>
      </c>
      <c r="D885" t="s">
        <v>216</v>
      </c>
      <c r="E885">
        <v>50</v>
      </c>
      <c r="F885" t="s">
        <v>2</v>
      </c>
      <c r="G885" t="s">
        <v>55</v>
      </c>
      <c r="H885" t="s">
        <v>3351</v>
      </c>
      <c r="I885" s="2">
        <v>789000</v>
      </c>
      <c r="J885" t="s">
        <v>126</v>
      </c>
      <c r="K885" t="s">
        <v>2500</v>
      </c>
    </row>
    <row r="886" spans="1:11" x14ac:dyDescent="0.25">
      <c r="A886" t="s">
        <v>1581</v>
      </c>
      <c r="B886" s="3">
        <v>46290</v>
      </c>
      <c r="C886" t="s">
        <v>331</v>
      </c>
      <c r="D886" t="s">
        <v>234</v>
      </c>
      <c r="E886">
        <v>9</v>
      </c>
      <c r="F886" t="s">
        <v>2</v>
      </c>
      <c r="G886" t="s">
        <v>32</v>
      </c>
      <c r="H886" t="s">
        <v>3352</v>
      </c>
      <c r="I886" s="2">
        <v>1646000</v>
      </c>
      <c r="J886" t="s">
        <v>57</v>
      </c>
      <c r="K886" t="s">
        <v>2500</v>
      </c>
    </row>
    <row r="887" spans="1:11" x14ac:dyDescent="0.25">
      <c r="A887" t="s">
        <v>1582</v>
      </c>
      <c r="B887" s="3">
        <v>46290</v>
      </c>
      <c r="C887" t="s">
        <v>452</v>
      </c>
      <c r="D887" t="s">
        <v>344</v>
      </c>
      <c r="E887">
        <v>2</v>
      </c>
      <c r="F887" t="s">
        <v>346</v>
      </c>
      <c r="G887" t="s">
        <v>36</v>
      </c>
      <c r="H887" t="s">
        <v>3353</v>
      </c>
      <c r="I887" s="2">
        <v>71000</v>
      </c>
      <c r="J887" t="s">
        <v>250</v>
      </c>
      <c r="K887" t="s">
        <v>2500</v>
      </c>
    </row>
    <row r="888" spans="1:11" x14ac:dyDescent="0.25">
      <c r="A888" t="s">
        <v>1583</v>
      </c>
      <c r="B888" s="3">
        <v>46290</v>
      </c>
      <c r="C888" t="s">
        <v>359</v>
      </c>
      <c r="D888" t="s">
        <v>360</v>
      </c>
      <c r="E888">
        <v>56</v>
      </c>
      <c r="F888" t="s">
        <v>358</v>
      </c>
      <c r="G888" t="s">
        <v>22</v>
      </c>
      <c r="H888" t="s">
        <v>3354</v>
      </c>
      <c r="I888" s="2">
        <v>6000</v>
      </c>
      <c r="J888" t="s">
        <v>361</v>
      </c>
      <c r="K888" t="s">
        <v>2513</v>
      </c>
    </row>
    <row r="889" spans="1:11" x14ac:dyDescent="0.25">
      <c r="A889" t="s">
        <v>1584</v>
      </c>
      <c r="B889" s="3">
        <v>46290</v>
      </c>
      <c r="C889" t="s">
        <v>641</v>
      </c>
      <c r="D889" t="s">
        <v>589</v>
      </c>
      <c r="E889">
        <v>29</v>
      </c>
      <c r="F889" t="s">
        <v>469</v>
      </c>
      <c r="G889" t="s">
        <v>32</v>
      </c>
      <c r="H889" t="s">
        <v>3113</v>
      </c>
      <c r="I889" s="2">
        <v>21000</v>
      </c>
      <c r="J889" t="s">
        <v>124</v>
      </c>
      <c r="K889" t="s">
        <v>2500</v>
      </c>
    </row>
    <row r="890" spans="1:11" x14ac:dyDescent="0.25">
      <c r="A890" t="s">
        <v>1585</v>
      </c>
      <c r="B890" s="3">
        <v>46291</v>
      </c>
      <c r="C890" t="s">
        <v>103</v>
      </c>
      <c r="D890" t="s">
        <v>29</v>
      </c>
      <c r="E890">
        <v>32</v>
      </c>
      <c r="F890" t="s">
        <v>2</v>
      </c>
      <c r="G890" t="s">
        <v>85</v>
      </c>
      <c r="H890" t="s">
        <v>3355</v>
      </c>
      <c r="I890" s="2">
        <v>319000</v>
      </c>
      <c r="J890" t="s">
        <v>104</v>
      </c>
      <c r="K890" t="s">
        <v>2503</v>
      </c>
    </row>
    <row r="891" spans="1:11" x14ac:dyDescent="0.25">
      <c r="A891" t="s">
        <v>1586</v>
      </c>
      <c r="B891" s="3">
        <v>46291</v>
      </c>
      <c r="C891" t="s">
        <v>187</v>
      </c>
      <c r="D891" t="s">
        <v>54</v>
      </c>
      <c r="E891">
        <v>14</v>
      </c>
      <c r="F891" t="s">
        <v>2</v>
      </c>
      <c r="G891" t="s">
        <v>36</v>
      </c>
      <c r="H891" t="s">
        <v>3356</v>
      </c>
      <c r="I891" s="2">
        <v>122000</v>
      </c>
      <c r="J891" t="s">
        <v>110</v>
      </c>
      <c r="K891" t="s">
        <v>2500</v>
      </c>
    </row>
    <row r="892" spans="1:11" x14ac:dyDescent="0.25">
      <c r="A892" t="s">
        <v>1587</v>
      </c>
      <c r="B892" s="3">
        <v>46291</v>
      </c>
      <c r="C892" t="s">
        <v>68</v>
      </c>
      <c r="D892" t="s">
        <v>29</v>
      </c>
      <c r="E892">
        <v>58</v>
      </c>
      <c r="F892" t="s">
        <v>2</v>
      </c>
      <c r="G892" t="s">
        <v>40</v>
      </c>
      <c r="H892" t="s">
        <v>3090</v>
      </c>
      <c r="I892" s="2">
        <v>284000</v>
      </c>
      <c r="J892" t="s">
        <v>69</v>
      </c>
      <c r="K892" t="s">
        <v>2500</v>
      </c>
    </row>
    <row r="893" spans="1:11" x14ac:dyDescent="0.25">
      <c r="A893" t="s">
        <v>1588</v>
      </c>
      <c r="B893" s="3">
        <v>46291</v>
      </c>
      <c r="C893" t="s">
        <v>665</v>
      </c>
      <c r="D893" t="s">
        <v>589</v>
      </c>
      <c r="E893">
        <v>9</v>
      </c>
      <c r="F893" t="s">
        <v>469</v>
      </c>
      <c r="G893" t="s">
        <v>40</v>
      </c>
      <c r="H893" t="s">
        <v>3357</v>
      </c>
      <c r="I893" s="2">
        <v>18000</v>
      </c>
      <c r="J893" t="s">
        <v>274</v>
      </c>
      <c r="K893" t="s">
        <v>2509</v>
      </c>
    </row>
    <row r="894" spans="1:11" x14ac:dyDescent="0.25">
      <c r="A894" t="s">
        <v>1589</v>
      </c>
      <c r="B894" s="3">
        <v>46291</v>
      </c>
      <c r="C894" t="s">
        <v>444</v>
      </c>
      <c r="D894" t="s">
        <v>364</v>
      </c>
      <c r="E894">
        <v>34</v>
      </c>
      <c r="F894" t="s">
        <v>358</v>
      </c>
      <c r="G894" t="s">
        <v>32</v>
      </c>
      <c r="H894" t="s">
        <v>3358</v>
      </c>
      <c r="I894" s="2">
        <v>32000</v>
      </c>
      <c r="J894" t="s">
        <v>330</v>
      </c>
      <c r="K894" t="s">
        <v>2509</v>
      </c>
    </row>
    <row r="895" spans="1:11" x14ac:dyDescent="0.25">
      <c r="A895" t="s">
        <v>1590</v>
      </c>
      <c r="B895" s="3">
        <v>46291</v>
      </c>
      <c r="C895" t="s">
        <v>456</v>
      </c>
      <c r="D895" t="s">
        <v>351</v>
      </c>
      <c r="E895">
        <v>7</v>
      </c>
      <c r="F895" t="s">
        <v>2</v>
      </c>
      <c r="G895" t="s">
        <v>32</v>
      </c>
      <c r="H895" t="s">
        <v>3359</v>
      </c>
      <c r="I895" s="2">
        <v>327000</v>
      </c>
      <c r="J895" t="s">
        <v>119</v>
      </c>
      <c r="K895" t="s">
        <v>2500</v>
      </c>
    </row>
    <row r="896" spans="1:11" x14ac:dyDescent="0.25">
      <c r="A896" t="s">
        <v>1591</v>
      </c>
      <c r="B896" s="3">
        <v>46291</v>
      </c>
      <c r="C896" t="s">
        <v>20</v>
      </c>
      <c r="D896" t="s">
        <v>21</v>
      </c>
      <c r="E896">
        <v>26</v>
      </c>
      <c r="F896" t="s">
        <v>2</v>
      </c>
      <c r="G896" t="s">
        <v>22</v>
      </c>
      <c r="H896" t="s">
        <v>3360</v>
      </c>
      <c r="I896" s="2">
        <v>31000</v>
      </c>
      <c r="J896" t="s">
        <v>24</v>
      </c>
      <c r="K896" t="s">
        <v>2503</v>
      </c>
    </row>
    <row r="897" spans="1:11" x14ac:dyDescent="0.25">
      <c r="A897" t="s">
        <v>1592</v>
      </c>
      <c r="B897" s="3">
        <v>46291</v>
      </c>
      <c r="C897" t="s">
        <v>500</v>
      </c>
      <c r="D897" t="s">
        <v>488</v>
      </c>
      <c r="E897">
        <v>56</v>
      </c>
      <c r="F897" t="s">
        <v>469</v>
      </c>
      <c r="G897" t="s">
        <v>32</v>
      </c>
      <c r="H897" t="s">
        <v>3361</v>
      </c>
      <c r="I897" s="2">
        <v>89000</v>
      </c>
      <c r="J897" t="s">
        <v>27</v>
      </c>
      <c r="K897" t="s">
        <v>2500</v>
      </c>
    </row>
    <row r="898" spans="1:11" x14ac:dyDescent="0.25">
      <c r="A898" t="s">
        <v>1593</v>
      </c>
      <c r="B898" s="3">
        <v>46291</v>
      </c>
      <c r="C898" t="s">
        <v>35</v>
      </c>
      <c r="D898" t="s">
        <v>29</v>
      </c>
      <c r="E898">
        <v>55</v>
      </c>
      <c r="F898" t="s">
        <v>2</v>
      </c>
      <c r="G898" t="s">
        <v>36</v>
      </c>
      <c r="H898" t="s">
        <v>2897</v>
      </c>
      <c r="I898" s="2">
        <v>129000</v>
      </c>
      <c r="J898" t="s">
        <v>38</v>
      </c>
      <c r="K898" t="s">
        <v>2503</v>
      </c>
    </row>
    <row r="899" spans="1:11" x14ac:dyDescent="0.25">
      <c r="A899" t="s">
        <v>1594</v>
      </c>
      <c r="B899" s="3">
        <v>46291</v>
      </c>
      <c r="C899" t="s">
        <v>679</v>
      </c>
      <c r="D899" t="s">
        <v>597</v>
      </c>
      <c r="E899">
        <v>9</v>
      </c>
      <c r="F899" t="s">
        <v>355</v>
      </c>
      <c r="G899" t="s">
        <v>85</v>
      </c>
      <c r="H899" t="s">
        <v>3362</v>
      </c>
      <c r="I899" s="2">
        <v>41000</v>
      </c>
      <c r="J899" t="s">
        <v>368</v>
      </c>
      <c r="K899" t="s">
        <v>2509</v>
      </c>
    </row>
    <row r="900" spans="1:11" x14ac:dyDescent="0.25">
      <c r="A900" t="s">
        <v>1595</v>
      </c>
      <c r="B900" s="3">
        <v>46291</v>
      </c>
      <c r="C900" t="s">
        <v>580</v>
      </c>
      <c r="D900" t="s">
        <v>490</v>
      </c>
      <c r="E900">
        <v>46</v>
      </c>
      <c r="F900" t="s">
        <v>355</v>
      </c>
      <c r="G900" t="s">
        <v>36</v>
      </c>
      <c r="H900" t="s">
        <v>3363</v>
      </c>
      <c r="I900" s="2">
        <v>18000</v>
      </c>
      <c r="J900" t="s">
        <v>69</v>
      </c>
      <c r="K900" t="s">
        <v>2509</v>
      </c>
    </row>
    <row r="901" spans="1:11" x14ac:dyDescent="0.25">
      <c r="A901" t="s">
        <v>1596</v>
      </c>
      <c r="B901" s="3">
        <v>46291</v>
      </c>
      <c r="C901" t="s">
        <v>489</v>
      </c>
      <c r="D901" t="s">
        <v>490</v>
      </c>
      <c r="E901">
        <v>23</v>
      </c>
      <c r="F901" t="s">
        <v>355</v>
      </c>
      <c r="G901" t="s">
        <v>22</v>
      </c>
      <c r="H901" t="s">
        <v>3364</v>
      </c>
      <c r="I901" s="2">
        <v>40000</v>
      </c>
      <c r="J901" t="s">
        <v>183</v>
      </c>
      <c r="K901" t="s">
        <v>2500</v>
      </c>
    </row>
    <row r="902" spans="1:11" x14ac:dyDescent="0.25">
      <c r="A902" t="s">
        <v>1597</v>
      </c>
      <c r="B902" s="3">
        <v>46291</v>
      </c>
      <c r="C902" t="s">
        <v>348</v>
      </c>
      <c r="D902" t="s">
        <v>349</v>
      </c>
      <c r="E902">
        <v>14</v>
      </c>
      <c r="F902" t="s">
        <v>2</v>
      </c>
      <c r="G902" t="s">
        <v>32</v>
      </c>
      <c r="H902" t="s">
        <v>3365</v>
      </c>
      <c r="I902" s="2">
        <v>4000</v>
      </c>
      <c r="J902" t="s">
        <v>171</v>
      </c>
      <c r="K902" t="s">
        <v>2500</v>
      </c>
    </row>
    <row r="903" spans="1:11" x14ac:dyDescent="0.25">
      <c r="A903" t="s">
        <v>1598</v>
      </c>
      <c r="B903" s="3">
        <v>46291</v>
      </c>
      <c r="C903" t="s">
        <v>678</v>
      </c>
      <c r="D903" t="s">
        <v>612</v>
      </c>
      <c r="E903">
        <v>2</v>
      </c>
      <c r="F903" t="s">
        <v>2</v>
      </c>
      <c r="G903" t="s">
        <v>48</v>
      </c>
      <c r="H903" t="s">
        <v>3366</v>
      </c>
      <c r="I903" s="2">
        <v>47000</v>
      </c>
      <c r="J903" t="s">
        <v>242</v>
      </c>
      <c r="K903" t="s">
        <v>2513</v>
      </c>
    </row>
    <row r="904" spans="1:11" x14ac:dyDescent="0.25">
      <c r="A904" t="s">
        <v>1599</v>
      </c>
      <c r="B904" s="3">
        <v>46291</v>
      </c>
      <c r="C904" t="s">
        <v>270</v>
      </c>
      <c r="D904" t="s">
        <v>213</v>
      </c>
      <c r="E904">
        <v>19</v>
      </c>
      <c r="F904" t="s">
        <v>2</v>
      </c>
      <c r="G904" t="s">
        <v>40</v>
      </c>
      <c r="H904" t="s">
        <v>3367</v>
      </c>
      <c r="I904" s="2">
        <v>5152000</v>
      </c>
      <c r="J904" t="s">
        <v>64</v>
      </c>
      <c r="K904" t="s">
        <v>2500</v>
      </c>
    </row>
    <row r="905" spans="1:11" x14ac:dyDescent="0.25">
      <c r="A905" t="s">
        <v>1600</v>
      </c>
      <c r="B905" s="3">
        <v>46291</v>
      </c>
      <c r="C905" t="s">
        <v>125</v>
      </c>
      <c r="D905" t="s">
        <v>15</v>
      </c>
      <c r="E905">
        <v>16</v>
      </c>
      <c r="F905" t="s">
        <v>2</v>
      </c>
      <c r="G905" t="s">
        <v>85</v>
      </c>
      <c r="H905" t="s">
        <v>3368</v>
      </c>
      <c r="I905" s="2">
        <v>87000</v>
      </c>
      <c r="J905" t="s">
        <v>126</v>
      </c>
      <c r="K905" t="s">
        <v>2503</v>
      </c>
    </row>
    <row r="906" spans="1:11" x14ac:dyDescent="0.25">
      <c r="A906" t="s">
        <v>1601</v>
      </c>
      <c r="B906" s="3">
        <v>46291</v>
      </c>
      <c r="C906" t="s">
        <v>669</v>
      </c>
      <c r="D906" t="s">
        <v>594</v>
      </c>
      <c r="E906">
        <v>1</v>
      </c>
      <c r="F906" t="s">
        <v>595</v>
      </c>
      <c r="G906" t="s">
        <v>81</v>
      </c>
      <c r="H906" t="s">
        <v>3369</v>
      </c>
      <c r="I906" s="2">
        <v>4000</v>
      </c>
      <c r="J906" t="s">
        <v>410</v>
      </c>
      <c r="K906" t="s">
        <v>2513</v>
      </c>
    </row>
    <row r="907" spans="1:11" x14ac:dyDescent="0.25">
      <c r="A907" t="s">
        <v>1602</v>
      </c>
      <c r="B907" s="3">
        <v>46291</v>
      </c>
      <c r="C907" t="s">
        <v>157</v>
      </c>
      <c r="D907" t="s">
        <v>44</v>
      </c>
      <c r="E907">
        <v>5</v>
      </c>
      <c r="F907" t="s">
        <v>2</v>
      </c>
      <c r="G907" t="s">
        <v>81</v>
      </c>
      <c r="H907" t="s">
        <v>3370</v>
      </c>
      <c r="I907" s="2">
        <v>66000</v>
      </c>
      <c r="J907" t="s">
        <v>158</v>
      </c>
      <c r="K907" t="s">
        <v>2513</v>
      </c>
    </row>
    <row r="908" spans="1:11" x14ac:dyDescent="0.25">
      <c r="A908" t="s">
        <v>1603</v>
      </c>
      <c r="B908" s="3">
        <v>46291</v>
      </c>
      <c r="C908" t="s">
        <v>232</v>
      </c>
      <c r="D908" t="s">
        <v>225</v>
      </c>
      <c r="E908">
        <v>24</v>
      </c>
      <c r="F908" t="s">
        <v>2</v>
      </c>
      <c r="G908" t="s">
        <v>61</v>
      </c>
      <c r="H908" t="s">
        <v>3371</v>
      </c>
      <c r="I908" s="2">
        <v>560000</v>
      </c>
      <c r="J908" t="s">
        <v>30</v>
      </c>
      <c r="K908" t="s">
        <v>2509</v>
      </c>
    </row>
    <row r="909" spans="1:11" x14ac:dyDescent="0.25">
      <c r="A909" t="s">
        <v>1604</v>
      </c>
      <c r="B909" s="3">
        <v>46291</v>
      </c>
      <c r="C909" t="s">
        <v>313</v>
      </c>
      <c r="D909" t="s">
        <v>225</v>
      </c>
      <c r="E909">
        <v>18</v>
      </c>
      <c r="F909" t="s">
        <v>2</v>
      </c>
      <c r="G909" t="s">
        <v>55</v>
      </c>
      <c r="H909" t="s">
        <v>3372</v>
      </c>
      <c r="I909" s="2">
        <v>904000</v>
      </c>
      <c r="J909" t="s">
        <v>314</v>
      </c>
      <c r="K909" t="s">
        <v>2509</v>
      </c>
    </row>
    <row r="910" spans="1:11" x14ac:dyDescent="0.25">
      <c r="A910" t="s">
        <v>1605</v>
      </c>
      <c r="B910" s="3">
        <v>46291</v>
      </c>
      <c r="C910" t="s">
        <v>636</v>
      </c>
      <c r="D910" t="s">
        <v>602</v>
      </c>
      <c r="E910">
        <v>30</v>
      </c>
      <c r="F910" t="s">
        <v>2</v>
      </c>
      <c r="G910" t="s">
        <v>32</v>
      </c>
      <c r="H910" t="s">
        <v>3373</v>
      </c>
      <c r="I910" s="2">
        <v>116000</v>
      </c>
      <c r="J910" t="s">
        <v>183</v>
      </c>
      <c r="K910" t="s">
        <v>2513</v>
      </c>
    </row>
    <row r="911" spans="1:11" x14ac:dyDescent="0.25">
      <c r="A911" t="s">
        <v>1606</v>
      </c>
      <c r="B911" s="3">
        <v>46291</v>
      </c>
      <c r="C911" t="s">
        <v>214</v>
      </c>
      <c r="D911" t="s">
        <v>210</v>
      </c>
      <c r="E911">
        <v>43</v>
      </c>
      <c r="F911" t="s">
        <v>2</v>
      </c>
      <c r="G911" t="s">
        <v>32</v>
      </c>
      <c r="H911" t="s">
        <v>2657</v>
      </c>
      <c r="I911" s="2">
        <v>10116000</v>
      </c>
      <c r="J911" t="s">
        <v>100</v>
      </c>
      <c r="K911" t="s">
        <v>2503</v>
      </c>
    </row>
    <row r="912" spans="1:11" x14ac:dyDescent="0.25">
      <c r="A912" t="s">
        <v>1607</v>
      </c>
      <c r="B912" s="3">
        <v>46291</v>
      </c>
      <c r="C912" t="s">
        <v>290</v>
      </c>
      <c r="D912" t="s">
        <v>210</v>
      </c>
      <c r="E912">
        <v>9</v>
      </c>
      <c r="F912" t="s">
        <v>2</v>
      </c>
      <c r="G912" t="s">
        <v>36</v>
      </c>
      <c r="H912" t="s">
        <v>3374</v>
      </c>
      <c r="I912" s="2">
        <v>12054000</v>
      </c>
      <c r="J912" t="s">
        <v>124</v>
      </c>
      <c r="K912" t="s">
        <v>2509</v>
      </c>
    </row>
    <row r="913" spans="1:11" x14ac:dyDescent="0.25">
      <c r="A913" t="s">
        <v>1608</v>
      </c>
      <c r="B913" s="3">
        <v>46291</v>
      </c>
      <c r="C913" t="s">
        <v>566</v>
      </c>
      <c r="D913" t="s">
        <v>479</v>
      </c>
      <c r="E913">
        <v>17</v>
      </c>
      <c r="F913" t="s">
        <v>469</v>
      </c>
      <c r="G913" t="s">
        <v>61</v>
      </c>
      <c r="H913" t="s">
        <v>3375</v>
      </c>
      <c r="I913" s="2">
        <v>35000</v>
      </c>
      <c r="J913" t="s">
        <v>64</v>
      </c>
      <c r="K913" t="s">
        <v>2500</v>
      </c>
    </row>
    <row r="914" spans="1:11" x14ac:dyDescent="0.25">
      <c r="A914" t="s">
        <v>1609</v>
      </c>
      <c r="B914" s="3">
        <v>46291</v>
      </c>
      <c r="C914" t="s">
        <v>269</v>
      </c>
      <c r="D914" t="s">
        <v>210</v>
      </c>
      <c r="E914">
        <v>11</v>
      </c>
      <c r="F914" t="s">
        <v>2</v>
      </c>
      <c r="G914" t="s">
        <v>36</v>
      </c>
      <c r="H914" t="s">
        <v>3376</v>
      </c>
      <c r="I914" s="2">
        <v>4424000</v>
      </c>
      <c r="J914" t="s">
        <v>117</v>
      </c>
      <c r="K914" t="s">
        <v>2509</v>
      </c>
    </row>
    <row r="915" spans="1:11" x14ac:dyDescent="0.25">
      <c r="A915" t="s">
        <v>1610</v>
      </c>
      <c r="B915" s="3">
        <v>46291</v>
      </c>
      <c r="C915" t="s">
        <v>369</v>
      </c>
      <c r="D915" t="s">
        <v>351</v>
      </c>
      <c r="E915">
        <v>33</v>
      </c>
      <c r="F915" t="s">
        <v>2</v>
      </c>
      <c r="G915" t="s">
        <v>36</v>
      </c>
      <c r="H915" t="s">
        <v>3377</v>
      </c>
      <c r="I915" s="2">
        <v>594000</v>
      </c>
      <c r="J915" t="s">
        <v>312</v>
      </c>
      <c r="K915" t="s">
        <v>2509</v>
      </c>
    </row>
    <row r="916" spans="1:11" x14ac:dyDescent="0.25">
      <c r="A916" t="s">
        <v>1611</v>
      </c>
      <c r="B916" s="3">
        <v>46291</v>
      </c>
      <c r="C916" t="s">
        <v>552</v>
      </c>
      <c r="D916" t="s">
        <v>476</v>
      </c>
      <c r="E916">
        <v>39</v>
      </c>
      <c r="F916" t="s">
        <v>477</v>
      </c>
      <c r="G916" t="s">
        <v>81</v>
      </c>
      <c r="H916" t="s">
        <v>3378</v>
      </c>
      <c r="I916" s="2">
        <v>17000</v>
      </c>
      <c r="J916" t="s">
        <v>77</v>
      </c>
      <c r="K916" t="s">
        <v>2500</v>
      </c>
    </row>
    <row r="917" spans="1:11" x14ac:dyDescent="0.25">
      <c r="A917" t="s">
        <v>1612</v>
      </c>
      <c r="B917" s="3">
        <v>46291</v>
      </c>
      <c r="C917" t="s">
        <v>656</v>
      </c>
      <c r="D917" t="s">
        <v>597</v>
      </c>
      <c r="E917">
        <v>1</v>
      </c>
      <c r="F917" t="s">
        <v>355</v>
      </c>
      <c r="G917" t="s">
        <v>85</v>
      </c>
      <c r="H917" t="s">
        <v>2636</v>
      </c>
      <c r="I917" s="2">
        <v>20000</v>
      </c>
      <c r="J917" t="s">
        <v>95</v>
      </c>
      <c r="K917" t="s">
        <v>2509</v>
      </c>
    </row>
    <row r="918" spans="1:11" x14ac:dyDescent="0.25">
      <c r="A918" t="s">
        <v>1613</v>
      </c>
      <c r="B918" s="3">
        <v>46291</v>
      </c>
      <c r="C918" t="s">
        <v>623</v>
      </c>
      <c r="D918" t="s">
        <v>594</v>
      </c>
      <c r="E918">
        <v>6</v>
      </c>
      <c r="F918" t="s">
        <v>595</v>
      </c>
      <c r="G918" t="s">
        <v>40</v>
      </c>
      <c r="H918" t="s">
        <v>3379</v>
      </c>
      <c r="I918" s="2">
        <v>10000</v>
      </c>
      <c r="J918" t="s">
        <v>294</v>
      </c>
      <c r="K918" t="s">
        <v>2509</v>
      </c>
    </row>
    <row r="919" spans="1:11" x14ac:dyDescent="0.25">
      <c r="A919" t="s">
        <v>1614</v>
      </c>
      <c r="B919" s="3">
        <v>46291</v>
      </c>
      <c r="C919" t="s">
        <v>371</v>
      </c>
      <c r="D919" t="s">
        <v>364</v>
      </c>
      <c r="E919">
        <v>39</v>
      </c>
      <c r="F919" t="s">
        <v>358</v>
      </c>
      <c r="G919" t="s">
        <v>40</v>
      </c>
      <c r="H919" t="s">
        <v>2728</v>
      </c>
      <c r="I919" s="2">
        <v>25000</v>
      </c>
      <c r="J919" t="s">
        <v>121</v>
      </c>
      <c r="K919" t="s">
        <v>2503</v>
      </c>
    </row>
    <row r="920" spans="1:11" x14ac:dyDescent="0.25">
      <c r="A920" t="s">
        <v>1615</v>
      </c>
      <c r="B920" s="3">
        <v>46291</v>
      </c>
      <c r="C920" t="s">
        <v>444</v>
      </c>
      <c r="D920" t="s">
        <v>364</v>
      </c>
      <c r="E920">
        <v>44</v>
      </c>
      <c r="F920" t="s">
        <v>358</v>
      </c>
      <c r="G920" t="s">
        <v>32</v>
      </c>
      <c r="H920" t="s">
        <v>3380</v>
      </c>
      <c r="I920" s="2">
        <v>32000</v>
      </c>
      <c r="J920" t="s">
        <v>330</v>
      </c>
      <c r="K920" t="s">
        <v>2509</v>
      </c>
    </row>
    <row r="921" spans="1:11" x14ac:dyDescent="0.25">
      <c r="A921" t="s">
        <v>1616</v>
      </c>
      <c r="B921" s="3">
        <v>46291</v>
      </c>
      <c r="C921" t="s">
        <v>613</v>
      </c>
      <c r="D921" t="s">
        <v>597</v>
      </c>
      <c r="E921">
        <v>48</v>
      </c>
      <c r="F921" t="s">
        <v>355</v>
      </c>
      <c r="G921" t="s">
        <v>32</v>
      </c>
      <c r="H921" t="s">
        <v>3381</v>
      </c>
      <c r="I921" s="2">
        <v>48000</v>
      </c>
      <c r="J921" t="s">
        <v>221</v>
      </c>
      <c r="K921" t="s">
        <v>2503</v>
      </c>
    </row>
    <row r="922" spans="1:11" x14ac:dyDescent="0.25">
      <c r="A922" t="s">
        <v>1617</v>
      </c>
      <c r="B922" s="3">
        <v>46291</v>
      </c>
      <c r="C922" t="s">
        <v>413</v>
      </c>
      <c r="D922" t="s">
        <v>360</v>
      </c>
      <c r="E922">
        <v>54</v>
      </c>
      <c r="F922" t="s">
        <v>358</v>
      </c>
      <c r="G922" t="s">
        <v>17</v>
      </c>
      <c r="H922" t="s">
        <v>3382</v>
      </c>
      <c r="I922" s="2">
        <v>18000</v>
      </c>
      <c r="J922" t="s">
        <v>368</v>
      </c>
      <c r="K922" t="s">
        <v>2503</v>
      </c>
    </row>
    <row r="923" spans="1:11" x14ac:dyDescent="0.25">
      <c r="A923" t="s">
        <v>1618</v>
      </c>
      <c r="B923" s="3">
        <v>46291</v>
      </c>
      <c r="C923" t="s">
        <v>137</v>
      </c>
      <c r="D923" t="s">
        <v>44</v>
      </c>
      <c r="E923">
        <v>2</v>
      </c>
      <c r="F923" t="s">
        <v>2</v>
      </c>
      <c r="G923" t="s">
        <v>81</v>
      </c>
      <c r="H923" t="s">
        <v>3383</v>
      </c>
      <c r="I923" s="2">
        <v>89000</v>
      </c>
      <c r="J923" t="s">
        <v>38</v>
      </c>
      <c r="K923" t="s">
        <v>2509</v>
      </c>
    </row>
    <row r="924" spans="1:11" x14ac:dyDescent="0.25">
      <c r="A924" t="s">
        <v>1619</v>
      </c>
      <c r="B924" s="3">
        <v>46292</v>
      </c>
      <c r="C924" t="s">
        <v>401</v>
      </c>
      <c r="D924" t="s">
        <v>382</v>
      </c>
      <c r="E924">
        <v>44</v>
      </c>
      <c r="F924" t="s">
        <v>383</v>
      </c>
      <c r="G924" t="s">
        <v>61</v>
      </c>
      <c r="H924" t="s">
        <v>3384</v>
      </c>
      <c r="I924" s="2">
        <v>157000</v>
      </c>
      <c r="J924" t="s">
        <v>19</v>
      </c>
      <c r="K924" t="s">
        <v>2500</v>
      </c>
    </row>
    <row r="925" spans="1:11" x14ac:dyDescent="0.25">
      <c r="A925" t="s">
        <v>1620</v>
      </c>
      <c r="B925" s="3">
        <v>46292</v>
      </c>
      <c r="C925" t="s">
        <v>513</v>
      </c>
      <c r="D925" t="s">
        <v>488</v>
      </c>
      <c r="E925">
        <v>66</v>
      </c>
      <c r="F925" t="s">
        <v>469</v>
      </c>
      <c r="G925" t="s">
        <v>55</v>
      </c>
      <c r="H925" t="s">
        <v>2603</v>
      </c>
      <c r="I925" s="2">
        <v>31000</v>
      </c>
      <c r="J925" t="s">
        <v>110</v>
      </c>
      <c r="K925" t="s">
        <v>2500</v>
      </c>
    </row>
    <row r="926" spans="1:11" x14ac:dyDescent="0.25">
      <c r="A926" t="s">
        <v>1621</v>
      </c>
      <c r="B926" s="3">
        <v>46292</v>
      </c>
      <c r="C926" t="s">
        <v>680</v>
      </c>
      <c r="D926" t="s">
        <v>582</v>
      </c>
      <c r="E926">
        <v>29</v>
      </c>
      <c r="F926" t="s">
        <v>2</v>
      </c>
      <c r="G926" t="s">
        <v>17</v>
      </c>
      <c r="H926" t="s">
        <v>3385</v>
      </c>
      <c r="I926" s="2">
        <v>173000</v>
      </c>
      <c r="J926" t="s">
        <v>93</v>
      </c>
      <c r="K926" t="s">
        <v>2513</v>
      </c>
    </row>
    <row r="927" spans="1:11" x14ac:dyDescent="0.25">
      <c r="A927" t="s">
        <v>1622</v>
      </c>
      <c r="B927" s="3">
        <v>46292</v>
      </c>
      <c r="C927" t="s">
        <v>567</v>
      </c>
      <c r="D927" t="s">
        <v>502</v>
      </c>
      <c r="E927">
        <v>6</v>
      </c>
      <c r="F927" t="s">
        <v>469</v>
      </c>
      <c r="G927" t="s">
        <v>61</v>
      </c>
      <c r="H927" t="s">
        <v>3386</v>
      </c>
      <c r="I927" s="2">
        <v>63000</v>
      </c>
      <c r="J927" t="s">
        <v>152</v>
      </c>
      <c r="K927" t="s">
        <v>2509</v>
      </c>
    </row>
    <row r="928" spans="1:11" x14ac:dyDescent="0.25">
      <c r="A928" t="s">
        <v>1623</v>
      </c>
      <c r="B928" s="3">
        <v>46292</v>
      </c>
      <c r="C928" t="s">
        <v>690</v>
      </c>
      <c r="D928" t="s">
        <v>597</v>
      </c>
      <c r="E928">
        <v>1</v>
      </c>
      <c r="F928" t="s">
        <v>355</v>
      </c>
      <c r="G928" t="s">
        <v>48</v>
      </c>
      <c r="H928" t="s">
        <v>2918</v>
      </c>
      <c r="I928" s="2">
        <v>33000</v>
      </c>
      <c r="J928" t="s">
        <v>52</v>
      </c>
      <c r="K928" t="s">
        <v>2509</v>
      </c>
    </row>
    <row r="929" spans="1:11" x14ac:dyDescent="0.25">
      <c r="A929" t="s">
        <v>1624</v>
      </c>
      <c r="B929" s="3">
        <v>46292</v>
      </c>
      <c r="C929" t="s">
        <v>285</v>
      </c>
      <c r="D929" t="s">
        <v>216</v>
      </c>
      <c r="E929">
        <v>13</v>
      </c>
      <c r="F929" t="s">
        <v>2</v>
      </c>
      <c r="G929" t="s">
        <v>22</v>
      </c>
      <c r="H929" t="s">
        <v>3387</v>
      </c>
      <c r="I929" s="2">
        <v>329000</v>
      </c>
      <c r="J929" t="s">
        <v>42</v>
      </c>
      <c r="K929" t="s">
        <v>2503</v>
      </c>
    </row>
    <row r="930" spans="1:11" x14ac:dyDescent="0.25">
      <c r="A930" t="s">
        <v>1625</v>
      </c>
      <c r="B930" s="3">
        <v>46292</v>
      </c>
      <c r="C930" t="s">
        <v>598</v>
      </c>
      <c r="D930" t="s">
        <v>599</v>
      </c>
      <c r="E930">
        <v>22</v>
      </c>
      <c r="F930" t="s">
        <v>2</v>
      </c>
      <c r="G930" t="s">
        <v>81</v>
      </c>
      <c r="H930" t="s">
        <v>3388</v>
      </c>
      <c r="I930" s="2">
        <v>116000</v>
      </c>
      <c r="J930" t="s">
        <v>27</v>
      </c>
      <c r="K930" t="s">
        <v>2513</v>
      </c>
    </row>
    <row r="931" spans="1:11" x14ac:dyDescent="0.25">
      <c r="A931" t="s">
        <v>1626</v>
      </c>
      <c r="B931" s="3">
        <v>46292</v>
      </c>
      <c r="C931" t="s">
        <v>686</v>
      </c>
      <c r="D931" t="s">
        <v>589</v>
      </c>
      <c r="E931">
        <v>39</v>
      </c>
      <c r="F931" t="s">
        <v>469</v>
      </c>
      <c r="G931" t="s">
        <v>17</v>
      </c>
      <c r="H931" t="s">
        <v>3389</v>
      </c>
      <c r="I931" s="2">
        <v>14000</v>
      </c>
      <c r="J931" t="s">
        <v>185</v>
      </c>
      <c r="K931" t="s">
        <v>2503</v>
      </c>
    </row>
    <row r="932" spans="1:11" x14ac:dyDescent="0.25">
      <c r="A932" t="s">
        <v>1627</v>
      </c>
      <c r="B932" s="3">
        <v>46292</v>
      </c>
      <c r="C932" t="s">
        <v>318</v>
      </c>
      <c r="D932" t="s">
        <v>240</v>
      </c>
      <c r="E932">
        <v>62</v>
      </c>
      <c r="F932" t="s">
        <v>2</v>
      </c>
      <c r="G932" t="s">
        <v>55</v>
      </c>
      <c r="H932" t="s">
        <v>3390</v>
      </c>
      <c r="I932" s="2">
        <v>553000</v>
      </c>
      <c r="J932" t="s">
        <v>24</v>
      </c>
      <c r="K932" t="s">
        <v>2513</v>
      </c>
    </row>
    <row r="933" spans="1:11" x14ac:dyDescent="0.25">
      <c r="A933" t="s">
        <v>1628</v>
      </c>
      <c r="B933" s="3">
        <v>46292</v>
      </c>
      <c r="C933" t="s">
        <v>472</v>
      </c>
      <c r="D933" t="s">
        <v>467</v>
      </c>
      <c r="E933">
        <v>31</v>
      </c>
      <c r="F933" t="s">
        <v>469</v>
      </c>
      <c r="G933" t="s">
        <v>40</v>
      </c>
      <c r="H933" t="s">
        <v>3391</v>
      </c>
      <c r="I933" s="2">
        <v>58000</v>
      </c>
      <c r="J933" t="s">
        <v>119</v>
      </c>
      <c r="K933" t="s">
        <v>2513</v>
      </c>
    </row>
    <row r="934" spans="1:11" x14ac:dyDescent="0.25">
      <c r="A934" t="s">
        <v>1629</v>
      </c>
      <c r="B934" s="3">
        <v>46292</v>
      </c>
      <c r="C934" t="s">
        <v>592</v>
      </c>
      <c r="D934" t="s">
        <v>585</v>
      </c>
      <c r="E934">
        <v>64</v>
      </c>
      <c r="F934" t="s">
        <v>355</v>
      </c>
      <c r="G934" t="s">
        <v>85</v>
      </c>
      <c r="H934" t="s">
        <v>3392</v>
      </c>
      <c r="I934" s="2">
        <v>20000</v>
      </c>
      <c r="J934" t="s">
        <v>287</v>
      </c>
      <c r="K934" t="s">
        <v>2513</v>
      </c>
    </row>
    <row r="935" spans="1:11" x14ac:dyDescent="0.25">
      <c r="A935" t="s">
        <v>1630</v>
      </c>
      <c r="B935" s="3">
        <v>46292</v>
      </c>
      <c r="C935" t="s">
        <v>639</v>
      </c>
      <c r="D935" t="s">
        <v>585</v>
      </c>
      <c r="E935">
        <v>68</v>
      </c>
      <c r="F935" t="s">
        <v>355</v>
      </c>
      <c r="G935" t="s">
        <v>55</v>
      </c>
      <c r="H935" t="s">
        <v>3393</v>
      </c>
      <c r="I935" s="2">
        <v>34000</v>
      </c>
      <c r="J935" t="s">
        <v>64</v>
      </c>
      <c r="K935" t="s">
        <v>2503</v>
      </c>
    </row>
    <row r="936" spans="1:11" x14ac:dyDescent="0.25">
      <c r="A936" t="s">
        <v>1631</v>
      </c>
      <c r="B936" s="3">
        <v>46292</v>
      </c>
      <c r="C936" t="s">
        <v>507</v>
      </c>
      <c r="D936" t="s">
        <v>471</v>
      </c>
      <c r="E936">
        <v>59</v>
      </c>
      <c r="F936" t="s">
        <v>355</v>
      </c>
      <c r="G936" t="s">
        <v>55</v>
      </c>
      <c r="H936" t="s">
        <v>2732</v>
      </c>
      <c r="I936" s="2">
        <v>73000</v>
      </c>
      <c r="J936" t="s">
        <v>19</v>
      </c>
      <c r="K936" t="s">
        <v>2513</v>
      </c>
    </row>
    <row r="937" spans="1:11" x14ac:dyDescent="0.25">
      <c r="A937" t="s">
        <v>1632</v>
      </c>
      <c r="B937" s="3">
        <v>46292</v>
      </c>
      <c r="C937" t="s">
        <v>232</v>
      </c>
      <c r="D937" t="s">
        <v>225</v>
      </c>
      <c r="E937">
        <v>19</v>
      </c>
      <c r="F937" t="s">
        <v>2</v>
      </c>
      <c r="G937" t="s">
        <v>61</v>
      </c>
      <c r="H937" t="s">
        <v>3394</v>
      </c>
      <c r="I937" s="2">
        <v>560000</v>
      </c>
      <c r="J937" t="s">
        <v>30</v>
      </c>
      <c r="K937" t="s">
        <v>2503</v>
      </c>
    </row>
    <row r="938" spans="1:11" x14ac:dyDescent="0.25">
      <c r="A938" t="s">
        <v>1633</v>
      </c>
      <c r="B938" s="3">
        <v>46292</v>
      </c>
      <c r="C938" t="s">
        <v>447</v>
      </c>
      <c r="D938" t="s">
        <v>349</v>
      </c>
      <c r="E938">
        <v>38</v>
      </c>
      <c r="F938" t="s">
        <v>2</v>
      </c>
      <c r="G938" t="s">
        <v>36</v>
      </c>
      <c r="H938" t="s">
        <v>3395</v>
      </c>
      <c r="I938" s="2">
        <v>10000</v>
      </c>
      <c r="J938" t="s">
        <v>440</v>
      </c>
      <c r="K938" t="s">
        <v>2513</v>
      </c>
    </row>
    <row r="939" spans="1:11" x14ac:dyDescent="0.25">
      <c r="A939" t="s">
        <v>1634</v>
      </c>
      <c r="B939" s="3">
        <v>46292</v>
      </c>
      <c r="C939" t="s">
        <v>317</v>
      </c>
      <c r="D939" t="s">
        <v>225</v>
      </c>
      <c r="E939">
        <v>57</v>
      </c>
      <c r="F939" t="s">
        <v>2</v>
      </c>
      <c r="G939" t="s">
        <v>32</v>
      </c>
      <c r="H939" t="s">
        <v>3396</v>
      </c>
      <c r="I939" s="2">
        <v>887000</v>
      </c>
      <c r="J939" t="s">
        <v>83</v>
      </c>
      <c r="K939" t="s">
        <v>2503</v>
      </c>
    </row>
    <row r="940" spans="1:11" x14ac:dyDescent="0.25">
      <c r="A940" t="s">
        <v>1635</v>
      </c>
      <c r="B940" s="3">
        <v>46292</v>
      </c>
      <c r="C940" t="s">
        <v>341</v>
      </c>
      <c r="D940" t="s">
        <v>234</v>
      </c>
      <c r="E940">
        <v>41</v>
      </c>
      <c r="F940" t="s">
        <v>2</v>
      </c>
      <c r="G940" t="s">
        <v>22</v>
      </c>
      <c r="H940" t="s">
        <v>3397</v>
      </c>
      <c r="I940" s="2">
        <v>1606000</v>
      </c>
      <c r="J940" t="s">
        <v>161</v>
      </c>
      <c r="K940" t="s">
        <v>2500</v>
      </c>
    </row>
    <row r="941" spans="1:11" x14ac:dyDescent="0.25">
      <c r="A941" t="s">
        <v>1636</v>
      </c>
      <c r="B941" s="3">
        <v>46292</v>
      </c>
      <c r="C941" t="s">
        <v>642</v>
      </c>
      <c r="D941" t="s">
        <v>585</v>
      </c>
      <c r="E941">
        <v>34</v>
      </c>
      <c r="F941" t="s">
        <v>355</v>
      </c>
      <c r="G941" t="s">
        <v>55</v>
      </c>
      <c r="H941" t="s">
        <v>3398</v>
      </c>
      <c r="I941" s="2">
        <v>26000</v>
      </c>
      <c r="J941" t="s">
        <v>79</v>
      </c>
      <c r="K941" t="s">
        <v>2509</v>
      </c>
    </row>
    <row r="942" spans="1:11" x14ac:dyDescent="0.25">
      <c r="A942" t="s">
        <v>1637</v>
      </c>
      <c r="B942" s="3">
        <v>46292</v>
      </c>
      <c r="C942" t="s">
        <v>141</v>
      </c>
      <c r="D942" t="s">
        <v>66</v>
      </c>
      <c r="E942">
        <v>20</v>
      </c>
      <c r="F942" t="s">
        <v>2</v>
      </c>
      <c r="G942" t="s">
        <v>32</v>
      </c>
      <c r="H942" t="s">
        <v>3399</v>
      </c>
      <c r="I942" s="2">
        <v>175000</v>
      </c>
      <c r="J942" t="s">
        <v>142</v>
      </c>
      <c r="K942" t="s">
        <v>2500</v>
      </c>
    </row>
    <row r="943" spans="1:11" x14ac:dyDescent="0.25">
      <c r="A943" t="s">
        <v>1638</v>
      </c>
      <c r="B943" s="3">
        <v>46292</v>
      </c>
      <c r="C943" t="s">
        <v>470</v>
      </c>
      <c r="D943" t="s">
        <v>471</v>
      </c>
      <c r="E943">
        <v>36</v>
      </c>
      <c r="F943" t="s">
        <v>355</v>
      </c>
      <c r="G943" t="s">
        <v>32</v>
      </c>
      <c r="H943" t="s">
        <v>3400</v>
      </c>
      <c r="I943" s="2">
        <v>30000</v>
      </c>
      <c r="J943" t="s">
        <v>195</v>
      </c>
      <c r="K943" t="s">
        <v>2513</v>
      </c>
    </row>
    <row r="944" spans="1:11" x14ac:dyDescent="0.25">
      <c r="A944" t="s">
        <v>1639</v>
      </c>
      <c r="B944" s="3">
        <v>46292</v>
      </c>
      <c r="C944" t="s">
        <v>339</v>
      </c>
      <c r="D944" t="s">
        <v>223</v>
      </c>
      <c r="E944">
        <v>64</v>
      </c>
      <c r="F944" t="s">
        <v>2</v>
      </c>
      <c r="G944" t="s">
        <v>17</v>
      </c>
      <c r="H944" t="s">
        <v>3401</v>
      </c>
      <c r="I944" s="2">
        <v>397000</v>
      </c>
      <c r="J944" t="s">
        <v>34</v>
      </c>
      <c r="K944" t="s">
        <v>2509</v>
      </c>
    </row>
    <row r="945" spans="1:11" x14ac:dyDescent="0.25">
      <c r="A945" t="s">
        <v>1640</v>
      </c>
      <c r="B945" s="3">
        <v>46292</v>
      </c>
      <c r="C945" t="s">
        <v>258</v>
      </c>
      <c r="D945" t="s">
        <v>210</v>
      </c>
      <c r="E945">
        <v>57</v>
      </c>
      <c r="F945" t="s">
        <v>2</v>
      </c>
      <c r="G945" t="s">
        <v>32</v>
      </c>
      <c r="H945" t="s">
        <v>3402</v>
      </c>
      <c r="I945" s="2">
        <v>3994000</v>
      </c>
      <c r="J945" t="s">
        <v>259</v>
      </c>
      <c r="K945" t="s">
        <v>2513</v>
      </c>
    </row>
    <row r="946" spans="1:11" x14ac:dyDescent="0.25">
      <c r="A946" t="s">
        <v>1641</v>
      </c>
      <c r="B946" s="3">
        <v>46292</v>
      </c>
      <c r="C946" t="s">
        <v>540</v>
      </c>
      <c r="D946" t="s">
        <v>476</v>
      </c>
      <c r="E946">
        <v>38</v>
      </c>
      <c r="F946" t="s">
        <v>477</v>
      </c>
      <c r="G946" t="s">
        <v>40</v>
      </c>
      <c r="H946" t="s">
        <v>3403</v>
      </c>
      <c r="I946" s="2">
        <v>4000</v>
      </c>
      <c r="J946" t="s">
        <v>324</v>
      </c>
      <c r="K946" t="s">
        <v>2500</v>
      </c>
    </row>
    <row r="947" spans="1:11" x14ac:dyDescent="0.25">
      <c r="A947" t="s">
        <v>1642</v>
      </c>
      <c r="B947" s="3">
        <v>46292</v>
      </c>
      <c r="C947" t="s">
        <v>301</v>
      </c>
      <c r="D947" t="s">
        <v>240</v>
      </c>
      <c r="E947">
        <v>42</v>
      </c>
      <c r="F947" t="s">
        <v>2</v>
      </c>
      <c r="G947" t="s">
        <v>36</v>
      </c>
      <c r="H947" t="s">
        <v>3404</v>
      </c>
      <c r="I947" s="2">
        <v>646000</v>
      </c>
      <c r="J947" t="s">
        <v>259</v>
      </c>
      <c r="K947" t="s">
        <v>2500</v>
      </c>
    </row>
    <row r="948" spans="1:11" x14ac:dyDescent="0.25">
      <c r="A948" t="s">
        <v>1643</v>
      </c>
      <c r="B948" s="3">
        <v>46292</v>
      </c>
      <c r="C948" t="s">
        <v>616</v>
      </c>
      <c r="D948" t="s">
        <v>589</v>
      </c>
      <c r="E948">
        <v>39</v>
      </c>
      <c r="F948" t="s">
        <v>469</v>
      </c>
      <c r="G948" t="s">
        <v>36</v>
      </c>
      <c r="H948" t="s">
        <v>3405</v>
      </c>
      <c r="I948" s="2">
        <v>5000</v>
      </c>
      <c r="J948" t="s">
        <v>110</v>
      </c>
      <c r="K948" t="s">
        <v>2503</v>
      </c>
    </row>
    <row r="949" spans="1:11" x14ac:dyDescent="0.25">
      <c r="A949" t="s">
        <v>1644</v>
      </c>
      <c r="B949" s="3">
        <v>46292</v>
      </c>
      <c r="C949" t="s">
        <v>408</v>
      </c>
      <c r="D949" t="s">
        <v>354</v>
      </c>
      <c r="E949">
        <v>68</v>
      </c>
      <c r="F949" t="s">
        <v>355</v>
      </c>
      <c r="G949" t="s">
        <v>36</v>
      </c>
      <c r="H949" t="s">
        <v>3406</v>
      </c>
      <c r="I949" s="2">
        <v>27000</v>
      </c>
      <c r="J949" t="s">
        <v>219</v>
      </c>
      <c r="K949" t="s">
        <v>2500</v>
      </c>
    </row>
    <row r="950" spans="1:11" x14ac:dyDescent="0.25">
      <c r="A950" t="s">
        <v>1645</v>
      </c>
      <c r="B950" s="3">
        <v>46292</v>
      </c>
      <c r="C950" t="s">
        <v>417</v>
      </c>
      <c r="D950" t="s">
        <v>349</v>
      </c>
      <c r="E950">
        <v>62</v>
      </c>
      <c r="F950" t="s">
        <v>2</v>
      </c>
      <c r="G950" t="s">
        <v>85</v>
      </c>
      <c r="H950" t="s">
        <v>3407</v>
      </c>
      <c r="I950" s="2">
        <v>5000</v>
      </c>
      <c r="J950" t="s">
        <v>75</v>
      </c>
      <c r="K950" t="s">
        <v>2500</v>
      </c>
    </row>
    <row r="951" spans="1:11" x14ac:dyDescent="0.25">
      <c r="A951" t="s">
        <v>1646</v>
      </c>
      <c r="B951" s="3">
        <v>46292</v>
      </c>
      <c r="C951" t="s">
        <v>162</v>
      </c>
      <c r="D951" t="s">
        <v>163</v>
      </c>
      <c r="E951">
        <v>66</v>
      </c>
      <c r="F951" t="s">
        <v>2</v>
      </c>
      <c r="G951" t="s">
        <v>40</v>
      </c>
      <c r="H951" t="s">
        <v>3408</v>
      </c>
      <c r="I951" s="2">
        <v>66000</v>
      </c>
      <c r="J951" t="s">
        <v>164</v>
      </c>
      <c r="K951" t="s">
        <v>2503</v>
      </c>
    </row>
    <row r="952" spans="1:11" x14ac:dyDescent="0.25">
      <c r="A952" t="s">
        <v>1647</v>
      </c>
      <c r="B952" s="3">
        <v>46292</v>
      </c>
      <c r="C952" t="s">
        <v>559</v>
      </c>
      <c r="D952" t="s">
        <v>502</v>
      </c>
      <c r="E952">
        <v>57</v>
      </c>
      <c r="F952" t="s">
        <v>469</v>
      </c>
      <c r="G952" t="s">
        <v>61</v>
      </c>
      <c r="H952" t="s">
        <v>3409</v>
      </c>
      <c r="I952" s="2">
        <v>92000</v>
      </c>
      <c r="J952" t="s">
        <v>324</v>
      </c>
      <c r="K952" t="s">
        <v>2513</v>
      </c>
    </row>
    <row r="953" spans="1:11" x14ac:dyDescent="0.25">
      <c r="A953" t="s">
        <v>1648</v>
      </c>
      <c r="B953" s="3">
        <v>46292</v>
      </c>
      <c r="C953" t="s">
        <v>226</v>
      </c>
      <c r="D953" t="s">
        <v>227</v>
      </c>
      <c r="E953">
        <v>63</v>
      </c>
      <c r="F953" t="s">
        <v>2</v>
      </c>
      <c r="G953" t="s">
        <v>17</v>
      </c>
      <c r="H953" t="s">
        <v>3410</v>
      </c>
      <c r="I953" s="2">
        <v>851000</v>
      </c>
      <c r="J953" t="s">
        <v>201</v>
      </c>
      <c r="K953" t="s">
        <v>2503</v>
      </c>
    </row>
    <row r="954" spans="1:11" x14ac:dyDescent="0.25">
      <c r="A954" t="s">
        <v>1649</v>
      </c>
      <c r="B954" s="3">
        <v>46292</v>
      </c>
      <c r="C954" t="s">
        <v>624</v>
      </c>
      <c r="D954" t="s">
        <v>602</v>
      </c>
      <c r="E954">
        <v>36</v>
      </c>
      <c r="F954" t="s">
        <v>2</v>
      </c>
      <c r="G954" t="s">
        <v>81</v>
      </c>
      <c r="H954" t="s">
        <v>3411</v>
      </c>
      <c r="I954" s="2">
        <v>87000</v>
      </c>
      <c r="J954" t="s">
        <v>181</v>
      </c>
      <c r="K954" t="s">
        <v>2509</v>
      </c>
    </row>
    <row r="955" spans="1:11" x14ac:dyDescent="0.25">
      <c r="A955" t="s">
        <v>1650</v>
      </c>
      <c r="B955" s="3">
        <v>46292</v>
      </c>
      <c r="C955" t="s">
        <v>122</v>
      </c>
      <c r="D955" t="s">
        <v>54</v>
      </c>
      <c r="E955">
        <v>48</v>
      </c>
      <c r="F955" t="s">
        <v>2</v>
      </c>
      <c r="G955" t="s">
        <v>17</v>
      </c>
      <c r="H955" t="s">
        <v>3412</v>
      </c>
      <c r="I955" s="2">
        <v>169000</v>
      </c>
      <c r="J955" t="s">
        <v>98</v>
      </c>
      <c r="K955" t="s">
        <v>2509</v>
      </c>
    </row>
    <row r="956" spans="1:11" x14ac:dyDescent="0.25">
      <c r="A956" t="s">
        <v>1651</v>
      </c>
      <c r="B956" s="3">
        <v>46292</v>
      </c>
      <c r="C956" t="s">
        <v>315</v>
      </c>
      <c r="D956" t="s">
        <v>213</v>
      </c>
      <c r="E956">
        <v>59</v>
      </c>
      <c r="F956" t="s">
        <v>2</v>
      </c>
      <c r="G956" t="s">
        <v>85</v>
      </c>
      <c r="H956" t="s">
        <v>3100</v>
      </c>
      <c r="I956" s="2">
        <v>6011000</v>
      </c>
      <c r="J956" t="s">
        <v>189</v>
      </c>
      <c r="K956" t="s">
        <v>2503</v>
      </c>
    </row>
    <row r="957" spans="1:11" x14ac:dyDescent="0.25">
      <c r="A957" t="s">
        <v>1652</v>
      </c>
      <c r="B957" s="3">
        <v>46292</v>
      </c>
      <c r="C957" t="s">
        <v>392</v>
      </c>
      <c r="D957" t="s">
        <v>349</v>
      </c>
      <c r="E957">
        <v>57</v>
      </c>
      <c r="F957" t="s">
        <v>2</v>
      </c>
      <c r="G957" t="s">
        <v>40</v>
      </c>
      <c r="H957" t="s">
        <v>3413</v>
      </c>
      <c r="I957" s="2">
        <v>15000</v>
      </c>
      <c r="J957" t="s">
        <v>24</v>
      </c>
      <c r="K957" t="s">
        <v>2500</v>
      </c>
    </row>
    <row r="958" spans="1:11" x14ac:dyDescent="0.25">
      <c r="A958" t="s">
        <v>1653</v>
      </c>
      <c r="B958" s="3">
        <v>46292</v>
      </c>
      <c r="C958" t="s">
        <v>553</v>
      </c>
      <c r="D958" t="s">
        <v>476</v>
      </c>
      <c r="E958">
        <v>12</v>
      </c>
      <c r="F958" t="s">
        <v>477</v>
      </c>
      <c r="G958" t="s">
        <v>22</v>
      </c>
      <c r="H958" t="s">
        <v>3414</v>
      </c>
      <c r="I958" s="2">
        <v>8000</v>
      </c>
      <c r="J958" t="s">
        <v>324</v>
      </c>
      <c r="K958" t="s">
        <v>2509</v>
      </c>
    </row>
    <row r="959" spans="1:11" x14ac:dyDescent="0.25">
      <c r="A959" t="s">
        <v>1654</v>
      </c>
      <c r="B959" s="3">
        <v>46293</v>
      </c>
      <c r="C959" t="s">
        <v>573</v>
      </c>
      <c r="D959" t="s">
        <v>502</v>
      </c>
      <c r="E959">
        <v>42</v>
      </c>
      <c r="F959" t="s">
        <v>469</v>
      </c>
      <c r="G959" t="s">
        <v>81</v>
      </c>
      <c r="H959" t="s">
        <v>3284</v>
      </c>
      <c r="I959" s="2">
        <v>59000</v>
      </c>
      <c r="J959" t="s">
        <v>574</v>
      </c>
      <c r="K959" t="s">
        <v>2513</v>
      </c>
    </row>
    <row r="960" spans="1:11" x14ac:dyDescent="0.25">
      <c r="A960" t="s">
        <v>1655</v>
      </c>
      <c r="B960" s="3">
        <v>46293</v>
      </c>
      <c r="C960" t="s">
        <v>20</v>
      </c>
      <c r="D960" t="s">
        <v>21</v>
      </c>
      <c r="E960">
        <v>7</v>
      </c>
      <c r="F960" t="s">
        <v>2</v>
      </c>
      <c r="G960" t="s">
        <v>22</v>
      </c>
      <c r="H960" t="s">
        <v>3415</v>
      </c>
      <c r="I960" s="2">
        <v>31000</v>
      </c>
      <c r="J960" t="s">
        <v>24</v>
      </c>
      <c r="K960" t="s">
        <v>2509</v>
      </c>
    </row>
    <row r="961" spans="1:11" x14ac:dyDescent="0.25">
      <c r="A961" t="s">
        <v>1656</v>
      </c>
      <c r="B961" s="3">
        <v>46293</v>
      </c>
      <c r="C961" t="s">
        <v>406</v>
      </c>
      <c r="D961" t="s">
        <v>366</v>
      </c>
      <c r="E961">
        <v>4</v>
      </c>
      <c r="F961" t="s">
        <v>2</v>
      </c>
      <c r="G961" t="s">
        <v>32</v>
      </c>
      <c r="H961" t="s">
        <v>3416</v>
      </c>
      <c r="I961" s="2">
        <v>18000</v>
      </c>
      <c r="J961" t="s">
        <v>64</v>
      </c>
      <c r="K961" t="s">
        <v>2503</v>
      </c>
    </row>
    <row r="962" spans="1:11" x14ac:dyDescent="0.25">
      <c r="A962" t="s">
        <v>1657</v>
      </c>
      <c r="B962" s="3">
        <v>46293</v>
      </c>
      <c r="C962" t="s">
        <v>233</v>
      </c>
      <c r="D962" t="s">
        <v>234</v>
      </c>
      <c r="E962">
        <v>38</v>
      </c>
      <c r="F962" t="s">
        <v>2</v>
      </c>
      <c r="G962" t="s">
        <v>17</v>
      </c>
      <c r="H962" t="s">
        <v>3417</v>
      </c>
      <c r="I962" s="2">
        <v>929000</v>
      </c>
      <c r="J962" t="s">
        <v>87</v>
      </c>
      <c r="K962" t="s">
        <v>2513</v>
      </c>
    </row>
    <row r="963" spans="1:11" x14ac:dyDescent="0.25">
      <c r="A963" t="s">
        <v>1658</v>
      </c>
      <c r="B963" s="3">
        <v>46293</v>
      </c>
      <c r="C963" t="s">
        <v>318</v>
      </c>
      <c r="D963" t="s">
        <v>240</v>
      </c>
      <c r="E963">
        <v>61</v>
      </c>
      <c r="F963" t="s">
        <v>2</v>
      </c>
      <c r="G963" t="s">
        <v>55</v>
      </c>
      <c r="H963" t="s">
        <v>3418</v>
      </c>
      <c r="I963" s="2">
        <v>553000</v>
      </c>
      <c r="J963" t="s">
        <v>24</v>
      </c>
      <c r="K963" t="s">
        <v>2509</v>
      </c>
    </row>
    <row r="964" spans="1:11" x14ac:dyDescent="0.25">
      <c r="A964" t="s">
        <v>1659</v>
      </c>
      <c r="B964" s="3">
        <v>46293</v>
      </c>
      <c r="C964" t="s">
        <v>642</v>
      </c>
      <c r="D964" t="s">
        <v>585</v>
      </c>
      <c r="E964">
        <v>27</v>
      </c>
      <c r="F964" t="s">
        <v>355</v>
      </c>
      <c r="G964" t="s">
        <v>55</v>
      </c>
      <c r="H964" t="s">
        <v>3419</v>
      </c>
      <c r="I964" s="2">
        <v>26000</v>
      </c>
      <c r="J964" t="s">
        <v>79</v>
      </c>
      <c r="K964" t="s">
        <v>2503</v>
      </c>
    </row>
    <row r="965" spans="1:11" x14ac:dyDescent="0.25">
      <c r="A965" t="s">
        <v>1660</v>
      </c>
      <c r="B965" s="3">
        <v>46293</v>
      </c>
      <c r="C965" t="s">
        <v>503</v>
      </c>
      <c r="D965" t="s">
        <v>476</v>
      </c>
      <c r="E965">
        <v>42</v>
      </c>
      <c r="F965" t="s">
        <v>477</v>
      </c>
      <c r="G965" t="s">
        <v>36</v>
      </c>
      <c r="H965" t="s">
        <v>3420</v>
      </c>
      <c r="I965" s="2">
        <v>18000</v>
      </c>
      <c r="J965" t="s">
        <v>259</v>
      </c>
      <c r="K965" t="s">
        <v>2513</v>
      </c>
    </row>
    <row r="966" spans="1:11" x14ac:dyDescent="0.25">
      <c r="A966" t="s">
        <v>1661</v>
      </c>
      <c r="B966" s="3">
        <v>46293</v>
      </c>
      <c r="C966" t="s">
        <v>497</v>
      </c>
      <c r="D966" t="s">
        <v>471</v>
      </c>
      <c r="E966">
        <v>6</v>
      </c>
      <c r="F966" t="s">
        <v>355</v>
      </c>
      <c r="G966" t="s">
        <v>36</v>
      </c>
      <c r="H966" t="s">
        <v>3421</v>
      </c>
      <c r="I966" s="2">
        <v>25000</v>
      </c>
      <c r="J966" t="s">
        <v>67</v>
      </c>
      <c r="K966" t="s">
        <v>2513</v>
      </c>
    </row>
    <row r="967" spans="1:11" x14ac:dyDescent="0.25">
      <c r="A967" t="s">
        <v>1662</v>
      </c>
      <c r="B967" s="3">
        <v>46293</v>
      </c>
      <c r="C967" t="s">
        <v>546</v>
      </c>
      <c r="D967" t="s">
        <v>490</v>
      </c>
      <c r="E967">
        <v>48</v>
      </c>
      <c r="F967" t="s">
        <v>355</v>
      </c>
      <c r="G967" t="s">
        <v>36</v>
      </c>
      <c r="H967" t="s">
        <v>3422</v>
      </c>
      <c r="I967" s="2">
        <v>23000</v>
      </c>
      <c r="J967" t="s">
        <v>57</v>
      </c>
      <c r="K967" t="s">
        <v>2503</v>
      </c>
    </row>
    <row r="968" spans="1:11" x14ac:dyDescent="0.25">
      <c r="A968" t="s">
        <v>1663</v>
      </c>
      <c r="B968" s="3">
        <v>46293</v>
      </c>
      <c r="C968" t="s">
        <v>335</v>
      </c>
      <c r="D968" t="s">
        <v>218</v>
      </c>
      <c r="E968">
        <v>13</v>
      </c>
      <c r="F968" t="s">
        <v>2</v>
      </c>
      <c r="G968" t="s">
        <v>55</v>
      </c>
      <c r="H968" t="s">
        <v>3423</v>
      </c>
      <c r="I968" s="2">
        <v>2212000</v>
      </c>
      <c r="J968" t="s">
        <v>147</v>
      </c>
      <c r="K968" t="s">
        <v>2509</v>
      </c>
    </row>
    <row r="969" spans="1:11" x14ac:dyDescent="0.25">
      <c r="A969" t="s">
        <v>1664</v>
      </c>
      <c r="B969" s="3">
        <v>46293</v>
      </c>
      <c r="C969" t="s">
        <v>460</v>
      </c>
      <c r="D969" t="s">
        <v>366</v>
      </c>
      <c r="E969">
        <v>36</v>
      </c>
      <c r="F969" t="s">
        <v>2</v>
      </c>
      <c r="G969" t="s">
        <v>55</v>
      </c>
      <c r="H969" t="s">
        <v>3424</v>
      </c>
      <c r="I969" s="2">
        <v>35000</v>
      </c>
      <c r="J969" t="s">
        <v>201</v>
      </c>
      <c r="K969" t="s">
        <v>2500</v>
      </c>
    </row>
    <row r="970" spans="1:11" x14ac:dyDescent="0.25">
      <c r="A970" t="s">
        <v>1665</v>
      </c>
      <c r="B970" s="3">
        <v>46293</v>
      </c>
      <c r="C970" t="s">
        <v>418</v>
      </c>
      <c r="D970" t="s">
        <v>349</v>
      </c>
      <c r="E970">
        <v>17</v>
      </c>
      <c r="F970" t="s">
        <v>2</v>
      </c>
      <c r="G970" t="s">
        <v>32</v>
      </c>
      <c r="H970" t="s">
        <v>3425</v>
      </c>
      <c r="I970" s="2">
        <v>4000</v>
      </c>
      <c r="J970" t="s">
        <v>250</v>
      </c>
      <c r="K970" t="s">
        <v>2509</v>
      </c>
    </row>
    <row r="971" spans="1:11" x14ac:dyDescent="0.25">
      <c r="A971" t="s">
        <v>1666</v>
      </c>
      <c r="B971" s="3">
        <v>46293</v>
      </c>
      <c r="C971" t="s">
        <v>554</v>
      </c>
      <c r="D971" t="s">
        <v>502</v>
      </c>
      <c r="E971">
        <v>63</v>
      </c>
      <c r="F971" t="s">
        <v>469</v>
      </c>
      <c r="G971" t="s">
        <v>81</v>
      </c>
      <c r="H971" t="s">
        <v>3426</v>
      </c>
      <c r="I971" s="2">
        <v>110000</v>
      </c>
      <c r="J971" t="s">
        <v>265</v>
      </c>
      <c r="K971" t="s">
        <v>2513</v>
      </c>
    </row>
    <row r="972" spans="1:11" x14ac:dyDescent="0.25">
      <c r="A972" t="s">
        <v>1667</v>
      </c>
      <c r="B972" s="3">
        <v>46293</v>
      </c>
      <c r="C972" t="s">
        <v>321</v>
      </c>
      <c r="D972" t="s">
        <v>234</v>
      </c>
      <c r="E972">
        <v>60</v>
      </c>
      <c r="F972" t="s">
        <v>2</v>
      </c>
      <c r="G972" t="s">
        <v>40</v>
      </c>
      <c r="H972" t="s">
        <v>3427</v>
      </c>
      <c r="I972" s="2">
        <v>355000</v>
      </c>
      <c r="J972" t="s">
        <v>230</v>
      </c>
      <c r="K972" t="s">
        <v>2509</v>
      </c>
    </row>
    <row r="973" spans="1:11" x14ac:dyDescent="0.25">
      <c r="A973" t="s">
        <v>1668</v>
      </c>
      <c r="B973" s="3">
        <v>46293</v>
      </c>
      <c r="C973" t="s">
        <v>536</v>
      </c>
      <c r="D973" t="s">
        <v>481</v>
      </c>
      <c r="E973">
        <v>48</v>
      </c>
      <c r="F973" t="s">
        <v>2</v>
      </c>
      <c r="G973" t="s">
        <v>22</v>
      </c>
      <c r="H973" t="s">
        <v>3428</v>
      </c>
      <c r="I973" s="2">
        <v>193000</v>
      </c>
      <c r="J973" t="s">
        <v>221</v>
      </c>
      <c r="K973" t="s">
        <v>2500</v>
      </c>
    </row>
    <row r="974" spans="1:11" x14ac:dyDescent="0.25">
      <c r="A974" t="s">
        <v>1669</v>
      </c>
      <c r="B974" s="3">
        <v>46293</v>
      </c>
      <c r="C974" t="s">
        <v>371</v>
      </c>
      <c r="D974" t="s">
        <v>364</v>
      </c>
      <c r="E974">
        <v>52</v>
      </c>
      <c r="F974" t="s">
        <v>358</v>
      </c>
      <c r="G974" t="s">
        <v>40</v>
      </c>
      <c r="H974" t="s">
        <v>3429</v>
      </c>
      <c r="I974" s="2">
        <v>25000</v>
      </c>
      <c r="J974" t="s">
        <v>121</v>
      </c>
      <c r="K974" t="s">
        <v>2503</v>
      </c>
    </row>
    <row r="975" spans="1:11" x14ac:dyDescent="0.25">
      <c r="A975" t="s">
        <v>1670</v>
      </c>
      <c r="B975" s="3">
        <v>46293</v>
      </c>
      <c r="C975" t="s">
        <v>465</v>
      </c>
      <c r="D975" t="s">
        <v>357</v>
      </c>
      <c r="E975">
        <v>66</v>
      </c>
      <c r="F975" t="s">
        <v>358</v>
      </c>
      <c r="G975" t="s">
        <v>61</v>
      </c>
      <c r="H975" t="s">
        <v>3430</v>
      </c>
      <c r="I975" s="2">
        <v>43000</v>
      </c>
      <c r="J975" t="s">
        <v>221</v>
      </c>
      <c r="K975" t="s">
        <v>2503</v>
      </c>
    </row>
    <row r="976" spans="1:11" x14ac:dyDescent="0.25">
      <c r="A976" t="s">
        <v>1671</v>
      </c>
      <c r="B976" s="3">
        <v>46293</v>
      </c>
      <c r="C976" t="s">
        <v>663</v>
      </c>
      <c r="D976" t="s">
        <v>587</v>
      </c>
      <c r="E976">
        <v>45</v>
      </c>
      <c r="F976" t="s">
        <v>2</v>
      </c>
      <c r="G976" t="s">
        <v>22</v>
      </c>
      <c r="H976" t="s">
        <v>3431</v>
      </c>
      <c r="I976" s="2">
        <v>14000</v>
      </c>
      <c r="J976" t="s">
        <v>464</v>
      </c>
      <c r="K976" t="s">
        <v>2500</v>
      </c>
    </row>
    <row r="977" spans="1:11" x14ac:dyDescent="0.25">
      <c r="A977" t="s">
        <v>1672</v>
      </c>
      <c r="B977" s="3">
        <v>46293</v>
      </c>
      <c r="C977" t="s">
        <v>473</v>
      </c>
      <c r="D977" t="s">
        <v>474</v>
      </c>
      <c r="E977">
        <v>20</v>
      </c>
      <c r="F977" t="s">
        <v>2</v>
      </c>
      <c r="G977" t="s">
        <v>32</v>
      </c>
      <c r="H977" t="s">
        <v>3432</v>
      </c>
      <c r="I977" s="2">
        <v>2000</v>
      </c>
      <c r="J977" t="s">
        <v>164</v>
      </c>
      <c r="K977" t="s">
        <v>2513</v>
      </c>
    </row>
    <row r="978" spans="1:11" x14ac:dyDescent="0.25">
      <c r="A978" t="s">
        <v>1673</v>
      </c>
      <c r="B978" s="3">
        <v>46293</v>
      </c>
      <c r="C978" t="s">
        <v>398</v>
      </c>
      <c r="D978" t="s">
        <v>344</v>
      </c>
      <c r="E978">
        <v>13</v>
      </c>
      <c r="F978" t="s">
        <v>346</v>
      </c>
      <c r="G978" t="s">
        <v>17</v>
      </c>
      <c r="H978" t="s">
        <v>3433</v>
      </c>
      <c r="I978" s="2">
        <v>66000</v>
      </c>
      <c r="J978" t="s">
        <v>108</v>
      </c>
      <c r="K978" t="s">
        <v>2500</v>
      </c>
    </row>
    <row r="979" spans="1:11" x14ac:dyDescent="0.25">
      <c r="A979" t="s">
        <v>1674</v>
      </c>
      <c r="B979" s="3">
        <v>46293</v>
      </c>
      <c r="C979" t="s">
        <v>430</v>
      </c>
      <c r="D979" t="s">
        <v>349</v>
      </c>
      <c r="E979">
        <v>38</v>
      </c>
      <c r="F979" t="s">
        <v>2</v>
      </c>
      <c r="G979" t="s">
        <v>22</v>
      </c>
      <c r="H979" t="s">
        <v>3434</v>
      </c>
      <c r="I979" s="2">
        <v>10000</v>
      </c>
      <c r="J979" t="s">
        <v>64</v>
      </c>
      <c r="K979" t="s">
        <v>2500</v>
      </c>
    </row>
    <row r="980" spans="1:11" x14ac:dyDescent="0.25">
      <c r="A980" t="s">
        <v>1675</v>
      </c>
      <c r="B980" s="3">
        <v>46293</v>
      </c>
      <c r="C980" t="s">
        <v>494</v>
      </c>
      <c r="D980" t="s">
        <v>471</v>
      </c>
      <c r="E980">
        <v>34</v>
      </c>
      <c r="F980" t="s">
        <v>355</v>
      </c>
      <c r="G980" t="s">
        <v>55</v>
      </c>
      <c r="H980" t="s">
        <v>3435</v>
      </c>
      <c r="I980" s="2">
        <v>51000</v>
      </c>
      <c r="J980" t="s">
        <v>181</v>
      </c>
      <c r="K980" t="s">
        <v>2500</v>
      </c>
    </row>
    <row r="981" spans="1:11" x14ac:dyDescent="0.25">
      <c r="A981" t="s">
        <v>1676</v>
      </c>
      <c r="B981" s="3">
        <v>46293</v>
      </c>
      <c r="C981" t="s">
        <v>590</v>
      </c>
      <c r="D981" t="s">
        <v>585</v>
      </c>
      <c r="E981">
        <v>61</v>
      </c>
      <c r="F981" t="s">
        <v>355</v>
      </c>
      <c r="G981" t="s">
        <v>32</v>
      </c>
      <c r="H981" t="s">
        <v>3436</v>
      </c>
      <c r="I981" s="2">
        <v>27000</v>
      </c>
      <c r="J981" t="s">
        <v>246</v>
      </c>
      <c r="K981" t="s">
        <v>2500</v>
      </c>
    </row>
    <row r="982" spans="1:11" x14ac:dyDescent="0.25">
      <c r="A982" t="s">
        <v>1677</v>
      </c>
      <c r="B982" s="3">
        <v>46293</v>
      </c>
      <c r="C982" t="s">
        <v>673</v>
      </c>
      <c r="D982" t="s">
        <v>594</v>
      </c>
      <c r="E982">
        <v>16</v>
      </c>
      <c r="F982" t="s">
        <v>595</v>
      </c>
      <c r="G982" t="s">
        <v>40</v>
      </c>
      <c r="H982" t="s">
        <v>3437</v>
      </c>
      <c r="I982" s="2">
        <v>14000</v>
      </c>
      <c r="J982" t="s">
        <v>87</v>
      </c>
      <c r="K982" t="s">
        <v>2513</v>
      </c>
    </row>
    <row r="983" spans="1:11" x14ac:dyDescent="0.25">
      <c r="A983" t="s">
        <v>1678</v>
      </c>
      <c r="B983" s="3">
        <v>46293</v>
      </c>
      <c r="C983" t="s">
        <v>328</v>
      </c>
      <c r="D983" t="s">
        <v>240</v>
      </c>
      <c r="E983">
        <v>26</v>
      </c>
      <c r="F983" t="s">
        <v>2</v>
      </c>
      <c r="G983" t="s">
        <v>85</v>
      </c>
      <c r="H983" t="s">
        <v>3438</v>
      </c>
      <c r="I983" s="2">
        <v>381000</v>
      </c>
      <c r="J983" t="s">
        <v>189</v>
      </c>
      <c r="K983" t="s">
        <v>2500</v>
      </c>
    </row>
    <row r="984" spans="1:11" x14ac:dyDescent="0.25">
      <c r="A984" t="s">
        <v>1679</v>
      </c>
      <c r="B984" s="3">
        <v>46293</v>
      </c>
      <c r="C984" t="s">
        <v>405</v>
      </c>
      <c r="D984" t="s">
        <v>344</v>
      </c>
      <c r="E984">
        <v>52</v>
      </c>
      <c r="F984" t="s">
        <v>346</v>
      </c>
      <c r="G984" t="s">
        <v>48</v>
      </c>
      <c r="H984" t="s">
        <v>3439</v>
      </c>
      <c r="I984" s="2">
        <v>65000</v>
      </c>
      <c r="J984" t="s">
        <v>121</v>
      </c>
      <c r="K984" t="s">
        <v>2513</v>
      </c>
    </row>
    <row r="985" spans="1:11" x14ac:dyDescent="0.25">
      <c r="A985" t="s">
        <v>1680</v>
      </c>
      <c r="B985" s="3">
        <v>46293</v>
      </c>
      <c r="C985" t="s">
        <v>516</v>
      </c>
      <c r="D985" t="s">
        <v>481</v>
      </c>
      <c r="E985">
        <v>18</v>
      </c>
      <c r="F985" t="s">
        <v>2</v>
      </c>
      <c r="G985" t="s">
        <v>36</v>
      </c>
      <c r="H985" t="s">
        <v>3440</v>
      </c>
      <c r="I985" s="2">
        <v>239000</v>
      </c>
      <c r="J985" t="s">
        <v>314</v>
      </c>
      <c r="K985" t="s">
        <v>2513</v>
      </c>
    </row>
    <row r="986" spans="1:11" x14ac:dyDescent="0.25">
      <c r="A986" t="s">
        <v>1681</v>
      </c>
      <c r="B986" s="3">
        <v>46293</v>
      </c>
      <c r="C986" t="s">
        <v>413</v>
      </c>
      <c r="D986" t="s">
        <v>360</v>
      </c>
      <c r="E986">
        <v>40</v>
      </c>
      <c r="F986" t="s">
        <v>358</v>
      </c>
      <c r="G986" t="s">
        <v>17</v>
      </c>
      <c r="H986" t="s">
        <v>3441</v>
      </c>
      <c r="I986" s="2">
        <v>18000</v>
      </c>
      <c r="J986" t="s">
        <v>368</v>
      </c>
      <c r="K986" t="s">
        <v>2503</v>
      </c>
    </row>
    <row r="987" spans="1:11" x14ac:dyDescent="0.25">
      <c r="A987" t="s">
        <v>1682</v>
      </c>
      <c r="B987" s="3">
        <v>46293</v>
      </c>
      <c r="C987" t="s">
        <v>557</v>
      </c>
      <c r="D987" t="s">
        <v>474</v>
      </c>
      <c r="E987">
        <v>32</v>
      </c>
      <c r="F987" t="s">
        <v>2</v>
      </c>
      <c r="G987" t="s">
        <v>22</v>
      </c>
      <c r="H987" t="s">
        <v>3413</v>
      </c>
      <c r="I987" s="2">
        <v>2000</v>
      </c>
      <c r="J987" t="s">
        <v>297</v>
      </c>
      <c r="K987" t="s">
        <v>2500</v>
      </c>
    </row>
    <row r="988" spans="1:11" x14ac:dyDescent="0.25">
      <c r="A988" t="s">
        <v>1683</v>
      </c>
      <c r="B988" s="3">
        <v>46293</v>
      </c>
      <c r="C988" t="s">
        <v>162</v>
      </c>
      <c r="D988" t="s">
        <v>163</v>
      </c>
      <c r="E988">
        <v>53</v>
      </c>
      <c r="F988" t="s">
        <v>2</v>
      </c>
      <c r="G988" t="s">
        <v>40</v>
      </c>
      <c r="H988" t="s">
        <v>3442</v>
      </c>
      <c r="I988" s="2">
        <v>66000</v>
      </c>
      <c r="J988" t="s">
        <v>164</v>
      </c>
      <c r="K988" t="s">
        <v>2509</v>
      </c>
    </row>
    <row r="989" spans="1:11" x14ac:dyDescent="0.25">
      <c r="A989" t="s">
        <v>1684</v>
      </c>
      <c r="B989" s="3">
        <v>46293</v>
      </c>
      <c r="C989" t="s">
        <v>282</v>
      </c>
      <c r="D989" t="s">
        <v>213</v>
      </c>
      <c r="E989">
        <v>35</v>
      </c>
      <c r="F989" t="s">
        <v>2</v>
      </c>
      <c r="G989" t="s">
        <v>55</v>
      </c>
      <c r="H989" t="s">
        <v>3443</v>
      </c>
      <c r="I989" s="2">
        <v>3794000</v>
      </c>
      <c r="J989" t="s">
        <v>83</v>
      </c>
      <c r="K989" t="s">
        <v>2513</v>
      </c>
    </row>
    <row r="990" spans="1:11" x14ac:dyDescent="0.25">
      <c r="A990" t="s">
        <v>1685</v>
      </c>
      <c r="B990" s="3">
        <v>46293</v>
      </c>
      <c r="C990" t="s">
        <v>681</v>
      </c>
      <c r="D990" t="s">
        <v>589</v>
      </c>
      <c r="E990">
        <v>67</v>
      </c>
      <c r="F990" t="s">
        <v>469</v>
      </c>
      <c r="G990" t="s">
        <v>36</v>
      </c>
      <c r="H990" t="s">
        <v>3444</v>
      </c>
      <c r="I990" s="2">
        <v>7000</v>
      </c>
      <c r="J990" t="s">
        <v>259</v>
      </c>
      <c r="K990" t="s">
        <v>2503</v>
      </c>
    </row>
    <row r="991" spans="1:11" x14ac:dyDescent="0.25">
      <c r="A991" t="s">
        <v>1686</v>
      </c>
      <c r="B991" s="3">
        <v>46293</v>
      </c>
      <c r="C991" t="s">
        <v>63</v>
      </c>
      <c r="D991" t="s">
        <v>26</v>
      </c>
      <c r="E991">
        <v>2</v>
      </c>
      <c r="F991" t="s">
        <v>2</v>
      </c>
      <c r="G991" t="s">
        <v>55</v>
      </c>
      <c r="H991" t="s">
        <v>3445</v>
      </c>
      <c r="I991" s="2">
        <v>515000</v>
      </c>
      <c r="J991" t="s">
        <v>64</v>
      </c>
      <c r="K991" t="s">
        <v>2500</v>
      </c>
    </row>
    <row r="992" spans="1:11" x14ac:dyDescent="0.25">
      <c r="A992" t="s">
        <v>1687</v>
      </c>
      <c r="B992" s="3">
        <v>46293</v>
      </c>
      <c r="C992" t="s">
        <v>313</v>
      </c>
      <c r="D992" t="s">
        <v>225</v>
      </c>
      <c r="E992">
        <v>24</v>
      </c>
      <c r="F992" t="s">
        <v>2</v>
      </c>
      <c r="G992" t="s">
        <v>55</v>
      </c>
      <c r="H992" t="s">
        <v>3446</v>
      </c>
      <c r="I992" s="2">
        <v>904000</v>
      </c>
      <c r="J992" t="s">
        <v>314</v>
      </c>
      <c r="K992" t="s">
        <v>2500</v>
      </c>
    </row>
    <row r="993" spans="1:11" x14ac:dyDescent="0.25">
      <c r="A993" t="s">
        <v>1688</v>
      </c>
      <c r="B993" s="3">
        <v>46293</v>
      </c>
      <c r="C993" t="s">
        <v>551</v>
      </c>
      <c r="D993" t="s">
        <v>484</v>
      </c>
      <c r="E993">
        <v>65</v>
      </c>
      <c r="F993" t="s">
        <v>469</v>
      </c>
      <c r="G993" t="s">
        <v>32</v>
      </c>
      <c r="H993" t="s">
        <v>3404</v>
      </c>
      <c r="I993" s="2">
        <v>51000</v>
      </c>
      <c r="J993" t="s">
        <v>230</v>
      </c>
      <c r="K993" t="s">
        <v>2500</v>
      </c>
    </row>
    <row r="994" spans="1:11" x14ac:dyDescent="0.25">
      <c r="A994" t="s">
        <v>1689</v>
      </c>
      <c r="B994" s="3">
        <v>46293</v>
      </c>
      <c r="C994" t="s">
        <v>131</v>
      </c>
      <c r="D994" t="s">
        <v>15</v>
      </c>
      <c r="E994">
        <v>45</v>
      </c>
      <c r="F994" t="s">
        <v>2</v>
      </c>
      <c r="G994" t="s">
        <v>36</v>
      </c>
      <c r="H994" t="s">
        <v>3447</v>
      </c>
      <c r="I994" s="2">
        <v>112000</v>
      </c>
      <c r="J994" t="s">
        <v>113</v>
      </c>
      <c r="K994" t="s">
        <v>2509</v>
      </c>
    </row>
    <row r="995" spans="1:11" x14ac:dyDescent="0.25">
      <c r="A995" t="s">
        <v>1690</v>
      </c>
      <c r="B995" s="3">
        <v>46293</v>
      </c>
      <c r="C995" t="s">
        <v>450</v>
      </c>
      <c r="D995" t="s">
        <v>349</v>
      </c>
      <c r="E995">
        <v>55</v>
      </c>
      <c r="F995" t="s">
        <v>2</v>
      </c>
      <c r="G995" t="s">
        <v>22</v>
      </c>
      <c r="H995" t="s">
        <v>3448</v>
      </c>
      <c r="I995" s="2">
        <v>15000</v>
      </c>
      <c r="J995" t="s">
        <v>121</v>
      </c>
      <c r="K995" t="s">
        <v>2513</v>
      </c>
    </row>
    <row r="996" spans="1:11" x14ac:dyDescent="0.25">
      <c r="A996" t="s">
        <v>1691</v>
      </c>
      <c r="B996" s="3">
        <v>46294</v>
      </c>
      <c r="C996" t="s">
        <v>609</v>
      </c>
      <c r="D996" t="s">
        <v>585</v>
      </c>
      <c r="E996">
        <v>29</v>
      </c>
      <c r="F996" t="s">
        <v>355</v>
      </c>
      <c r="G996" t="s">
        <v>55</v>
      </c>
      <c r="H996" t="s">
        <v>3257</v>
      </c>
      <c r="I996" s="2">
        <v>22000</v>
      </c>
      <c r="J996" t="s">
        <v>206</v>
      </c>
      <c r="K996" t="s">
        <v>2503</v>
      </c>
    </row>
    <row r="997" spans="1:11" x14ac:dyDescent="0.25">
      <c r="A997" t="s">
        <v>1692</v>
      </c>
      <c r="B997" s="3">
        <v>46294</v>
      </c>
      <c r="C997" t="s">
        <v>535</v>
      </c>
      <c r="D997" t="s">
        <v>467</v>
      </c>
      <c r="E997">
        <v>49</v>
      </c>
      <c r="F997" t="s">
        <v>469</v>
      </c>
      <c r="G997" t="s">
        <v>17</v>
      </c>
      <c r="H997" t="s">
        <v>3449</v>
      </c>
      <c r="I997" s="2">
        <v>46000</v>
      </c>
      <c r="J997" t="s">
        <v>327</v>
      </c>
      <c r="K997" t="s">
        <v>2513</v>
      </c>
    </row>
    <row r="998" spans="1:11" x14ac:dyDescent="0.25">
      <c r="A998" t="s">
        <v>1693</v>
      </c>
      <c r="B998" s="3">
        <v>46294</v>
      </c>
      <c r="C998" t="s">
        <v>25</v>
      </c>
      <c r="D998" t="s">
        <v>26</v>
      </c>
      <c r="E998">
        <v>36</v>
      </c>
      <c r="F998" t="s">
        <v>2</v>
      </c>
      <c r="G998" t="s">
        <v>17</v>
      </c>
      <c r="H998" t="s">
        <v>3450</v>
      </c>
      <c r="I998" s="2">
        <v>438000</v>
      </c>
      <c r="J998" t="s">
        <v>27</v>
      </c>
      <c r="K998" t="s">
        <v>2513</v>
      </c>
    </row>
    <row r="999" spans="1:11" x14ac:dyDescent="0.25">
      <c r="A999" t="s">
        <v>1694</v>
      </c>
      <c r="B999" s="3">
        <v>46294</v>
      </c>
      <c r="C999" t="s">
        <v>650</v>
      </c>
      <c r="D999" t="s">
        <v>587</v>
      </c>
      <c r="E999">
        <v>35</v>
      </c>
      <c r="F999" t="s">
        <v>2</v>
      </c>
      <c r="G999" t="s">
        <v>40</v>
      </c>
      <c r="H999" t="s">
        <v>3451</v>
      </c>
      <c r="I999" s="2">
        <v>14000</v>
      </c>
      <c r="J999" t="s">
        <v>289</v>
      </c>
      <c r="K999" t="s">
        <v>2503</v>
      </c>
    </row>
    <row r="1000" spans="1:11" x14ac:dyDescent="0.25">
      <c r="A1000" t="s">
        <v>1695</v>
      </c>
      <c r="B1000" s="3">
        <v>46294</v>
      </c>
      <c r="C1000" t="s">
        <v>375</v>
      </c>
      <c r="D1000" t="s">
        <v>364</v>
      </c>
      <c r="E1000">
        <v>60</v>
      </c>
      <c r="F1000" t="s">
        <v>358</v>
      </c>
      <c r="G1000" t="s">
        <v>55</v>
      </c>
      <c r="H1000" t="s">
        <v>3452</v>
      </c>
      <c r="I1000" s="2">
        <v>23000</v>
      </c>
      <c r="J1000" t="s">
        <v>110</v>
      </c>
      <c r="K1000" t="s">
        <v>2509</v>
      </c>
    </row>
    <row r="1001" spans="1:11" x14ac:dyDescent="0.25">
      <c r="A1001" t="s">
        <v>1696</v>
      </c>
      <c r="B1001" s="3">
        <v>46294</v>
      </c>
      <c r="C1001" t="s">
        <v>229</v>
      </c>
      <c r="D1001" t="s">
        <v>218</v>
      </c>
      <c r="E1001">
        <v>61</v>
      </c>
      <c r="F1001" t="s">
        <v>2</v>
      </c>
      <c r="G1001" t="s">
        <v>36</v>
      </c>
      <c r="H1001" t="s">
        <v>3453</v>
      </c>
      <c r="I1001" s="2">
        <v>1570000</v>
      </c>
      <c r="J1001" t="s">
        <v>230</v>
      </c>
      <c r="K1001" t="s">
        <v>2513</v>
      </c>
    </row>
    <row r="1002" spans="1:11" x14ac:dyDescent="0.25">
      <c r="A1002" t="s">
        <v>1697</v>
      </c>
      <c r="B1002" s="3">
        <v>46294</v>
      </c>
      <c r="C1002" t="s">
        <v>576</v>
      </c>
      <c r="D1002" t="s">
        <v>471</v>
      </c>
      <c r="E1002">
        <v>16</v>
      </c>
      <c r="F1002" t="s">
        <v>355</v>
      </c>
      <c r="G1002" t="s">
        <v>48</v>
      </c>
      <c r="H1002" t="s">
        <v>3454</v>
      </c>
      <c r="I1002" s="2">
        <v>28000</v>
      </c>
      <c r="J1002" t="s">
        <v>106</v>
      </c>
      <c r="K1002" t="s">
        <v>2513</v>
      </c>
    </row>
    <row r="1003" spans="1:11" x14ac:dyDescent="0.25">
      <c r="A1003" t="s">
        <v>1698</v>
      </c>
      <c r="B1003" s="3">
        <v>46294</v>
      </c>
      <c r="C1003" t="s">
        <v>186</v>
      </c>
      <c r="D1003" t="s">
        <v>26</v>
      </c>
      <c r="E1003">
        <v>66</v>
      </c>
      <c r="F1003" t="s">
        <v>2</v>
      </c>
      <c r="G1003" t="s">
        <v>61</v>
      </c>
      <c r="H1003" t="s">
        <v>3455</v>
      </c>
      <c r="I1003" s="2">
        <v>606000</v>
      </c>
      <c r="J1003" t="s">
        <v>52</v>
      </c>
      <c r="K1003" t="s">
        <v>2509</v>
      </c>
    </row>
    <row r="1004" spans="1:11" x14ac:dyDescent="0.25">
      <c r="A1004" t="s">
        <v>1699</v>
      </c>
      <c r="B1004" s="3">
        <v>46294</v>
      </c>
      <c r="C1004" t="s">
        <v>342</v>
      </c>
      <c r="D1004" t="s">
        <v>240</v>
      </c>
      <c r="E1004">
        <v>62</v>
      </c>
      <c r="F1004" t="s">
        <v>2</v>
      </c>
      <c r="G1004" t="s">
        <v>36</v>
      </c>
      <c r="H1004" t="s">
        <v>3456</v>
      </c>
      <c r="I1004" s="2">
        <v>442000</v>
      </c>
      <c r="J1004" t="s">
        <v>195</v>
      </c>
      <c r="K1004" t="s">
        <v>2500</v>
      </c>
    </row>
    <row r="1005" spans="1:11" x14ac:dyDescent="0.25">
      <c r="A1005" t="s">
        <v>1700</v>
      </c>
      <c r="B1005" s="3">
        <v>46294</v>
      </c>
      <c r="C1005" t="s">
        <v>396</v>
      </c>
      <c r="D1005" t="s">
        <v>357</v>
      </c>
      <c r="E1005">
        <v>46</v>
      </c>
      <c r="F1005" t="s">
        <v>358</v>
      </c>
      <c r="G1005" t="s">
        <v>61</v>
      </c>
      <c r="H1005" t="s">
        <v>3457</v>
      </c>
      <c r="I1005" s="2">
        <v>29000</v>
      </c>
      <c r="J1005" t="s">
        <v>397</v>
      </c>
      <c r="K1005" t="s">
        <v>2509</v>
      </c>
    </row>
    <row r="1006" spans="1:11" x14ac:dyDescent="0.25">
      <c r="A1006" t="s">
        <v>1701</v>
      </c>
      <c r="B1006" s="3">
        <v>46294</v>
      </c>
      <c r="C1006" t="s">
        <v>663</v>
      </c>
      <c r="D1006" t="s">
        <v>587</v>
      </c>
      <c r="E1006">
        <v>8</v>
      </c>
      <c r="F1006" t="s">
        <v>2</v>
      </c>
      <c r="G1006" t="s">
        <v>22</v>
      </c>
      <c r="H1006" t="s">
        <v>3458</v>
      </c>
      <c r="I1006" s="2">
        <v>14000</v>
      </c>
      <c r="J1006" t="s">
        <v>464</v>
      </c>
      <c r="K1006" t="s">
        <v>2509</v>
      </c>
    </row>
    <row r="1007" spans="1:11" x14ac:dyDescent="0.25">
      <c r="A1007" t="s">
        <v>1702</v>
      </c>
      <c r="B1007" s="3">
        <v>46294</v>
      </c>
      <c r="C1007" t="s">
        <v>278</v>
      </c>
      <c r="D1007" t="s">
        <v>261</v>
      </c>
      <c r="E1007">
        <v>25</v>
      </c>
      <c r="F1007" t="s">
        <v>2</v>
      </c>
      <c r="G1007" t="s">
        <v>55</v>
      </c>
      <c r="H1007" t="s">
        <v>3459</v>
      </c>
      <c r="I1007" s="2">
        <v>507000</v>
      </c>
      <c r="J1007" t="s">
        <v>279</v>
      </c>
      <c r="K1007" t="s">
        <v>2500</v>
      </c>
    </row>
    <row r="1008" spans="1:11" x14ac:dyDescent="0.25">
      <c r="A1008" t="s">
        <v>1703</v>
      </c>
      <c r="B1008" s="3">
        <v>46294</v>
      </c>
      <c r="C1008" t="s">
        <v>413</v>
      </c>
      <c r="D1008" t="s">
        <v>360</v>
      </c>
      <c r="E1008">
        <v>37</v>
      </c>
      <c r="F1008" t="s">
        <v>358</v>
      </c>
      <c r="G1008" t="s">
        <v>17</v>
      </c>
      <c r="H1008" t="s">
        <v>3460</v>
      </c>
      <c r="I1008" s="2">
        <v>18000</v>
      </c>
      <c r="J1008" t="s">
        <v>368</v>
      </c>
      <c r="K1008" t="s">
        <v>2513</v>
      </c>
    </row>
    <row r="1009" spans="1:11" x14ac:dyDescent="0.25">
      <c r="A1009" t="s">
        <v>1704</v>
      </c>
      <c r="B1009" s="3">
        <v>46294</v>
      </c>
      <c r="C1009" t="s">
        <v>331</v>
      </c>
      <c r="D1009" t="s">
        <v>234</v>
      </c>
      <c r="E1009">
        <v>61</v>
      </c>
      <c r="F1009" t="s">
        <v>2</v>
      </c>
      <c r="G1009" t="s">
        <v>32</v>
      </c>
      <c r="H1009" t="s">
        <v>2548</v>
      </c>
      <c r="I1009" s="2">
        <v>1646000</v>
      </c>
      <c r="J1009" t="s">
        <v>57</v>
      </c>
      <c r="K1009" t="s">
        <v>2509</v>
      </c>
    </row>
    <row r="1010" spans="1:11" x14ac:dyDescent="0.25">
      <c r="A1010" t="s">
        <v>1705</v>
      </c>
      <c r="B1010" s="3">
        <v>46294</v>
      </c>
      <c r="C1010" t="s">
        <v>486</v>
      </c>
      <c r="D1010" t="s">
        <v>479</v>
      </c>
      <c r="E1010">
        <v>22</v>
      </c>
      <c r="F1010" t="s">
        <v>469</v>
      </c>
      <c r="G1010" t="s">
        <v>61</v>
      </c>
      <c r="H1010" t="s">
        <v>3461</v>
      </c>
      <c r="I1010" s="2">
        <v>34000</v>
      </c>
      <c r="J1010" t="s">
        <v>52</v>
      </c>
      <c r="K1010" t="s">
        <v>2513</v>
      </c>
    </row>
    <row r="1011" spans="1:11" x14ac:dyDescent="0.25">
      <c r="A1011" t="s">
        <v>1706</v>
      </c>
      <c r="B1011" s="3">
        <v>46294</v>
      </c>
      <c r="C1011" t="s">
        <v>196</v>
      </c>
      <c r="D1011" t="s">
        <v>47</v>
      </c>
      <c r="E1011">
        <v>9</v>
      </c>
      <c r="F1011" t="s">
        <v>2</v>
      </c>
      <c r="G1011" t="s">
        <v>85</v>
      </c>
      <c r="H1011" t="s">
        <v>3462</v>
      </c>
      <c r="I1011" s="2">
        <v>475000</v>
      </c>
      <c r="J1011" t="s">
        <v>164</v>
      </c>
      <c r="K1011" t="s">
        <v>2513</v>
      </c>
    </row>
    <row r="1012" spans="1:11" x14ac:dyDescent="0.25">
      <c r="A1012" t="s">
        <v>1707</v>
      </c>
      <c r="B1012" s="3">
        <v>46294</v>
      </c>
      <c r="C1012" t="s">
        <v>288</v>
      </c>
      <c r="D1012" t="s">
        <v>261</v>
      </c>
      <c r="E1012">
        <v>61</v>
      </c>
      <c r="F1012" t="s">
        <v>2</v>
      </c>
      <c r="G1012" t="s">
        <v>61</v>
      </c>
      <c r="H1012" t="s">
        <v>3463</v>
      </c>
      <c r="I1012" s="2">
        <v>339000</v>
      </c>
      <c r="J1012" t="s">
        <v>289</v>
      </c>
      <c r="K1012" t="s">
        <v>2503</v>
      </c>
    </row>
    <row r="1013" spans="1:11" x14ac:dyDescent="0.25">
      <c r="A1013" t="s">
        <v>1708</v>
      </c>
      <c r="B1013" s="3">
        <v>46294</v>
      </c>
      <c r="C1013" t="s">
        <v>402</v>
      </c>
      <c r="D1013" t="s">
        <v>344</v>
      </c>
      <c r="E1013">
        <v>55</v>
      </c>
      <c r="F1013" t="s">
        <v>346</v>
      </c>
      <c r="G1013" t="s">
        <v>85</v>
      </c>
      <c r="H1013" t="s">
        <v>3464</v>
      </c>
      <c r="I1013" s="2">
        <v>70000</v>
      </c>
      <c r="J1013" t="s">
        <v>27</v>
      </c>
      <c r="K1013" t="s">
        <v>2509</v>
      </c>
    </row>
    <row r="1014" spans="1:11" x14ac:dyDescent="0.25">
      <c r="A1014" t="s">
        <v>1709</v>
      </c>
      <c r="B1014" s="3">
        <v>46294</v>
      </c>
      <c r="C1014" t="s">
        <v>267</v>
      </c>
      <c r="D1014" t="s">
        <v>227</v>
      </c>
      <c r="E1014">
        <v>47</v>
      </c>
      <c r="F1014" t="s">
        <v>2</v>
      </c>
      <c r="G1014" t="s">
        <v>17</v>
      </c>
      <c r="H1014" t="s">
        <v>3465</v>
      </c>
      <c r="I1014" s="2">
        <v>579000</v>
      </c>
      <c r="J1014" t="s">
        <v>183</v>
      </c>
      <c r="K1014" t="s">
        <v>2509</v>
      </c>
    </row>
    <row r="1015" spans="1:11" x14ac:dyDescent="0.25">
      <c r="A1015" t="s">
        <v>1710</v>
      </c>
      <c r="B1015" s="3">
        <v>46294</v>
      </c>
      <c r="C1015" t="s">
        <v>660</v>
      </c>
      <c r="D1015" t="s">
        <v>629</v>
      </c>
      <c r="E1015">
        <v>34</v>
      </c>
      <c r="F1015" t="s">
        <v>355</v>
      </c>
      <c r="G1015" t="s">
        <v>48</v>
      </c>
      <c r="H1015" t="s">
        <v>3466</v>
      </c>
      <c r="I1015" s="2">
        <v>18000</v>
      </c>
      <c r="J1015" t="s">
        <v>312</v>
      </c>
      <c r="K1015" t="s">
        <v>2500</v>
      </c>
    </row>
    <row r="1016" spans="1:11" x14ac:dyDescent="0.25">
      <c r="A1016" t="s">
        <v>1711</v>
      </c>
      <c r="B1016" s="3">
        <v>46294</v>
      </c>
      <c r="C1016" t="s">
        <v>667</v>
      </c>
      <c r="D1016" t="s">
        <v>602</v>
      </c>
      <c r="E1016">
        <v>49</v>
      </c>
      <c r="F1016" t="s">
        <v>2</v>
      </c>
      <c r="G1016" t="s">
        <v>85</v>
      </c>
      <c r="H1016" t="s">
        <v>3027</v>
      </c>
      <c r="I1016" s="2">
        <v>128000</v>
      </c>
      <c r="J1016" t="s">
        <v>201</v>
      </c>
      <c r="K1016" t="s">
        <v>2500</v>
      </c>
    </row>
    <row r="1017" spans="1:11" x14ac:dyDescent="0.25">
      <c r="A1017" t="s">
        <v>1712</v>
      </c>
      <c r="B1017" s="3">
        <v>46294</v>
      </c>
      <c r="C1017" t="s">
        <v>475</v>
      </c>
      <c r="D1017" t="s">
        <v>476</v>
      </c>
      <c r="E1017">
        <v>23</v>
      </c>
      <c r="F1017" t="s">
        <v>477</v>
      </c>
      <c r="G1017" t="s">
        <v>32</v>
      </c>
      <c r="H1017" t="s">
        <v>3467</v>
      </c>
      <c r="I1017" s="2">
        <v>7000</v>
      </c>
      <c r="J1017" t="s">
        <v>129</v>
      </c>
      <c r="K1017" t="s">
        <v>2503</v>
      </c>
    </row>
    <row r="1018" spans="1:11" x14ac:dyDescent="0.25">
      <c r="A1018" t="s">
        <v>1713</v>
      </c>
      <c r="B1018" s="3">
        <v>46294</v>
      </c>
      <c r="C1018" t="s">
        <v>693</v>
      </c>
      <c r="D1018" t="s">
        <v>582</v>
      </c>
      <c r="E1018">
        <v>66</v>
      </c>
      <c r="F1018" t="s">
        <v>2</v>
      </c>
      <c r="G1018" t="s">
        <v>36</v>
      </c>
      <c r="H1018" t="s">
        <v>3468</v>
      </c>
      <c r="I1018" s="2">
        <v>136000</v>
      </c>
      <c r="J1018" t="s">
        <v>175</v>
      </c>
      <c r="K1018" t="s">
        <v>2509</v>
      </c>
    </row>
    <row r="1019" spans="1:11" x14ac:dyDescent="0.25">
      <c r="A1019" t="s">
        <v>1714</v>
      </c>
      <c r="B1019" s="3">
        <v>46294</v>
      </c>
      <c r="C1019" t="s">
        <v>632</v>
      </c>
      <c r="D1019" t="s">
        <v>587</v>
      </c>
      <c r="E1019">
        <v>50</v>
      </c>
      <c r="F1019" t="s">
        <v>2</v>
      </c>
      <c r="G1019" t="s">
        <v>17</v>
      </c>
      <c r="H1019" t="s">
        <v>3469</v>
      </c>
      <c r="I1019" s="2">
        <v>44000</v>
      </c>
      <c r="J1019" t="s">
        <v>327</v>
      </c>
      <c r="K1019" t="s">
        <v>2509</v>
      </c>
    </row>
    <row r="1020" spans="1:11" x14ac:dyDescent="0.25">
      <c r="A1020" t="s">
        <v>1715</v>
      </c>
      <c r="B1020" s="3">
        <v>46294</v>
      </c>
      <c r="C1020" t="s">
        <v>323</v>
      </c>
      <c r="D1020" t="s">
        <v>240</v>
      </c>
      <c r="E1020">
        <v>14</v>
      </c>
      <c r="F1020" t="s">
        <v>2</v>
      </c>
      <c r="G1020" t="s">
        <v>48</v>
      </c>
      <c r="H1020" t="s">
        <v>3470</v>
      </c>
      <c r="I1020" s="2">
        <v>439000</v>
      </c>
      <c r="J1020" t="s">
        <v>324</v>
      </c>
      <c r="K1020" t="s">
        <v>2509</v>
      </c>
    </row>
    <row r="1021" spans="1:11" x14ac:dyDescent="0.25">
      <c r="A1021" t="s">
        <v>1716</v>
      </c>
      <c r="B1021" s="3">
        <v>46294</v>
      </c>
      <c r="C1021" t="s">
        <v>603</v>
      </c>
      <c r="D1021" t="s">
        <v>594</v>
      </c>
      <c r="E1021">
        <v>25</v>
      </c>
      <c r="F1021" t="s">
        <v>595</v>
      </c>
      <c r="G1021" t="s">
        <v>17</v>
      </c>
      <c r="H1021" t="s">
        <v>3471</v>
      </c>
      <c r="I1021" s="2">
        <v>14000</v>
      </c>
      <c r="J1021" t="s">
        <v>45</v>
      </c>
      <c r="K1021" t="s">
        <v>2509</v>
      </c>
    </row>
    <row r="1022" spans="1:11" x14ac:dyDescent="0.25">
      <c r="A1022" t="s">
        <v>1717</v>
      </c>
      <c r="B1022" s="3">
        <v>46294</v>
      </c>
      <c r="C1022" t="s">
        <v>412</v>
      </c>
      <c r="D1022" t="s">
        <v>351</v>
      </c>
      <c r="E1022">
        <v>50</v>
      </c>
      <c r="F1022" t="s">
        <v>2</v>
      </c>
      <c r="G1022" t="s">
        <v>61</v>
      </c>
      <c r="H1022" t="s">
        <v>3472</v>
      </c>
      <c r="I1022" s="2">
        <v>728000</v>
      </c>
      <c r="J1022" t="s">
        <v>140</v>
      </c>
      <c r="K1022" t="s">
        <v>2503</v>
      </c>
    </row>
    <row r="1023" spans="1:11" x14ac:dyDescent="0.25">
      <c r="A1023" t="s">
        <v>1718</v>
      </c>
      <c r="B1023" s="3">
        <v>46294</v>
      </c>
      <c r="C1023" t="s">
        <v>53</v>
      </c>
      <c r="D1023" t="s">
        <v>54</v>
      </c>
      <c r="E1023">
        <v>32</v>
      </c>
      <c r="F1023" t="s">
        <v>2</v>
      </c>
      <c r="G1023" t="s">
        <v>55</v>
      </c>
      <c r="H1023" t="s">
        <v>3473</v>
      </c>
      <c r="I1023" s="2">
        <v>68000</v>
      </c>
      <c r="J1023" t="s">
        <v>57</v>
      </c>
      <c r="K1023" t="s">
        <v>2503</v>
      </c>
    </row>
    <row r="1024" spans="1:11" x14ac:dyDescent="0.25">
      <c r="A1024" t="s">
        <v>1719</v>
      </c>
      <c r="B1024" s="3">
        <v>46294</v>
      </c>
      <c r="C1024" t="s">
        <v>436</v>
      </c>
      <c r="D1024" t="s">
        <v>366</v>
      </c>
      <c r="E1024">
        <v>3</v>
      </c>
      <c r="F1024" t="s">
        <v>2</v>
      </c>
      <c r="G1024" t="s">
        <v>85</v>
      </c>
      <c r="H1024" t="s">
        <v>3448</v>
      </c>
      <c r="I1024" s="2">
        <v>51000</v>
      </c>
      <c r="J1024" t="s">
        <v>19</v>
      </c>
      <c r="K1024" t="s">
        <v>2503</v>
      </c>
    </row>
    <row r="1025" spans="1:11" x14ac:dyDescent="0.25">
      <c r="A1025" t="s">
        <v>1720</v>
      </c>
      <c r="B1025" s="3">
        <v>46294</v>
      </c>
      <c r="C1025" t="s">
        <v>430</v>
      </c>
      <c r="D1025" t="s">
        <v>349</v>
      </c>
      <c r="E1025">
        <v>53</v>
      </c>
      <c r="F1025" t="s">
        <v>2</v>
      </c>
      <c r="G1025" t="s">
        <v>22</v>
      </c>
      <c r="H1025" t="s">
        <v>3474</v>
      </c>
      <c r="I1025" s="2">
        <v>10000</v>
      </c>
      <c r="J1025" t="s">
        <v>64</v>
      </c>
      <c r="K1025" t="s">
        <v>2513</v>
      </c>
    </row>
    <row r="1026" spans="1:11" x14ac:dyDescent="0.25">
      <c r="A1026" t="s">
        <v>1721</v>
      </c>
      <c r="B1026" s="3">
        <v>46294</v>
      </c>
      <c r="C1026" t="s">
        <v>340</v>
      </c>
      <c r="D1026" t="s">
        <v>223</v>
      </c>
      <c r="E1026">
        <v>54</v>
      </c>
      <c r="F1026" t="s">
        <v>2</v>
      </c>
      <c r="G1026" t="s">
        <v>17</v>
      </c>
      <c r="H1026" t="s">
        <v>3475</v>
      </c>
      <c r="I1026" s="2">
        <v>556000</v>
      </c>
      <c r="J1026" t="s">
        <v>177</v>
      </c>
      <c r="K1026" t="s">
        <v>2509</v>
      </c>
    </row>
    <row r="1027" spans="1:11" x14ac:dyDescent="0.25">
      <c r="A1027" t="s">
        <v>1722</v>
      </c>
      <c r="B1027" s="3">
        <v>46294</v>
      </c>
      <c r="C1027" t="s">
        <v>325</v>
      </c>
      <c r="D1027" t="s">
        <v>227</v>
      </c>
      <c r="E1027">
        <v>58</v>
      </c>
      <c r="F1027" t="s">
        <v>2</v>
      </c>
      <c r="G1027" t="s">
        <v>61</v>
      </c>
      <c r="H1027" t="s">
        <v>3476</v>
      </c>
      <c r="I1027" s="2">
        <v>1037000</v>
      </c>
      <c r="J1027" t="s">
        <v>34</v>
      </c>
      <c r="K1027" t="s">
        <v>2500</v>
      </c>
    </row>
    <row r="1028" spans="1:11" x14ac:dyDescent="0.25">
      <c r="A1028" t="s">
        <v>1723</v>
      </c>
      <c r="B1028" s="3">
        <v>46294</v>
      </c>
      <c r="C1028" t="s">
        <v>517</v>
      </c>
      <c r="D1028" t="s">
        <v>488</v>
      </c>
      <c r="E1028">
        <v>48</v>
      </c>
      <c r="F1028" t="s">
        <v>469</v>
      </c>
      <c r="G1028" t="s">
        <v>55</v>
      </c>
      <c r="H1028" t="s">
        <v>3477</v>
      </c>
      <c r="I1028" s="2">
        <v>86000</v>
      </c>
      <c r="J1028" t="s">
        <v>67</v>
      </c>
      <c r="K1028" t="s">
        <v>2503</v>
      </c>
    </row>
    <row r="1029" spans="1:11" x14ac:dyDescent="0.25">
      <c r="A1029" t="s">
        <v>1724</v>
      </c>
      <c r="B1029" s="3">
        <v>46294</v>
      </c>
      <c r="C1029" t="s">
        <v>188</v>
      </c>
      <c r="D1029" t="s">
        <v>29</v>
      </c>
      <c r="E1029">
        <v>15</v>
      </c>
      <c r="F1029" t="s">
        <v>2</v>
      </c>
      <c r="G1029" t="s">
        <v>48</v>
      </c>
      <c r="H1029" t="s">
        <v>2911</v>
      </c>
      <c r="I1029" s="2">
        <v>192000</v>
      </c>
      <c r="J1029" t="s">
        <v>189</v>
      </c>
      <c r="K1029" t="s">
        <v>2513</v>
      </c>
    </row>
    <row r="1030" spans="1:11" x14ac:dyDescent="0.25">
      <c r="A1030" t="s">
        <v>1725</v>
      </c>
      <c r="B1030" s="3">
        <v>46294</v>
      </c>
      <c r="C1030" t="s">
        <v>272</v>
      </c>
      <c r="D1030" t="s">
        <v>213</v>
      </c>
      <c r="E1030">
        <v>24</v>
      </c>
      <c r="F1030" t="s">
        <v>2</v>
      </c>
      <c r="G1030" t="s">
        <v>22</v>
      </c>
      <c r="H1030" t="s">
        <v>3478</v>
      </c>
      <c r="I1030" s="2">
        <v>3984000</v>
      </c>
      <c r="J1030" t="s">
        <v>113</v>
      </c>
      <c r="K1030" t="s">
        <v>2513</v>
      </c>
    </row>
    <row r="1031" spans="1:11" x14ac:dyDescent="0.25">
      <c r="A1031" t="s">
        <v>1726</v>
      </c>
      <c r="B1031" s="3">
        <v>46294</v>
      </c>
      <c r="C1031" t="s">
        <v>546</v>
      </c>
      <c r="D1031" t="s">
        <v>490</v>
      </c>
      <c r="E1031">
        <v>2</v>
      </c>
      <c r="F1031" t="s">
        <v>355</v>
      </c>
      <c r="G1031" t="s">
        <v>36</v>
      </c>
      <c r="H1031" t="s">
        <v>3479</v>
      </c>
      <c r="I1031" s="2">
        <v>23000</v>
      </c>
      <c r="J1031" t="s">
        <v>57</v>
      </c>
      <c r="K1031" t="s">
        <v>2500</v>
      </c>
    </row>
    <row r="1032" spans="1:11" x14ac:dyDescent="0.25">
      <c r="A1032" t="s">
        <v>1727</v>
      </c>
      <c r="B1032" s="3">
        <v>46295</v>
      </c>
      <c r="C1032" t="s">
        <v>43</v>
      </c>
      <c r="D1032" t="s">
        <v>44</v>
      </c>
      <c r="E1032">
        <v>6</v>
      </c>
      <c r="F1032" t="s">
        <v>2</v>
      </c>
      <c r="G1032" t="s">
        <v>22</v>
      </c>
      <c r="H1032" t="s">
        <v>3480</v>
      </c>
      <c r="I1032" s="2">
        <v>88000</v>
      </c>
      <c r="J1032" t="s">
        <v>45</v>
      </c>
      <c r="K1032" t="s">
        <v>2503</v>
      </c>
    </row>
    <row r="1033" spans="1:11" x14ac:dyDescent="0.25">
      <c r="A1033" t="s">
        <v>1728</v>
      </c>
      <c r="B1033" s="3">
        <v>46295</v>
      </c>
      <c r="C1033" t="s">
        <v>659</v>
      </c>
      <c r="D1033" t="s">
        <v>629</v>
      </c>
      <c r="E1033">
        <v>37</v>
      </c>
      <c r="F1033" t="s">
        <v>355</v>
      </c>
      <c r="G1033" t="s">
        <v>17</v>
      </c>
      <c r="H1033" t="s">
        <v>3481</v>
      </c>
      <c r="I1033" s="2">
        <v>28000</v>
      </c>
      <c r="J1033" t="s">
        <v>67</v>
      </c>
      <c r="K1033" t="s">
        <v>2509</v>
      </c>
    </row>
    <row r="1034" spans="1:11" x14ac:dyDescent="0.25">
      <c r="A1034" t="s">
        <v>1729</v>
      </c>
      <c r="B1034" s="3">
        <v>46295</v>
      </c>
      <c r="C1034" t="s">
        <v>275</v>
      </c>
      <c r="D1034" t="s">
        <v>218</v>
      </c>
      <c r="E1034">
        <v>40</v>
      </c>
      <c r="F1034" t="s">
        <v>2</v>
      </c>
      <c r="G1034" t="s">
        <v>55</v>
      </c>
      <c r="H1034" t="s">
        <v>3482</v>
      </c>
      <c r="I1034" s="2">
        <v>1530000</v>
      </c>
      <c r="J1034" t="s">
        <v>259</v>
      </c>
      <c r="K1034" t="s">
        <v>2513</v>
      </c>
    </row>
    <row r="1035" spans="1:11" x14ac:dyDescent="0.25">
      <c r="A1035" t="s">
        <v>1730</v>
      </c>
      <c r="B1035" s="3">
        <v>46295</v>
      </c>
      <c r="C1035" t="s">
        <v>151</v>
      </c>
      <c r="D1035" t="s">
        <v>44</v>
      </c>
      <c r="E1035">
        <v>15</v>
      </c>
      <c r="F1035" t="s">
        <v>2</v>
      </c>
      <c r="G1035" t="s">
        <v>85</v>
      </c>
      <c r="H1035" t="s">
        <v>3483</v>
      </c>
      <c r="I1035" s="2">
        <v>55000</v>
      </c>
      <c r="J1035" t="s">
        <v>152</v>
      </c>
      <c r="K1035" t="s">
        <v>2513</v>
      </c>
    </row>
    <row r="1036" spans="1:11" x14ac:dyDescent="0.25">
      <c r="A1036" t="s">
        <v>1731</v>
      </c>
      <c r="B1036" s="3">
        <v>46295</v>
      </c>
      <c r="C1036" t="s">
        <v>39</v>
      </c>
      <c r="D1036" t="s">
        <v>21</v>
      </c>
      <c r="E1036">
        <v>64</v>
      </c>
      <c r="F1036" t="s">
        <v>2</v>
      </c>
      <c r="G1036" t="s">
        <v>40</v>
      </c>
      <c r="H1036" t="s">
        <v>3484</v>
      </c>
      <c r="I1036" s="2">
        <v>35000</v>
      </c>
      <c r="J1036" t="s">
        <v>42</v>
      </c>
      <c r="K1036" t="s">
        <v>2500</v>
      </c>
    </row>
    <row r="1037" spans="1:11" x14ac:dyDescent="0.25">
      <c r="A1037" t="s">
        <v>1732</v>
      </c>
      <c r="B1037" s="3">
        <v>46295</v>
      </c>
      <c r="C1037" t="s">
        <v>76</v>
      </c>
      <c r="D1037" t="s">
        <v>15</v>
      </c>
      <c r="E1037">
        <v>55</v>
      </c>
      <c r="F1037" t="s">
        <v>2</v>
      </c>
      <c r="G1037" t="s">
        <v>22</v>
      </c>
      <c r="H1037" t="s">
        <v>3485</v>
      </c>
      <c r="I1037" s="2">
        <v>160000</v>
      </c>
      <c r="J1037" t="s">
        <v>77</v>
      </c>
      <c r="K1037" t="s">
        <v>2509</v>
      </c>
    </row>
    <row r="1038" spans="1:11" x14ac:dyDescent="0.25">
      <c r="A1038" t="s">
        <v>1733</v>
      </c>
      <c r="B1038" s="3">
        <v>46295</v>
      </c>
      <c r="C1038" t="s">
        <v>448</v>
      </c>
      <c r="D1038" t="s">
        <v>360</v>
      </c>
      <c r="E1038">
        <v>18</v>
      </c>
      <c r="F1038" t="s">
        <v>358</v>
      </c>
      <c r="G1038" t="s">
        <v>40</v>
      </c>
      <c r="H1038" t="s">
        <v>3124</v>
      </c>
      <c r="I1038" s="2">
        <v>9000</v>
      </c>
      <c r="J1038" t="s">
        <v>24</v>
      </c>
      <c r="K1038" t="s">
        <v>2513</v>
      </c>
    </row>
    <row r="1039" spans="1:11" x14ac:dyDescent="0.25">
      <c r="A1039" t="s">
        <v>1734</v>
      </c>
      <c r="B1039" s="3">
        <v>46295</v>
      </c>
      <c r="C1039" t="s">
        <v>541</v>
      </c>
      <c r="D1039" t="s">
        <v>490</v>
      </c>
      <c r="E1039">
        <v>24</v>
      </c>
      <c r="F1039" t="s">
        <v>355</v>
      </c>
      <c r="G1039" t="s">
        <v>85</v>
      </c>
      <c r="H1039" t="s">
        <v>3486</v>
      </c>
      <c r="I1039" s="2">
        <v>23000</v>
      </c>
      <c r="J1039" t="s">
        <v>106</v>
      </c>
      <c r="K1039" t="s">
        <v>2503</v>
      </c>
    </row>
    <row r="1040" spans="1:11" x14ac:dyDescent="0.25">
      <c r="A1040" t="s">
        <v>1735</v>
      </c>
      <c r="B1040" s="3">
        <v>46295</v>
      </c>
      <c r="C1040" t="s">
        <v>370</v>
      </c>
      <c r="D1040" t="s">
        <v>344</v>
      </c>
      <c r="E1040">
        <v>10</v>
      </c>
      <c r="F1040" t="s">
        <v>346</v>
      </c>
      <c r="G1040" t="s">
        <v>32</v>
      </c>
      <c r="H1040" t="s">
        <v>3487</v>
      </c>
      <c r="I1040" s="2">
        <v>60000</v>
      </c>
      <c r="J1040" t="s">
        <v>24</v>
      </c>
      <c r="K1040" t="s">
        <v>2513</v>
      </c>
    </row>
    <row r="1041" spans="1:11" x14ac:dyDescent="0.25">
      <c r="A1041" t="s">
        <v>1736</v>
      </c>
      <c r="B1041" s="3">
        <v>46295</v>
      </c>
      <c r="C1041" t="s">
        <v>596</v>
      </c>
      <c r="D1041" t="s">
        <v>597</v>
      </c>
      <c r="E1041">
        <v>65</v>
      </c>
      <c r="F1041" t="s">
        <v>355</v>
      </c>
      <c r="G1041" t="s">
        <v>85</v>
      </c>
      <c r="H1041" t="s">
        <v>2862</v>
      </c>
      <c r="I1041" s="2">
        <v>43000</v>
      </c>
      <c r="J1041" t="s">
        <v>142</v>
      </c>
      <c r="K1041" t="s">
        <v>2503</v>
      </c>
    </row>
    <row r="1042" spans="1:11" x14ac:dyDescent="0.25">
      <c r="A1042" t="s">
        <v>1737</v>
      </c>
      <c r="B1042" s="3">
        <v>46295</v>
      </c>
      <c r="C1042" t="s">
        <v>429</v>
      </c>
      <c r="D1042" t="s">
        <v>351</v>
      </c>
      <c r="E1042">
        <v>2</v>
      </c>
      <c r="F1042" t="s">
        <v>2</v>
      </c>
      <c r="G1042" t="s">
        <v>22</v>
      </c>
      <c r="H1042" t="s">
        <v>3488</v>
      </c>
      <c r="I1042" s="2">
        <v>625000</v>
      </c>
      <c r="J1042" t="s">
        <v>126</v>
      </c>
      <c r="K1042" t="s">
        <v>2509</v>
      </c>
    </row>
    <row r="1043" spans="1:11" x14ac:dyDescent="0.25">
      <c r="A1043" t="s">
        <v>1738</v>
      </c>
      <c r="B1043" s="3">
        <v>46295</v>
      </c>
      <c r="C1043" t="s">
        <v>94</v>
      </c>
      <c r="D1043" t="s">
        <v>15</v>
      </c>
      <c r="E1043">
        <v>2</v>
      </c>
      <c r="F1043" t="s">
        <v>2</v>
      </c>
      <c r="G1043" t="s">
        <v>22</v>
      </c>
      <c r="H1043" t="s">
        <v>3489</v>
      </c>
      <c r="I1043" s="2">
        <v>148000</v>
      </c>
      <c r="J1043" t="s">
        <v>95</v>
      </c>
      <c r="K1043" t="s">
        <v>2509</v>
      </c>
    </row>
    <row r="1044" spans="1:11" x14ac:dyDescent="0.25">
      <c r="A1044" t="s">
        <v>1739</v>
      </c>
      <c r="B1044" s="3">
        <v>46295</v>
      </c>
      <c r="C1044" t="s">
        <v>379</v>
      </c>
      <c r="D1044" t="s">
        <v>344</v>
      </c>
      <c r="E1044">
        <v>45</v>
      </c>
      <c r="F1044" t="s">
        <v>346</v>
      </c>
      <c r="G1044" t="s">
        <v>55</v>
      </c>
      <c r="H1044" t="s">
        <v>3490</v>
      </c>
      <c r="I1044" s="2">
        <v>62000</v>
      </c>
      <c r="J1044" t="s">
        <v>106</v>
      </c>
      <c r="K1044" t="s">
        <v>2500</v>
      </c>
    </row>
    <row r="1045" spans="1:11" x14ac:dyDescent="0.25">
      <c r="A1045" t="s">
        <v>1740</v>
      </c>
      <c r="B1045" s="3">
        <v>46295</v>
      </c>
      <c r="C1045" t="s">
        <v>401</v>
      </c>
      <c r="D1045" t="s">
        <v>382</v>
      </c>
      <c r="E1045">
        <v>66</v>
      </c>
      <c r="F1045" t="s">
        <v>383</v>
      </c>
      <c r="G1045" t="s">
        <v>61</v>
      </c>
      <c r="H1045" t="s">
        <v>3491</v>
      </c>
      <c r="I1045" s="2">
        <v>157000</v>
      </c>
      <c r="J1045" t="s">
        <v>19</v>
      </c>
      <c r="K1045" t="s">
        <v>2503</v>
      </c>
    </row>
    <row r="1046" spans="1:11" x14ac:dyDescent="0.25">
      <c r="A1046" t="s">
        <v>1741</v>
      </c>
      <c r="B1046" s="3">
        <v>46295</v>
      </c>
      <c r="C1046" t="s">
        <v>591</v>
      </c>
      <c r="D1046" t="s">
        <v>585</v>
      </c>
      <c r="E1046">
        <v>26</v>
      </c>
      <c r="F1046" t="s">
        <v>355</v>
      </c>
      <c r="G1046" t="s">
        <v>55</v>
      </c>
      <c r="H1046" t="s">
        <v>3492</v>
      </c>
      <c r="I1046" s="2">
        <v>17000</v>
      </c>
      <c r="J1046" t="s">
        <v>368</v>
      </c>
      <c r="K1046" t="s">
        <v>2509</v>
      </c>
    </row>
    <row r="1047" spans="1:11" x14ac:dyDescent="0.25">
      <c r="A1047" t="s">
        <v>1742</v>
      </c>
      <c r="B1047" s="3">
        <v>46295</v>
      </c>
      <c r="C1047" t="s">
        <v>607</v>
      </c>
      <c r="D1047" t="s">
        <v>587</v>
      </c>
      <c r="E1047">
        <v>38</v>
      </c>
      <c r="F1047" t="s">
        <v>2</v>
      </c>
      <c r="G1047" t="s">
        <v>32</v>
      </c>
      <c r="H1047" t="s">
        <v>2690</v>
      </c>
      <c r="I1047" s="2">
        <v>47000</v>
      </c>
      <c r="J1047" t="s">
        <v>149</v>
      </c>
      <c r="K1047" t="s">
        <v>2500</v>
      </c>
    </row>
    <row r="1048" spans="1:11" x14ac:dyDescent="0.25">
      <c r="A1048" t="s">
        <v>1743</v>
      </c>
      <c r="B1048" s="3">
        <v>46295</v>
      </c>
      <c r="C1048" t="s">
        <v>139</v>
      </c>
      <c r="D1048" t="s">
        <v>44</v>
      </c>
      <c r="E1048">
        <v>16</v>
      </c>
      <c r="F1048" t="s">
        <v>2</v>
      </c>
      <c r="G1048" t="s">
        <v>81</v>
      </c>
      <c r="H1048" t="s">
        <v>3493</v>
      </c>
      <c r="I1048" s="2">
        <v>86000</v>
      </c>
      <c r="J1048" t="s">
        <v>140</v>
      </c>
      <c r="K1048" t="s">
        <v>2513</v>
      </c>
    </row>
    <row r="1049" spans="1:11" x14ac:dyDescent="0.25">
      <c r="A1049" t="s">
        <v>1744</v>
      </c>
      <c r="B1049" s="3">
        <v>46295</v>
      </c>
      <c r="C1049" t="s">
        <v>536</v>
      </c>
      <c r="D1049" t="s">
        <v>481</v>
      </c>
      <c r="E1049">
        <v>64</v>
      </c>
      <c r="F1049" t="s">
        <v>2</v>
      </c>
      <c r="G1049" t="s">
        <v>22</v>
      </c>
      <c r="H1049" t="s">
        <v>2736</v>
      </c>
      <c r="I1049" s="2">
        <v>193000</v>
      </c>
      <c r="J1049" t="s">
        <v>221</v>
      </c>
      <c r="K1049" t="s">
        <v>2503</v>
      </c>
    </row>
    <row r="1050" spans="1:11" x14ac:dyDescent="0.25">
      <c r="A1050" t="s">
        <v>1745</v>
      </c>
      <c r="B1050" s="3">
        <v>46295</v>
      </c>
      <c r="C1050" t="s">
        <v>231</v>
      </c>
      <c r="D1050" t="s">
        <v>227</v>
      </c>
      <c r="E1050">
        <v>39</v>
      </c>
      <c r="F1050" t="s">
        <v>2</v>
      </c>
      <c r="G1050" t="s">
        <v>40</v>
      </c>
      <c r="H1050" t="s">
        <v>3494</v>
      </c>
      <c r="I1050" s="2">
        <v>747000</v>
      </c>
      <c r="J1050" t="s">
        <v>30</v>
      </c>
      <c r="K1050" t="s">
        <v>2509</v>
      </c>
    </row>
    <row r="1051" spans="1:11" x14ac:dyDescent="0.25">
      <c r="A1051" t="s">
        <v>1746</v>
      </c>
      <c r="B1051" s="3">
        <v>46295</v>
      </c>
      <c r="C1051" t="s">
        <v>352</v>
      </c>
      <c r="D1051" t="s">
        <v>344</v>
      </c>
      <c r="E1051">
        <v>35</v>
      </c>
      <c r="F1051" t="s">
        <v>346</v>
      </c>
      <c r="G1051" t="s">
        <v>48</v>
      </c>
      <c r="H1051" t="s">
        <v>3495</v>
      </c>
      <c r="I1051" s="2">
        <v>45000</v>
      </c>
      <c r="J1051" t="s">
        <v>189</v>
      </c>
      <c r="K1051" t="s">
        <v>2509</v>
      </c>
    </row>
    <row r="1052" spans="1:11" x14ac:dyDescent="0.25">
      <c r="A1052" t="s">
        <v>1747</v>
      </c>
      <c r="B1052" s="3">
        <v>46295</v>
      </c>
      <c r="C1052" t="s">
        <v>579</v>
      </c>
      <c r="D1052" t="s">
        <v>490</v>
      </c>
      <c r="E1052">
        <v>49</v>
      </c>
      <c r="F1052" t="s">
        <v>355</v>
      </c>
      <c r="G1052" t="s">
        <v>61</v>
      </c>
      <c r="H1052" t="s">
        <v>2840</v>
      </c>
      <c r="I1052" s="2">
        <v>13000</v>
      </c>
      <c r="J1052" t="s">
        <v>93</v>
      </c>
      <c r="K1052" t="s">
        <v>2509</v>
      </c>
    </row>
    <row r="1053" spans="1:11" x14ac:dyDescent="0.25">
      <c r="A1053" t="s">
        <v>1748</v>
      </c>
      <c r="B1053" s="3">
        <v>46295</v>
      </c>
      <c r="C1053" t="s">
        <v>118</v>
      </c>
      <c r="D1053" t="s">
        <v>66</v>
      </c>
      <c r="E1053">
        <v>38</v>
      </c>
      <c r="F1053" t="s">
        <v>2</v>
      </c>
      <c r="G1053" t="s">
        <v>17</v>
      </c>
      <c r="H1053" t="s">
        <v>3496</v>
      </c>
      <c r="I1053" s="2">
        <v>87000</v>
      </c>
      <c r="J1053" t="s">
        <v>119</v>
      </c>
      <c r="K1053" t="s">
        <v>2513</v>
      </c>
    </row>
    <row r="1054" spans="1:11" x14ac:dyDescent="0.25">
      <c r="A1054" t="s">
        <v>1749</v>
      </c>
      <c r="B1054" s="3">
        <v>46295</v>
      </c>
      <c r="C1054" t="s">
        <v>399</v>
      </c>
      <c r="D1054" t="s">
        <v>360</v>
      </c>
      <c r="E1054">
        <v>69</v>
      </c>
      <c r="F1054" t="s">
        <v>358</v>
      </c>
      <c r="G1054" t="s">
        <v>36</v>
      </c>
      <c r="H1054" t="s">
        <v>2784</v>
      </c>
      <c r="I1054" s="2">
        <v>19000</v>
      </c>
      <c r="J1054" t="s">
        <v>164</v>
      </c>
      <c r="K1054" t="s">
        <v>2500</v>
      </c>
    </row>
    <row r="1055" spans="1:11" x14ac:dyDescent="0.25">
      <c r="A1055" t="s">
        <v>1750</v>
      </c>
      <c r="B1055" s="3">
        <v>46295</v>
      </c>
      <c r="C1055" t="s">
        <v>139</v>
      </c>
      <c r="D1055" t="s">
        <v>44</v>
      </c>
      <c r="E1055">
        <v>59</v>
      </c>
      <c r="F1055" t="s">
        <v>2</v>
      </c>
      <c r="G1055" t="s">
        <v>81</v>
      </c>
      <c r="H1055" t="s">
        <v>3497</v>
      </c>
      <c r="I1055" s="2">
        <v>86000</v>
      </c>
      <c r="J1055" t="s">
        <v>140</v>
      </c>
      <c r="K1055" t="s">
        <v>2513</v>
      </c>
    </row>
    <row r="1056" spans="1:11" x14ac:dyDescent="0.25">
      <c r="A1056" t="s">
        <v>1751</v>
      </c>
      <c r="B1056" s="3">
        <v>46295</v>
      </c>
      <c r="C1056" t="s">
        <v>653</v>
      </c>
      <c r="D1056" t="s">
        <v>585</v>
      </c>
      <c r="E1056">
        <v>19</v>
      </c>
      <c r="F1056" t="s">
        <v>355</v>
      </c>
      <c r="G1056" t="s">
        <v>81</v>
      </c>
      <c r="H1056" t="s">
        <v>3498</v>
      </c>
      <c r="I1056" s="2">
        <v>17000</v>
      </c>
      <c r="J1056" t="s">
        <v>250</v>
      </c>
      <c r="K1056" t="s">
        <v>2509</v>
      </c>
    </row>
    <row r="1057" spans="1:11" x14ac:dyDescent="0.25">
      <c r="A1057" t="s">
        <v>1752</v>
      </c>
      <c r="B1057" s="3">
        <v>46295</v>
      </c>
      <c r="C1057" t="s">
        <v>278</v>
      </c>
      <c r="D1057" t="s">
        <v>261</v>
      </c>
      <c r="E1057">
        <v>56</v>
      </c>
      <c r="F1057" t="s">
        <v>2</v>
      </c>
      <c r="G1057" t="s">
        <v>55</v>
      </c>
      <c r="H1057" t="s">
        <v>3499</v>
      </c>
      <c r="I1057" s="2">
        <v>507000</v>
      </c>
      <c r="J1057" t="s">
        <v>279</v>
      </c>
      <c r="K1057" t="s">
        <v>2509</v>
      </c>
    </row>
    <row r="1058" spans="1:11" x14ac:dyDescent="0.25">
      <c r="A1058" t="s">
        <v>1753</v>
      </c>
      <c r="B1058" s="3">
        <v>46295</v>
      </c>
      <c r="C1058" t="s">
        <v>650</v>
      </c>
      <c r="D1058" t="s">
        <v>587</v>
      </c>
      <c r="E1058">
        <v>24</v>
      </c>
      <c r="F1058" t="s">
        <v>2</v>
      </c>
      <c r="G1058" t="s">
        <v>40</v>
      </c>
      <c r="H1058" t="s">
        <v>3500</v>
      </c>
      <c r="I1058" s="2">
        <v>14000</v>
      </c>
      <c r="J1058" t="s">
        <v>289</v>
      </c>
      <c r="K1058" t="s">
        <v>2500</v>
      </c>
    </row>
    <row r="1059" spans="1:11" x14ac:dyDescent="0.25">
      <c r="A1059" t="s">
        <v>1754</v>
      </c>
      <c r="B1059" s="3">
        <v>46295</v>
      </c>
      <c r="C1059" t="s">
        <v>116</v>
      </c>
      <c r="D1059" t="s">
        <v>54</v>
      </c>
      <c r="E1059">
        <v>57</v>
      </c>
      <c r="F1059" t="s">
        <v>2</v>
      </c>
      <c r="G1059" t="s">
        <v>22</v>
      </c>
      <c r="H1059" t="s">
        <v>3501</v>
      </c>
      <c r="I1059" s="2">
        <v>147000</v>
      </c>
      <c r="J1059" t="s">
        <v>117</v>
      </c>
      <c r="K1059" t="s">
        <v>2500</v>
      </c>
    </row>
    <row r="1060" spans="1:11" x14ac:dyDescent="0.25">
      <c r="A1060" t="s">
        <v>1755</v>
      </c>
      <c r="B1060" s="3">
        <v>46295</v>
      </c>
      <c r="C1060" t="s">
        <v>118</v>
      </c>
      <c r="D1060" t="s">
        <v>66</v>
      </c>
      <c r="E1060">
        <v>62</v>
      </c>
      <c r="F1060" t="s">
        <v>2</v>
      </c>
      <c r="G1060" t="s">
        <v>17</v>
      </c>
      <c r="H1060" t="s">
        <v>3502</v>
      </c>
      <c r="I1060" s="2">
        <v>87000</v>
      </c>
      <c r="J1060" t="s">
        <v>119</v>
      </c>
      <c r="K1060" t="s">
        <v>2503</v>
      </c>
    </row>
    <row r="1061" spans="1:11" x14ac:dyDescent="0.25">
      <c r="A1061" t="s">
        <v>1756</v>
      </c>
      <c r="B1061" s="3">
        <v>46295</v>
      </c>
      <c r="C1061" t="s">
        <v>331</v>
      </c>
      <c r="D1061" t="s">
        <v>234</v>
      </c>
      <c r="E1061">
        <v>65</v>
      </c>
      <c r="F1061" t="s">
        <v>2</v>
      </c>
      <c r="G1061" t="s">
        <v>32</v>
      </c>
      <c r="H1061" t="s">
        <v>2912</v>
      </c>
      <c r="I1061" s="2">
        <v>1646000</v>
      </c>
      <c r="J1061" t="s">
        <v>57</v>
      </c>
      <c r="K1061" t="s">
        <v>2500</v>
      </c>
    </row>
    <row r="1062" spans="1:11" x14ac:dyDescent="0.25">
      <c r="A1062" t="s">
        <v>1757</v>
      </c>
      <c r="B1062" s="3">
        <v>46295</v>
      </c>
      <c r="C1062" t="s">
        <v>620</v>
      </c>
      <c r="D1062" t="s">
        <v>587</v>
      </c>
      <c r="E1062">
        <v>36</v>
      </c>
      <c r="F1062" t="s">
        <v>2</v>
      </c>
      <c r="G1062" t="s">
        <v>36</v>
      </c>
      <c r="H1062" t="s">
        <v>3503</v>
      </c>
      <c r="I1062" s="2">
        <v>49000</v>
      </c>
      <c r="J1062" t="s">
        <v>129</v>
      </c>
      <c r="K1062" t="s">
        <v>2509</v>
      </c>
    </row>
    <row r="1063" spans="1:11" x14ac:dyDescent="0.25">
      <c r="A1063" t="s">
        <v>1758</v>
      </c>
      <c r="B1063" s="3">
        <v>46295</v>
      </c>
      <c r="C1063" t="s">
        <v>226</v>
      </c>
      <c r="D1063" t="s">
        <v>227</v>
      </c>
      <c r="E1063">
        <v>29</v>
      </c>
      <c r="F1063" t="s">
        <v>2</v>
      </c>
      <c r="G1063" t="s">
        <v>17</v>
      </c>
      <c r="H1063" t="s">
        <v>3504</v>
      </c>
      <c r="I1063" s="2">
        <v>851000</v>
      </c>
      <c r="J1063" t="s">
        <v>201</v>
      </c>
      <c r="K1063" t="s">
        <v>2503</v>
      </c>
    </row>
    <row r="1064" spans="1:11" x14ac:dyDescent="0.25">
      <c r="A1064" t="s">
        <v>1759</v>
      </c>
      <c r="B1064" s="3">
        <v>46295</v>
      </c>
      <c r="C1064" t="s">
        <v>636</v>
      </c>
      <c r="D1064" t="s">
        <v>602</v>
      </c>
      <c r="E1064">
        <v>32</v>
      </c>
      <c r="F1064" t="s">
        <v>2</v>
      </c>
      <c r="G1064" t="s">
        <v>32</v>
      </c>
      <c r="H1064" t="s">
        <v>3505</v>
      </c>
      <c r="I1064" s="2">
        <v>116000</v>
      </c>
      <c r="J1064" t="s">
        <v>183</v>
      </c>
      <c r="K1064" t="s">
        <v>2509</v>
      </c>
    </row>
    <row r="1065" spans="1:11" x14ac:dyDescent="0.25">
      <c r="A1065" t="s">
        <v>1760</v>
      </c>
      <c r="B1065" s="3">
        <v>46295</v>
      </c>
      <c r="C1065" t="s">
        <v>275</v>
      </c>
      <c r="D1065" t="s">
        <v>218</v>
      </c>
      <c r="E1065">
        <v>22</v>
      </c>
      <c r="F1065" t="s">
        <v>2</v>
      </c>
      <c r="G1065" t="s">
        <v>55</v>
      </c>
      <c r="H1065" t="s">
        <v>3506</v>
      </c>
      <c r="I1065" s="2">
        <v>1530000</v>
      </c>
      <c r="J1065" t="s">
        <v>259</v>
      </c>
      <c r="K1065" t="s">
        <v>2503</v>
      </c>
    </row>
    <row r="1066" spans="1:11" x14ac:dyDescent="0.25">
      <c r="A1066" t="s">
        <v>1761</v>
      </c>
      <c r="B1066" s="3">
        <v>46295</v>
      </c>
      <c r="C1066" t="s">
        <v>652</v>
      </c>
      <c r="D1066" t="s">
        <v>587</v>
      </c>
      <c r="E1066">
        <v>19</v>
      </c>
      <c r="F1066" t="s">
        <v>2</v>
      </c>
      <c r="G1066" t="s">
        <v>85</v>
      </c>
      <c r="H1066" t="s">
        <v>2551</v>
      </c>
      <c r="I1066" s="2">
        <v>14000</v>
      </c>
      <c r="J1066" t="s">
        <v>34</v>
      </c>
      <c r="K1066" t="s">
        <v>2503</v>
      </c>
    </row>
    <row r="1067" spans="1:11" x14ac:dyDescent="0.25">
      <c r="A1067" t="s">
        <v>1762</v>
      </c>
      <c r="B1067" s="3">
        <v>46295</v>
      </c>
      <c r="C1067" t="s">
        <v>498</v>
      </c>
      <c r="D1067" t="s">
        <v>488</v>
      </c>
      <c r="E1067">
        <v>1</v>
      </c>
      <c r="F1067" t="s">
        <v>469</v>
      </c>
      <c r="G1067" t="s">
        <v>40</v>
      </c>
      <c r="H1067" t="s">
        <v>3507</v>
      </c>
      <c r="I1067" s="2">
        <v>81000</v>
      </c>
      <c r="J1067" t="s">
        <v>52</v>
      </c>
      <c r="K1067" t="s">
        <v>2509</v>
      </c>
    </row>
    <row r="1068" spans="1:11" x14ac:dyDescent="0.25">
      <c r="A1068" t="s">
        <v>1763</v>
      </c>
      <c r="B1068" s="3">
        <v>46295</v>
      </c>
      <c r="C1068" t="s">
        <v>528</v>
      </c>
      <c r="D1068" t="s">
        <v>479</v>
      </c>
      <c r="E1068">
        <v>19</v>
      </c>
      <c r="F1068" t="s">
        <v>469</v>
      </c>
      <c r="G1068" t="s">
        <v>81</v>
      </c>
      <c r="H1068" t="s">
        <v>3508</v>
      </c>
      <c r="I1068" s="2">
        <v>28000</v>
      </c>
      <c r="J1068" t="s">
        <v>274</v>
      </c>
      <c r="K1068" t="s">
        <v>2513</v>
      </c>
    </row>
    <row r="1069" spans="1:11" x14ac:dyDescent="0.25">
      <c r="A1069" t="s">
        <v>1764</v>
      </c>
      <c r="B1069" s="3">
        <v>46295</v>
      </c>
      <c r="C1069" t="s">
        <v>229</v>
      </c>
      <c r="D1069" t="s">
        <v>218</v>
      </c>
      <c r="E1069">
        <v>25</v>
      </c>
      <c r="F1069" t="s">
        <v>2</v>
      </c>
      <c r="G1069" t="s">
        <v>36</v>
      </c>
      <c r="H1069" t="s">
        <v>3509</v>
      </c>
      <c r="I1069" s="2">
        <v>1570000</v>
      </c>
      <c r="J1069" t="s">
        <v>230</v>
      </c>
      <c r="K1069" t="s">
        <v>2500</v>
      </c>
    </row>
    <row r="1070" spans="1:11" x14ac:dyDescent="0.25">
      <c r="A1070" t="s">
        <v>1765</v>
      </c>
      <c r="B1070" s="3">
        <v>46295</v>
      </c>
      <c r="C1070" t="s">
        <v>679</v>
      </c>
      <c r="D1070" t="s">
        <v>597</v>
      </c>
      <c r="E1070">
        <v>41</v>
      </c>
      <c r="F1070" t="s">
        <v>355</v>
      </c>
      <c r="G1070" t="s">
        <v>85</v>
      </c>
      <c r="H1070" t="s">
        <v>3510</v>
      </c>
      <c r="I1070" s="2">
        <v>41000</v>
      </c>
      <c r="J1070" t="s">
        <v>368</v>
      </c>
      <c r="K1070" t="s">
        <v>2500</v>
      </c>
    </row>
    <row r="1071" spans="1:11" x14ac:dyDescent="0.25">
      <c r="A1071" t="s">
        <v>1766</v>
      </c>
      <c r="B1071" s="3">
        <v>46296</v>
      </c>
      <c r="C1071" t="s">
        <v>352</v>
      </c>
      <c r="D1071" t="s">
        <v>344</v>
      </c>
      <c r="E1071">
        <v>39</v>
      </c>
      <c r="F1071" t="s">
        <v>346</v>
      </c>
      <c r="G1071" t="s">
        <v>48</v>
      </c>
      <c r="H1071" t="s">
        <v>3511</v>
      </c>
      <c r="I1071" s="2">
        <v>45000</v>
      </c>
      <c r="J1071" t="s">
        <v>189</v>
      </c>
      <c r="K1071" t="s">
        <v>2513</v>
      </c>
    </row>
    <row r="1072" spans="1:11" x14ac:dyDescent="0.25">
      <c r="A1072" t="s">
        <v>1767</v>
      </c>
      <c r="B1072" s="3">
        <v>46296</v>
      </c>
      <c r="C1072" t="s">
        <v>99</v>
      </c>
      <c r="D1072" t="s">
        <v>26</v>
      </c>
      <c r="E1072">
        <v>35</v>
      </c>
      <c r="F1072" t="s">
        <v>2</v>
      </c>
      <c r="G1072" t="s">
        <v>55</v>
      </c>
      <c r="H1072" t="s">
        <v>3512</v>
      </c>
      <c r="I1072" s="2">
        <v>456000</v>
      </c>
      <c r="J1072" t="s">
        <v>100</v>
      </c>
      <c r="K1072" t="s">
        <v>2509</v>
      </c>
    </row>
    <row r="1073" spans="1:11" x14ac:dyDescent="0.25">
      <c r="A1073" t="s">
        <v>1768</v>
      </c>
      <c r="B1073" s="3">
        <v>46296</v>
      </c>
      <c r="C1073" t="s">
        <v>306</v>
      </c>
      <c r="D1073" t="s">
        <v>223</v>
      </c>
      <c r="E1073">
        <v>20</v>
      </c>
      <c r="F1073" t="s">
        <v>2</v>
      </c>
      <c r="G1073" t="s">
        <v>36</v>
      </c>
      <c r="H1073" t="s">
        <v>3513</v>
      </c>
      <c r="I1073" s="2">
        <v>554000</v>
      </c>
      <c r="J1073" t="s">
        <v>274</v>
      </c>
      <c r="K1073" t="s">
        <v>2500</v>
      </c>
    </row>
    <row r="1074" spans="1:11" x14ac:dyDescent="0.25">
      <c r="A1074" t="s">
        <v>1769</v>
      </c>
      <c r="B1074" s="3">
        <v>46296</v>
      </c>
      <c r="C1074" t="s">
        <v>128</v>
      </c>
      <c r="D1074" t="s">
        <v>47</v>
      </c>
      <c r="E1074">
        <v>17</v>
      </c>
      <c r="F1074" t="s">
        <v>2</v>
      </c>
      <c r="G1074" t="s">
        <v>36</v>
      </c>
      <c r="H1074" t="s">
        <v>3514</v>
      </c>
      <c r="I1074" s="2">
        <v>170000</v>
      </c>
      <c r="J1074" t="s">
        <v>129</v>
      </c>
      <c r="K1074" t="s">
        <v>2500</v>
      </c>
    </row>
    <row r="1075" spans="1:11" x14ac:dyDescent="0.25">
      <c r="A1075" t="s">
        <v>1770</v>
      </c>
      <c r="B1075" s="3">
        <v>46296</v>
      </c>
      <c r="C1075" t="s">
        <v>654</v>
      </c>
      <c r="D1075" t="s">
        <v>582</v>
      </c>
      <c r="E1075">
        <v>12</v>
      </c>
      <c r="F1075" t="s">
        <v>2</v>
      </c>
      <c r="G1075" t="s">
        <v>81</v>
      </c>
      <c r="H1075" t="s">
        <v>3515</v>
      </c>
      <c r="I1075" s="2">
        <v>180000</v>
      </c>
      <c r="J1075" t="s">
        <v>108</v>
      </c>
      <c r="K1075" t="s">
        <v>2513</v>
      </c>
    </row>
    <row r="1076" spans="1:11" x14ac:dyDescent="0.25">
      <c r="A1076" t="s">
        <v>1771</v>
      </c>
      <c r="B1076" s="3">
        <v>46296</v>
      </c>
      <c r="C1076" t="s">
        <v>376</v>
      </c>
      <c r="D1076" t="s">
        <v>351</v>
      </c>
      <c r="E1076">
        <v>50</v>
      </c>
      <c r="F1076" t="s">
        <v>2</v>
      </c>
      <c r="G1076" t="s">
        <v>61</v>
      </c>
      <c r="H1076" t="s">
        <v>3516</v>
      </c>
      <c r="I1076" s="2">
        <v>639000</v>
      </c>
      <c r="J1076" t="s">
        <v>259</v>
      </c>
      <c r="K1076" t="s">
        <v>2500</v>
      </c>
    </row>
    <row r="1077" spans="1:11" x14ac:dyDescent="0.25">
      <c r="A1077" t="s">
        <v>1772</v>
      </c>
      <c r="B1077" s="3">
        <v>46296</v>
      </c>
      <c r="C1077" t="s">
        <v>105</v>
      </c>
      <c r="D1077" t="s">
        <v>44</v>
      </c>
      <c r="E1077">
        <v>4</v>
      </c>
      <c r="F1077" t="s">
        <v>2</v>
      </c>
      <c r="G1077" t="s">
        <v>40</v>
      </c>
      <c r="H1077" t="s">
        <v>3517</v>
      </c>
      <c r="I1077" s="2">
        <v>28000</v>
      </c>
      <c r="J1077" t="s">
        <v>106</v>
      </c>
      <c r="K1077" t="s">
        <v>2513</v>
      </c>
    </row>
    <row r="1078" spans="1:11" x14ac:dyDescent="0.25">
      <c r="A1078" t="s">
        <v>1773</v>
      </c>
      <c r="B1078" s="3">
        <v>46296</v>
      </c>
      <c r="C1078" t="s">
        <v>134</v>
      </c>
      <c r="D1078" t="s">
        <v>47</v>
      </c>
      <c r="E1078">
        <v>29</v>
      </c>
      <c r="F1078" t="s">
        <v>2</v>
      </c>
      <c r="G1078" t="s">
        <v>36</v>
      </c>
      <c r="H1078" t="s">
        <v>3518</v>
      </c>
      <c r="I1078" s="2">
        <v>116000</v>
      </c>
      <c r="J1078" t="s">
        <v>38</v>
      </c>
      <c r="K1078" t="s">
        <v>2509</v>
      </c>
    </row>
    <row r="1079" spans="1:11" x14ac:dyDescent="0.25">
      <c r="A1079" t="s">
        <v>1774</v>
      </c>
      <c r="B1079" s="3">
        <v>46296</v>
      </c>
      <c r="C1079" t="s">
        <v>690</v>
      </c>
      <c r="D1079" t="s">
        <v>597</v>
      </c>
      <c r="E1079">
        <v>1</v>
      </c>
      <c r="F1079" t="s">
        <v>355</v>
      </c>
      <c r="G1079" t="s">
        <v>48</v>
      </c>
      <c r="H1079" t="s">
        <v>3519</v>
      </c>
      <c r="I1079" s="2">
        <v>33000</v>
      </c>
      <c r="J1079" t="s">
        <v>52</v>
      </c>
      <c r="K1079" t="s">
        <v>2513</v>
      </c>
    </row>
    <row r="1080" spans="1:11" x14ac:dyDescent="0.25">
      <c r="A1080" t="s">
        <v>1775</v>
      </c>
      <c r="B1080" s="3">
        <v>46296</v>
      </c>
      <c r="C1080" t="s">
        <v>673</v>
      </c>
      <c r="D1080" t="s">
        <v>594</v>
      </c>
      <c r="E1080">
        <v>49</v>
      </c>
      <c r="F1080" t="s">
        <v>595</v>
      </c>
      <c r="G1080" t="s">
        <v>40</v>
      </c>
      <c r="H1080" t="s">
        <v>3520</v>
      </c>
      <c r="I1080" s="2">
        <v>14000</v>
      </c>
      <c r="J1080" t="s">
        <v>87</v>
      </c>
      <c r="K1080" t="s">
        <v>2500</v>
      </c>
    </row>
    <row r="1081" spans="1:11" x14ac:dyDescent="0.25">
      <c r="A1081" t="s">
        <v>1776</v>
      </c>
      <c r="B1081" s="3">
        <v>46296</v>
      </c>
      <c r="C1081" t="s">
        <v>520</v>
      </c>
      <c r="D1081" t="s">
        <v>502</v>
      </c>
      <c r="E1081">
        <v>16</v>
      </c>
      <c r="F1081" t="s">
        <v>469</v>
      </c>
      <c r="G1081" t="s">
        <v>17</v>
      </c>
      <c r="H1081" t="s">
        <v>3521</v>
      </c>
      <c r="I1081" s="2">
        <v>32000</v>
      </c>
      <c r="J1081" t="s">
        <v>368</v>
      </c>
      <c r="K1081" t="s">
        <v>2509</v>
      </c>
    </row>
    <row r="1082" spans="1:11" x14ac:dyDescent="0.25">
      <c r="A1082" t="s">
        <v>1777</v>
      </c>
      <c r="B1082" s="3">
        <v>46296</v>
      </c>
      <c r="C1082" t="s">
        <v>341</v>
      </c>
      <c r="D1082" t="s">
        <v>234</v>
      </c>
      <c r="E1082">
        <v>59</v>
      </c>
      <c r="F1082" t="s">
        <v>2</v>
      </c>
      <c r="G1082" t="s">
        <v>22</v>
      </c>
      <c r="H1082" t="s">
        <v>3522</v>
      </c>
      <c r="I1082" s="2">
        <v>1606000</v>
      </c>
      <c r="J1082" t="s">
        <v>161</v>
      </c>
      <c r="K1082" t="s">
        <v>2500</v>
      </c>
    </row>
    <row r="1083" spans="1:11" x14ac:dyDescent="0.25">
      <c r="A1083" t="s">
        <v>1778</v>
      </c>
      <c r="B1083" s="3">
        <v>46296</v>
      </c>
      <c r="C1083" t="s">
        <v>286</v>
      </c>
      <c r="D1083" t="s">
        <v>218</v>
      </c>
      <c r="E1083">
        <v>68</v>
      </c>
      <c r="F1083" t="s">
        <v>2</v>
      </c>
      <c r="G1083" t="s">
        <v>48</v>
      </c>
      <c r="H1083" t="s">
        <v>3523</v>
      </c>
      <c r="I1083" s="2">
        <v>1732000</v>
      </c>
      <c r="J1083" t="s">
        <v>287</v>
      </c>
      <c r="K1083" t="s">
        <v>2500</v>
      </c>
    </row>
    <row r="1084" spans="1:11" x14ac:dyDescent="0.25">
      <c r="A1084" t="s">
        <v>1779</v>
      </c>
      <c r="B1084" s="3">
        <v>46296</v>
      </c>
      <c r="C1084" t="s">
        <v>577</v>
      </c>
      <c r="D1084" t="s">
        <v>481</v>
      </c>
      <c r="E1084">
        <v>56</v>
      </c>
      <c r="F1084" t="s">
        <v>2</v>
      </c>
      <c r="G1084" t="s">
        <v>85</v>
      </c>
      <c r="H1084" t="s">
        <v>3524</v>
      </c>
      <c r="I1084" s="2">
        <v>342000</v>
      </c>
      <c r="J1084" t="s">
        <v>102</v>
      </c>
      <c r="K1084" t="s">
        <v>2513</v>
      </c>
    </row>
    <row r="1085" spans="1:11" x14ac:dyDescent="0.25">
      <c r="A1085" t="s">
        <v>1780</v>
      </c>
      <c r="B1085" s="3">
        <v>46296</v>
      </c>
      <c r="C1085" t="s">
        <v>165</v>
      </c>
      <c r="D1085" t="s">
        <v>15</v>
      </c>
      <c r="E1085">
        <v>57</v>
      </c>
      <c r="F1085" t="s">
        <v>2</v>
      </c>
      <c r="G1085" t="s">
        <v>61</v>
      </c>
      <c r="H1085" t="s">
        <v>3525</v>
      </c>
      <c r="I1085" s="2">
        <v>157000</v>
      </c>
      <c r="J1085" t="s">
        <v>166</v>
      </c>
      <c r="K1085" t="s">
        <v>2503</v>
      </c>
    </row>
    <row r="1086" spans="1:11" x14ac:dyDescent="0.25">
      <c r="A1086" t="s">
        <v>1781</v>
      </c>
      <c r="B1086" s="3">
        <v>46296</v>
      </c>
      <c r="C1086" t="s">
        <v>413</v>
      </c>
      <c r="D1086" t="s">
        <v>360</v>
      </c>
      <c r="E1086">
        <v>18</v>
      </c>
      <c r="F1086" t="s">
        <v>358</v>
      </c>
      <c r="G1086" t="s">
        <v>17</v>
      </c>
      <c r="H1086" t="s">
        <v>3526</v>
      </c>
      <c r="I1086" s="2">
        <v>18000</v>
      </c>
      <c r="J1086" t="s">
        <v>368</v>
      </c>
      <c r="K1086" t="s">
        <v>2513</v>
      </c>
    </row>
    <row r="1087" spans="1:11" x14ac:dyDescent="0.25">
      <c r="A1087" t="s">
        <v>1782</v>
      </c>
      <c r="B1087" s="3">
        <v>46296</v>
      </c>
      <c r="C1087" t="s">
        <v>593</v>
      </c>
      <c r="D1087" t="s">
        <v>594</v>
      </c>
      <c r="E1087">
        <v>21</v>
      </c>
      <c r="F1087" t="s">
        <v>595</v>
      </c>
      <c r="G1087" t="s">
        <v>40</v>
      </c>
      <c r="H1087" t="s">
        <v>3527</v>
      </c>
      <c r="I1087" s="2">
        <v>12000</v>
      </c>
      <c r="J1087" t="s">
        <v>149</v>
      </c>
      <c r="K1087" t="s">
        <v>2503</v>
      </c>
    </row>
    <row r="1088" spans="1:11" x14ac:dyDescent="0.25">
      <c r="A1088" t="s">
        <v>1783</v>
      </c>
      <c r="B1088" s="3">
        <v>46296</v>
      </c>
      <c r="C1088" t="s">
        <v>326</v>
      </c>
      <c r="D1088" t="s">
        <v>223</v>
      </c>
      <c r="E1088">
        <v>48</v>
      </c>
      <c r="F1088" t="s">
        <v>2</v>
      </c>
      <c r="G1088" t="s">
        <v>40</v>
      </c>
      <c r="H1088" t="s">
        <v>3528</v>
      </c>
      <c r="I1088" s="2">
        <v>406000</v>
      </c>
      <c r="J1088" t="s">
        <v>327</v>
      </c>
      <c r="K1088" t="s">
        <v>2500</v>
      </c>
    </row>
    <row r="1089" spans="1:11" x14ac:dyDescent="0.25">
      <c r="A1089" t="s">
        <v>1784</v>
      </c>
      <c r="B1089" s="3">
        <v>46296</v>
      </c>
      <c r="C1089" t="s">
        <v>391</v>
      </c>
      <c r="D1089" t="s">
        <v>357</v>
      </c>
      <c r="E1089">
        <v>18</v>
      </c>
      <c r="F1089" t="s">
        <v>358</v>
      </c>
      <c r="G1089" t="s">
        <v>36</v>
      </c>
      <c r="H1089" t="s">
        <v>3529</v>
      </c>
      <c r="I1089" s="2">
        <v>28000</v>
      </c>
      <c r="J1089" t="s">
        <v>221</v>
      </c>
      <c r="K1089" t="s">
        <v>2513</v>
      </c>
    </row>
    <row r="1090" spans="1:11" x14ac:dyDescent="0.25">
      <c r="A1090" t="s">
        <v>1785</v>
      </c>
      <c r="B1090" s="3">
        <v>46296</v>
      </c>
      <c r="C1090" t="s">
        <v>454</v>
      </c>
      <c r="D1090" t="s">
        <v>344</v>
      </c>
      <c r="E1090">
        <v>48</v>
      </c>
      <c r="F1090" t="s">
        <v>346</v>
      </c>
      <c r="G1090" t="s">
        <v>55</v>
      </c>
      <c r="H1090" t="s">
        <v>3530</v>
      </c>
      <c r="I1090" s="2">
        <v>50000</v>
      </c>
      <c r="J1090" t="s">
        <v>455</v>
      </c>
      <c r="K1090" t="s">
        <v>2509</v>
      </c>
    </row>
    <row r="1091" spans="1:11" x14ac:dyDescent="0.25">
      <c r="A1091" t="s">
        <v>1786</v>
      </c>
      <c r="B1091" s="3">
        <v>46296</v>
      </c>
      <c r="C1091" t="s">
        <v>375</v>
      </c>
      <c r="D1091" t="s">
        <v>364</v>
      </c>
      <c r="E1091">
        <v>8</v>
      </c>
      <c r="F1091" t="s">
        <v>358</v>
      </c>
      <c r="G1091" t="s">
        <v>55</v>
      </c>
      <c r="H1091" t="s">
        <v>3531</v>
      </c>
      <c r="I1091" s="2">
        <v>23000</v>
      </c>
      <c r="J1091" t="s">
        <v>110</v>
      </c>
      <c r="K1091" t="s">
        <v>2509</v>
      </c>
    </row>
    <row r="1092" spans="1:11" x14ac:dyDescent="0.25">
      <c r="A1092" t="s">
        <v>1787</v>
      </c>
      <c r="B1092" s="3">
        <v>46296</v>
      </c>
      <c r="C1092" t="s">
        <v>686</v>
      </c>
      <c r="D1092" t="s">
        <v>589</v>
      </c>
      <c r="E1092">
        <v>24</v>
      </c>
      <c r="F1092" t="s">
        <v>469</v>
      </c>
      <c r="G1092" t="s">
        <v>17</v>
      </c>
      <c r="H1092" t="s">
        <v>3532</v>
      </c>
      <c r="I1092" s="2">
        <v>14000</v>
      </c>
      <c r="J1092" t="s">
        <v>185</v>
      </c>
      <c r="K1092" t="s">
        <v>2503</v>
      </c>
    </row>
    <row r="1093" spans="1:11" x14ac:dyDescent="0.25">
      <c r="A1093" t="s">
        <v>1788</v>
      </c>
      <c r="B1093" s="3">
        <v>46296</v>
      </c>
      <c r="C1093" t="s">
        <v>672</v>
      </c>
      <c r="D1093" t="s">
        <v>612</v>
      </c>
      <c r="E1093">
        <v>7</v>
      </c>
      <c r="F1093" t="s">
        <v>2</v>
      </c>
      <c r="G1093" t="s">
        <v>40</v>
      </c>
      <c r="H1093" t="s">
        <v>3533</v>
      </c>
      <c r="I1093" s="2">
        <v>33000</v>
      </c>
      <c r="J1093" t="s">
        <v>147</v>
      </c>
      <c r="K1093" t="s">
        <v>2509</v>
      </c>
    </row>
    <row r="1094" spans="1:11" x14ac:dyDescent="0.25">
      <c r="A1094" t="s">
        <v>1789</v>
      </c>
      <c r="B1094" s="3">
        <v>46296</v>
      </c>
      <c r="C1094" t="s">
        <v>249</v>
      </c>
      <c r="D1094" t="s">
        <v>216</v>
      </c>
      <c r="E1094">
        <v>10</v>
      </c>
      <c r="F1094" t="s">
        <v>2</v>
      </c>
      <c r="G1094" t="s">
        <v>17</v>
      </c>
      <c r="H1094" t="s">
        <v>3534</v>
      </c>
      <c r="I1094" s="2">
        <v>502000</v>
      </c>
      <c r="J1094" t="s">
        <v>250</v>
      </c>
      <c r="K1094" t="s">
        <v>2503</v>
      </c>
    </row>
    <row r="1095" spans="1:11" x14ac:dyDescent="0.25">
      <c r="A1095" t="s">
        <v>1790</v>
      </c>
      <c r="B1095" s="3">
        <v>46296</v>
      </c>
      <c r="C1095" t="s">
        <v>209</v>
      </c>
      <c r="D1095" t="s">
        <v>210</v>
      </c>
      <c r="E1095">
        <v>16</v>
      </c>
      <c r="F1095" t="s">
        <v>2</v>
      </c>
      <c r="G1095" t="s">
        <v>55</v>
      </c>
      <c r="H1095" t="s">
        <v>3535</v>
      </c>
      <c r="I1095" s="2">
        <v>4229000</v>
      </c>
      <c r="J1095" t="s">
        <v>183</v>
      </c>
      <c r="K1095" t="s">
        <v>2509</v>
      </c>
    </row>
    <row r="1096" spans="1:11" x14ac:dyDescent="0.25">
      <c r="A1096" t="s">
        <v>1791</v>
      </c>
      <c r="B1096" s="3">
        <v>46296</v>
      </c>
      <c r="C1096" t="s">
        <v>500</v>
      </c>
      <c r="D1096" t="s">
        <v>488</v>
      </c>
      <c r="E1096">
        <v>22</v>
      </c>
      <c r="F1096" t="s">
        <v>469</v>
      </c>
      <c r="G1096" t="s">
        <v>32</v>
      </c>
      <c r="H1096" t="s">
        <v>3536</v>
      </c>
      <c r="I1096" s="2">
        <v>89000</v>
      </c>
      <c r="J1096" t="s">
        <v>27</v>
      </c>
      <c r="K1096" t="s">
        <v>2503</v>
      </c>
    </row>
    <row r="1097" spans="1:11" x14ac:dyDescent="0.25">
      <c r="A1097" t="s">
        <v>1792</v>
      </c>
      <c r="B1097" s="3">
        <v>46296</v>
      </c>
      <c r="C1097" t="s">
        <v>280</v>
      </c>
      <c r="D1097" t="s">
        <v>210</v>
      </c>
      <c r="E1097">
        <v>18</v>
      </c>
      <c r="F1097" t="s">
        <v>2</v>
      </c>
      <c r="G1097" t="s">
        <v>81</v>
      </c>
      <c r="H1097" t="s">
        <v>3537</v>
      </c>
      <c r="I1097" s="2">
        <v>2751000</v>
      </c>
      <c r="J1097" t="s">
        <v>126</v>
      </c>
      <c r="K1097" t="s">
        <v>2503</v>
      </c>
    </row>
    <row r="1098" spans="1:11" x14ac:dyDescent="0.25">
      <c r="A1098" t="s">
        <v>1793</v>
      </c>
      <c r="B1098" s="3">
        <v>46296</v>
      </c>
      <c r="C1098" t="s">
        <v>679</v>
      </c>
      <c r="D1098" t="s">
        <v>597</v>
      </c>
      <c r="E1098">
        <v>19</v>
      </c>
      <c r="F1098" t="s">
        <v>355</v>
      </c>
      <c r="G1098" t="s">
        <v>85</v>
      </c>
      <c r="H1098" t="s">
        <v>3538</v>
      </c>
      <c r="I1098" s="2">
        <v>41000</v>
      </c>
      <c r="J1098" t="s">
        <v>368</v>
      </c>
      <c r="K1098" t="s">
        <v>2503</v>
      </c>
    </row>
    <row r="1099" spans="1:11" x14ac:dyDescent="0.25">
      <c r="A1099" t="s">
        <v>1794</v>
      </c>
      <c r="B1099" s="3">
        <v>46296</v>
      </c>
      <c r="C1099" t="s">
        <v>254</v>
      </c>
      <c r="D1099" t="s">
        <v>213</v>
      </c>
      <c r="E1099">
        <v>39</v>
      </c>
      <c r="F1099" t="s">
        <v>2</v>
      </c>
      <c r="G1099" t="s">
        <v>85</v>
      </c>
      <c r="H1099" t="s">
        <v>3539</v>
      </c>
      <c r="I1099" s="2">
        <v>3840000</v>
      </c>
      <c r="J1099" t="s">
        <v>59</v>
      </c>
      <c r="K1099" t="s">
        <v>2503</v>
      </c>
    </row>
    <row r="1100" spans="1:11" x14ac:dyDescent="0.25">
      <c r="A1100" t="s">
        <v>1795</v>
      </c>
      <c r="B1100" s="3">
        <v>46296</v>
      </c>
      <c r="C1100" t="s">
        <v>679</v>
      </c>
      <c r="D1100" t="s">
        <v>597</v>
      </c>
      <c r="E1100">
        <v>35</v>
      </c>
      <c r="F1100" t="s">
        <v>355</v>
      </c>
      <c r="G1100" t="s">
        <v>85</v>
      </c>
      <c r="H1100" t="s">
        <v>3540</v>
      </c>
      <c r="I1100" s="2">
        <v>41000</v>
      </c>
      <c r="J1100" t="s">
        <v>368</v>
      </c>
      <c r="K1100" t="s">
        <v>2509</v>
      </c>
    </row>
    <row r="1101" spans="1:11" x14ac:dyDescent="0.25">
      <c r="A1101" t="s">
        <v>1796</v>
      </c>
      <c r="B1101" s="3">
        <v>46296</v>
      </c>
      <c r="C1101" t="s">
        <v>202</v>
      </c>
      <c r="D1101" t="s">
        <v>54</v>
      </c>
      <c r="E1101">
        <v>14</v>
      </c>
      <c r="F1101" t="s">
        <v>2</v>
      </c>
      <c r="G1101" t="s">
        <v>48</v>
      </c>
      <c r="H1101" t="s">
        <v>3541</v>
      </c>
      <c r="I1101" s="2">
        <v>31000</v>
      </c>
      <c r="J1101" t="s">
        <v>203</v>
      </c>
      <c r="K1101" t="s">
        <v>2509</v>
      </c>
    </row>
    <row r="1102" spans="1:11" x14ac:dyDescent="0.25">
      <c r="A1102" t="s">
        <v>1797</v>
      </c>
      <c r="B1102" s="3">
        <v>46296</v>
      </c>
      <c r="C1102" t="s">
        <v>692</v>
      </c>
      <c r="D1102" t="s">
        <v>582</v>
      </c>
      <c r="E1102">
        <v>50</v>
      </c>
      <c r="F1102" t="s">
        <v>2</v>
      </c>
      <c r="G1102" t="s">
        <v>55</v>
      </c>
      <c r="H1102" t="s">
        <v>3542</v>
      </c>
      <c r="I1102" s="2">
        <v>84000</v>
      </c>
      <c r="J1102" t="s">
        <v>181</v>
      </c>
      <c r="K1102" t="s">
        <v>2503</v>
      </c>
    </row>
    <row r="1103" spans="1:11" x14ac:dyDescent="0.25">
      <c r="A1103" t="s">
        <v>1798</v>
      </c>
      <c r="B1103" s="3">
        <v>46296</v>
      </c>
      <c r="C1103" t="s">
        <v>212</v>
      </c>
      <c r="D1103" t="s">
        <v>213</v>
      </c>
      <c r="E1103">
        <v>14</v>
      </c>
      <c r="F1103" t="s">
        <v>2</v>
      </c>
      <c r="G1103" t="s">
        <v>36</v>
      </c>
      <c r="H1103" t="s">
        <v>3543</v>
      </c>
      <c r="I1103" s="2">
        <v>2642000</v>
      </c>
      <c r="J1103" t="s">
        <v>129</v>
      </c>
      <c r="K1103" t="s">
        <v>2513</v>
      </c>
    </row>
    <row r="1104" spans="1:11" x14ac:dyDescent="0.25">
      <c r="A1104" t="s">
        <v>1799</v>
      </c>
      <c r="B1104" s="3">
        <v>46296</v>
      </c>
      <c r="C1104" t="s">
        <v>319</v>
      </c>
      <c r="D1104" t="s">
        <v>234</v>
      </c>
      <c r="E1104">
        <v>60</v>
      </c>
      <c r="F1104" t="s">
        <v>2</v>
      </c>
      <c r="G1104" t="s">
        <v>81</v>
      </c>
      <c r="H1104" t="s">
        <v>3544</v>
      </c>
      <c r="I1104" s="2">
        <v>393000</v>
      </c>
      <c r="J1104" t="s">
        <v>287</v>
      </c>
      <c r="K1104" t="s">
        <v>2503</v>
      </c>
    </row>
    <row r="1105" spans="1:11" x14ac:dyDescent="0.25">
      <c r="A1105" t="s">
        <v>1800</v>
      </c>
      <c r="B1105" s="3">
        <v>46296</v>
      </c>
      <c r="C1105" t="s">
        <v>648</v>
      </c>
      <c r="D1105" t="s">
        <v>585</v>
      </c>
      <c r="E1105">
        <v>15</v>
      </c>
      <c r="F1105" t="s">
        <v>355</v>
      </c>
      <c r="G1105" t="s">
        <v>22</v>
      </c>
      <c r="H1105" t="s">
        <v>3545</v>
      </c>
      <c r="I1105" s="2">
        <v>29000</v>
      </c>
      <c r="J1105" t="s">
        <v>203</v>
      </c>
      <c r="K1105" t="s">
        <v>2503</v>
      </c>
    </row>
    <row r="1106" spans="1:11" x14ac:dyDescent="0.25">
      <c r="A1106" t="s">
        <v>1801</v>
      </c>
      <c r="B1106" s="3">
        <v>46296</v>
      </c>
      <c r="C1106" t="s">
        <v>380</v>
      </c>
      <c r="D1106" t="s">
        <v>344</v>
      </c>
      <c r="E1106">
        <v>38</v>
      </c>
      <c r="F1106" t="s">
        <v>346</v>
      </c>
      <c r="G1106" t="s">
        <v>85</v>
      </c>
      <c r="H1106" t="s">
        <v>3546</v>
      </c>
      <c r="I1106" s="2">
        <v>63000</v>
      </c>
      <c r="J1106" t="s">
        <v>129</v>
      </c>
      <c r="K1106" t="s">
        <v>2509</v>
      </c>
    </row>
    <row r="1107" spans="1:11" x14ac:dyDescent="0.25">
      <c r="A1107" t="s">
        <v>1802</v>
      </c>
      <c r="B1107" s="3">
        <v>46297</v>
      </c>
      <c r="C1107" t="s">
        <v>391</v>
      </c>
      <c r="D1107" t="s">
        <v>357</v>
      </c>
      <c r="E1107">
        <v>31</v>
      </c>
      <c r="F1107" t="s">
        <v>358</v>
      </c>
      <c r="G1107" t="s">
        <v>36</v>
      </c>
      <c r="H1107" t="s">
        <v>3547</v>
      </c>
      <c r="I1107" s="2">
        <v>28000</v>
      </c>
      <c r="J1107" t="s">
        <v>221</v>
      </c>
      <c r="K1107" t="s">
        <v>2500</v>
      </c>
    </row>
    <row r="1108" spans="1:11" x14ac:dyDescent="0.25">
      <c r="A1108" t="s">
        <v>1803</v>
      </c>
      <c r="B1108" s="3">
        <v>46297</v>
      </c>
      <c r="C1108" t="s">
        <v>331</v>
      </c>
      <c r="D1108" t="s">
        <v>234</v>
      </c>
      <c r="E1108">
        <v>41</v>
      </c>
      <c r="F1108" t="s">
        <v>2</v>
      </c>
      <c r="G1108" t="s">
        <v>32</v>
      </c>
      <c r="H1108" t="s">
        <v>3548</v>
      </c>
      <c r="I1108" s="2">
        <v>1646000</v>
      </c>
      <c r="J1108" t="s">
        <v>57</v>
      </c>
      <c r="K1108" t="s">
        <v>2509</v>
      </c>
    </row>
    <row r="1109" spans="1:11" x14ac:dyDescent="0.25">
      <c r="A1109" t="s">
        <v>1804</v>
      </c>
      <c r="B1109" s="3">
        <v>46297</v>
      </c>
      <c r="C1109" t="s">
        <v>460</v>
      </c>
      <c r="D1109" t="s">
        <v>366</v>
      </c>
      <c r="E1109">
        <v>31</v>
      </c>
      <c r="F1109" t="s">
        <v>2</v>
      </c>
      <c r="G1109" t="s">
        <v>55</v>
      </c>
      <c r="H1109" t="s">
        <v>3549</v>
      </c>
      <c r="I1109" s="2">
        <v>35000</v>
      </c>
      <c r="J1109" t="s">
        <v>201</v>
      </c>
      <c r="K1109" t="s">
        <v>2503</v>
      </c>
    </row>
    <row r="1110" spans="1:11" x14ac:dyDescent="0.25">
      <c r="A1110" t="s">
        <v>1805</v>
      </c>
      <c r="B1110" s="3">
        <v>46297</v>
      </c>
      <c r="C1110" t="s">
        <v>487</v>
      </c>
      <c r="D1110" t="s">
        <v>488</v>
      </c>
      <c r="E1110">
        <v>31</v>
      </c>
      <c r="F1110" t="s">
        <v>469</v>
      </c>
      <c r="G1110" t="s">
        <v>81</v>
      </c>
      <c r="H1110" t="s">
        <v>3550</v>
      </c>
      <c r="I1110" s="2">
        <v>34000</v>
      </c>
      <c r="J1110" t="s">
        <v>142</v>
      </c>
      <c r="K1110" t="s">
        <v>2509</v>
      </c>
    </row>
    <row r="1111" spans="1:11" x14ac:dyDescent="0.25">
      <c r="A1111" t="s">
        <v>1806</v>
      </c>
      <c r="B1111" s="3">
        <v>46297</v>
      </c>
      <c r="C1111" t="s">
        <v>143</v>
      </c>
      <c r="D1111" t="s">
        <v>47</v>
      </c>
      <c r="E1111">
        <v>29</v>
      </c>
      <c r="F1111" t="s">
        <v>2</v>
      </c>
      <c r="G1111" t="s">
        <v>48</v>
      </c>
      <c r="H1111" t="s">
        <v>3551</v>
      </c>
      <c r="I1111" s="2">
        <v>171000</v>
      </c>
      <c r="J1111" t="s">
        <v>144</v>
      </c>
      <c r="K1111" t="s">
        <v>2513</v>
      </c>
    </row>
    <row r="1112" spans="1:11" x14ac:dyDescent="0.25">
      <c r="A1112" t="s">
        <v>1807</v>
      </c>
      <c r="B1112" s="3">
        <v>46297</v>
      </c>
      <c r="C1112" t="s">
        <v>538</v>
      </c>
      <c r="D1112" t="s">
        <v>490</v>
      </c>
      <c r="E1112">
        <v>59</v>
      </c>
      <c r="F1112" t="s">
        <v>355</v>
      </c>
      <c r="G1112" t="s">
        <v>81</v>
      </c>
      <c r="H1112" t="s">
        <v>3552</v>
      </c>
      <c r="I1112" s="2">
        <v>28000</v>
      </c>
      <c r="J1112" t="s">
        <v>327</v>
      </c>
      <c r="K1112" t="s">
        <v>2509</v>
      </c>
    </row>
    <row r="1113" spans="1:11" x14ac:dyDescent="0.25">
      <c r="A1113" t="s">
        <v>1808</v>
      </c>
      <c r="B1113" s="3">
        <v>46297</v>
      </c>
      <c r="C1113" t="s">
        <v>352</v>
      </c>
      <c r="D1113" t="s">
        <v>344</v>
      </c>
      <c r="E1113">
        <v>66</v>
      </c>
      <c r="F1113" t="s">
        <v>346</v>
      </c>
      <c r="G1113" t="s">
        <v>48</v>
      </c>
      <c r="H1113" t="s">
        <v>3553</v>
      </c>
      <c r="I1113" s="2">
        <v>45000</v>
      </c>
      <c r="J1113" t="s">
        <v>189</v>
      </c>
      <c r="K1113" t="s">
        <v>2513</v>
      </c>
    </row>
    <row r="1114" spans="1:11" x14ac:dyDescent="0.25">
      <c r="A1114" t="s">
        <v>1809</v>
      </c>
      <c r="B1114" s="3">
        <v>46297</v>
      </c>
      <c r="C1114" t="s">
        <v>643</v>
      </c>
      <c r="D1114" t="s">
        <v>582</v>
      </c>
      <c r="E1114">
        <v>11</v>
      </c>
      <c r="F1114" t="s">
        <v>2</v>
      </c>
      <c r="G1114" t="s">
        <v>55</v>
      </c>
      <c r="H1114" t="s">
        <v>3554</v>
      </c>
      <c r="I1114" s="2">
        <v>146000</v>
      </c>
      <c r="J1114" t="s">
        <v>423</v>
      </c>
      <c r="K1114" t="s">
        <v>2500</v>
      </c>
    </row>
    <row r="1115" spans="1:11" x14ac:dyDescent="0.25">
      <c r="A1115" t="s">
        <v>1810</v>
      </c>
      <c r="B1115" s="3">
        <v>46297</v>
      </c>
      <c r="C1115" t="s">
        <v>408</v>
      </c>
      <c r="D1115" t="s">
        <v>354</v>
      </c>
      <c r="E1115">
        <v>15</v>
      </c>
      <c r="F1115" t="s">
        <v>355</v>
      </c>
      <c r="G1115" t="s">
        <v>36</v>
      </c>
      <c r="H1115" t="s">
        <v>3555</v>
      </c>
      <c r="I1115" s="2">
        <v>27000</v>
      </c>
      <c r="J1115" t="s">
        <v>219</v>
      </c>
      <c r="K1115" t="s">
        <v>2509</v>
      </c>
    </row>
    <row r="1116" spans="1:11" x14ac:dyDescent="0.25">
      <c r="A1116" t="s">
        <v>1811</v>
      </c>
      <c r="B1116" s="3">
        <v>46297</v>
      </c>
      <c r="C1116" t="s">
        <v>586</v>
      </c>
      <c r="D1116" t="s">
        <v>587</v>
      </c>
      <c r="E1116">
        <v>39</v>
      </c>
      <c r="F1116" t="s">
        <v>2</v>
      </c>
      <c r="G1116" t="s">
        <v>48</v>
      </c>
      <c r="H1116" t="s">
        <v>3556</v>
      </c>
      <c r="I1116" s="2">
        <v>16000</v>
      </c>
      <c r="J1116" t="s">
        <v>166</v>
      </c>
      <c r="K1116" t="s">
        <v>2500</v>
      </c>
    </row>
    <row r="1117" spans="1:11" x14ac:dyDescent="0.25">
      <c r="A1117" t="s">
        <v>1812</v>
      </c>
      <c r="B1117" s="3">
        <v>46297</v>
      </c>
      <c r="C1117" t="s">
        <v>145</v>
      </c>
      <c r="D1117" t="s">
        <v>26</v>
      </c>
      <c r="E1117">
        <v>6</v>
      </c>
      <c r="F1117" t="s">
        <v>2</v>
      </c>
      <c r="G1117" t="s">
        <v>36</v>
      </c>
      <c r="H1117" t="s">
        <v>3557</v>
      </c>
      <c r="I1117" s="2">
        <v>282000</v>
      </c>
      <c r="J1117" t="s">
        <v>59</v>
      </c>
      <c r="K1117" t="s">
        <v>2503</v>
      </c>
    </row>
    <row r="1118" spans="1:11" x14ac:dyDescent="0.25">
      <c r="A1118" t="s">
        <v>1813</v>
      </c>
      <c r="B1118" s="3">
        <v>46297</v>
      </c>
      <c r="C1118" t="s">
        <v>691</v>
      </c>
      <c r="D1118" t="s">
        <v>585</v>
      </c>
      <c r="E1118">
        <v>8</v>
      </c>
      <c r="F1118" t="s">
        <v>355</v>
      </c>
      <c r="G1118" t="s">
        <v>17</v>
      </c>
      <c r="H1118" t="s">
        <v>3558</v>
      </c>
      <c r="I1118" s="2">
        <v>22000</v>
      </c>
      <c r="J1118" t="s">
        <v>19</v>
      </c>
      <c r="K1118" t="s">
        <v>2500</v>
      </c>
    </row>
    <row r="1119" spans="1:11" x14ac:dyDescent="0.25">
      <c r="A1119" t="s">
        <v>1814</v>
      </c>
      <c r="B1119" s="3">
        <v>46297</v>
      </c>
      <c r="C1119" t="s">
        <v>105</v>
      </c>
      <c r="D1119" t="s">
        <v>44</v>
      </c>
      <c r="E1119">
        <v>9</v>
      </c>
      <c r="F1119" t="s">
        <v>2</v>
      </c>
      <c r="G1119" t="s">
        <v>40</v>
      </c>
      <c r="H1119" t="s">
        <v>3559</v>
      </c>
      <c r="I1119" s="2">
        <v>28000</v>
      </c>
      <c r="J1119" t="s">
        <v>106</v>
      </c>
      <c r="K1119" t="s">
        <v>2500</v>
      </c>
    </row>
    <row r="1120" spans="1:11" x14ac:dyDescent="0.25">
      <c r="A1120" t="s">
        <v>1815</v>
      </c>
      <c r="B1120" s="3">
        <v>46297</v>
      </c>
      <c r="C1120" t="s">
        <v>199</v>
      </c>
      <c r="D1120" t="s">
        <v>163</v>
      </c>
      <c r="E1120">
        <v>55</v>
      </c>
      <c r="F1120" t="s">
        <v>2</v>
      </c>
      <c r="G1120" t="s">
        <v>36</v>
      </c>
      <c r="H1120" t="s">
        <v>3560</v>
      </c>
      <c r="I1120" s="2">
        <v>24000</v>
      </c>
      <c r="J1120" t="s">
        <v>75</v>
      </c>
      <c r="K1120" t="s">
        <v>2509</v>
      </c>
    </row>
    <row r="1121" spans="1:11" x14ac:dyDescent="0.25">
      <c r="A1121" t="s">
        <v>1816</v>
      </c>
      <c r="B1121" s="3">
        <v>46297</v>
      </c>
      <c r="C1121" t="s">
        <v>303</v>
      </c>
      <c r="D1121" t="s">
        <v>261</v>
      </c>
      <c r="E1121">
        <v>8</v>
      </c>
      <c r="F1121" t="s">
        <v>2</v>
      </c>
      <c r="G1121" t="s">
        <v>36</v>
      </c>
      <c r="H1121" t="s">
        <v>3561</v>
      </c>
      <c r="I1121" s="2">
        <v>381000</v>
      </c>
      <c r="J1121" t="s">
        <v>67</v>
      </c>
      <c r="K1121" t="s">
        <v>2513</v>
      </c>
    </row>
    <row r="1122" spans="1:11" x14ac:dyDescent="0.25">
      <c r="A1122" t="s">
        <v>1817</v>
      </c>
      <c r="B1122" s="3">
        <v>46297</v>
      </c>
      <c r="C1122" t="s">
        <v>515</v>
      </c>
      <c r="D1122" t="s">
        <v>488</v>
      </c>
      <c r="E1122">
        <v>11</v>
      </c>
      <c r="F1122" t="s">
        <v>469</v>
      </c>
      <c r="G1122" t="s">
        <v>36</v>
      </c>
      <c r="H1122" t="s">
        <v>3562</v>
      </c>
      <c r="I1122" s="2">
        <v>45000</v>
      </c>
      <c r="J1122" t="s">
        <v>292</v>
      </c>
      <c r="K1122" t="s">
        <v>2500</v>
      </c>
    </row>
    <row r="1123" spans="1:11" x14ac:dyDescent="0.25">
      <c r="A1123" t="s">
        <v>1818</v>
      </c>
      <c r="B1123" s="3">
        <v>46297</v>
      </c>
      <c r="C1123" t="s">
        <v>652</v>
      </c>
      <c r="D1123" t="s">
        <v>587</v>
      </c>
      <c r="E1123">
        <v>20</v>
      </c>
      <c r="F1123" t="s">
        <v>2</v>
      </c>
      <c r="G1123" t="s">
        <v>85</v>
      </c>
      <c r="H1123" t="s">
        <v>3563</v>
      </c>
      <c r="I1123" s="2">
        <v>14000</v>
      </c>
      <c r="J1123" t="s">
        <v>34</v>
      </c>
      <c r="K1123" t="s">
        <v>2500</v>
      </c>
    </row>
    <row r="1124" spans="1:11" x14ac:dyDescent="0.25">
      <c r="A1124" t="s">
        <v>1819</v>
      </c>
      <c r="B1124" s="3">
        <v>46297</v>
      </c>
      <c r="C1124" t="s">
        <v>154</v>
      </c>
      <c r="D1124" t="s">
        <v>26</v>
      </c>
      <c r="E1124">
        <v>12</v>
      </c>
      <c r="F1124" t="s">
        <v>2</v>
      </c>
      <c r="G1124" t="s">
        <v>32</v>
      </c>
      <c r="H1124" t="s">
        <v>3564</v>
      </c>
      <c r="I1124" s="2">
        <v>366000</v>
      </c>
      <c r="J1124" t="s">
        <v>155</v>
      </c>
      <c r="K1124" t="s">
        <v>2509</v>
      </c>
    </row>
    <row r="1125" spans="1:11" x14ac:dyDescent="0.25">
      <c r="A1125" t="s">
        <v>1820</v>
      </c>
      <c r="B1125" s="3">
        <v>46297</v>
      </c>
      <c r="C1125" t="s">
        <v>150</v>
      </c>
      <c r="D1125" t="s">
        <v>47</v>
      </c>
      <c r="E1125">
        <v>66</v>
      </c>
      <c r="F1125" t="s">
        <v>2</v>
      </c>
      <c r="G1125" t="s">
        <v>85</v>
      </c>
      <c r="H1125" t="s">
        <v>3565</v>
      </c>
      <c r="I1125" s="2">
        <v>181000</v>
      </c>
      <c r="J1125" t="s">
        <v>71</v>
      </c>
      <c r="K1125" t="s">
        <v>2500</v>
      </c>
    </row>
    <row r="1126" spans="1:11" x14ac:dyDescent="0.25">
      <c r="A1126" t="s">
        <v>1821</v>
      </c>
      <c r="B1126" s="3">
        <v>46297</v>
      </c>
      <c r="C1126" t="s">
        <v>628</v>
      </c>
      <c r="D1126" t="s">
        <v>629</v>
      </c>
      <c r="E1126">
        <v>22</v>
      </c>
      <c r="F1126" t="s">
        <v>355</v>
      </c>
      <c r="G1126" t="s">
        <v>36</v>
      </c>
      <c r="H1126" t="s">
        <v>3566</v>
      </c>
      <c r="I1126" s="2">
        <v>17000</v>
      </c>
      <c r="J1126" t="s">
        <v>397</v>
      </c>
      <c r="K1126" t="s">
        <v>2509</v>
      </c>
    </row>
    <row r="1127" spans="1:11" x14ac:dyDescent="0.25">
      <c r="A1127" t="s">
        <v>1822</v>
      </c>
      <c r="B1127" s="3">
        <v>46297</v>
      </c>
      <c r="C1127" t="s">
        <v>339</v>
      </c>
      <c r="D1127" t="s">
        <v>223</v>
      </c>
      <c r="E1127">
        <v>40</v>
      </c>
      <c r="F1127" t="s">
        <v>2</v>
      </c>
      <c r="G1127" t="s">
        <v>17</v>
      </c>
      <c r="H1127" t="s">
        <v>3567</v>
      </c>
      <c r="I1127" s="2">
        <v>397000</v>
      </c>
      <c r="J1127" t="s">
        <v>34</v>
      </c>
      <c r="K1127" t="s">
        <v>2509</v>
      </c>
    </row>
    <row r="1128" spans="1:11" x14ac:dyDescent="0.25">
      <c r="A1128" t="s">
        <v>1823</v>
      </c>
      <c r="B1128" s="3">
        <v>46297</v>
      </c>
      <c r="C1128" t="s">
        <v>604</v>
      </c>
      <c r="D1128" t="s">
        <v>599</v>
      </c>
      <c r="E1128">
        <v>13</v>
      </c>
      <c r="F1128" t="s">
        <v>2</v>
      </c>
      <c r="G1128" t="s">
        <v>48</v>
      </c>
      <c r="H1128" t="s">
        <v>3568</v>
      </c>
      <c r="I1128" s="2">
        <v>117000</v>
      </c>
      <c r="J1128" t="s">
        <v>110</v>
      </c>
      <c r="K1128" t="s">
        <v>2503</v>
      </c>
    </row>
    <row r="1129" spans="1:11" x14ac:dyDescent="0.25">
      <c r="A1129" t="s">
        <v>1824</v>
      </c>
      <c r="B1129" s="3">
        <v>46297</v>
      </c>
      <c r="C1129" t="s">
        <v>207</v>
      </c>
      <c r="D1129" t="s">
        <v>29</v>
      </c>
      <c r="E1129">
        <v>41</v>
      </c>
      <c r="F1129" t="s">
        <v>2</v>
      </c>
      <c r="G1129" t="s">
        <v>32</v>
      </c>
      <c r="H1129" t="s">
        <v>3569</v>
      </c>
      <c r="I1129" s="2">
        <v>269000</v>
      </c>
      <c r="J1129" t="s">
        <v>208</v>
      </c>
      <c r="K1129" t="s">
        <v>2500</v>
      </c>
    </row>
    <row r="1130" spans="1:11" x14ac:dyDescent="0.25">
      <c r="A1130" t="s">
        <v>1825</v>
      </c>
      <c r="B1130" s="3">
        <v>46297</v>
      </c>
      <c r="C1130" t="s">
        <v>286</v>
      </c>
      <c r="D1130" t="s">
        <v>218</v>
      </c>
      <c r="E1130">
        <v>37</v>
      </c>
      <c r="F1130" t="s">
        <v>2</v>
      </c>
      <c r="G1130" t="s">
        <v>48</v>
      </c>
      <c r="H1130" t="s">
        <v>3570</v>
      </c>
      <c r="I1130" s="2">
        <v>1732000</v>
      </c>
      <c r="J1130" t="s">
        <v>287</v>
      </c>
      <c r="K1130" t="s">
        <v>2503</v>
      </c>
    </row>
    <row r="1131" spans="1:11" x14ac:dyDescent="0.25">
      <c r="A1131" t="s">
        <v>1826</v>
      </c>
      <c r="B1131" s="3">
        <v>46297</v>
      </c>
      <c r="C1131" t="s">
        <v>460</v>
      </c>
      <c r="D1131" t="s">
        <v>366</v>
      </c>
      <c r="E1131">
        <v>28</v>
      </c>
      <c r="F1131" t="s">
        <v>2</v>
      </c>
      <c r="G1131" t="s">
        <v>55</v>
      </c>
      <c r="H1131" t="s">
        <v>3571</v>
      </c>
      <c r="I1131" s="2">
        <v>35000</v>
      </c>
      <c r="J1131" t="s">
        <v>201</v>
      </c>
      <c r="K1131" t="s">
        <v>2503</v>
      </c>
    </row>
    <row r="1132" spans="1:11" x14ac:dyDescent="0.25">
      <c r="A1132" t="s">
        <v>1827</v>
      </c>
      <c r="B1132" s="3">
        <v>46297</v>
      </c>
      <c r="C1132" t="s">
        <v>444</v>
      </c>
      <c r="D1132" t="s">
        <v>364</v>
      </c>
      <c r="E1132">
        <v>27</v>
      </c>
      <c r="F1132" t="s">
        <v>358</v>
      </c>
      <c r="G1132" t="s">
        <v>32</v>
      </c>
      <c r="H1132" t="s">
        <v>3572</v>
      </c>
      <c r="I1132" s="2">
        <v>32000</v>
      </c>
      <c r="J1132" t="s">
        <v>330</v>
      </c>
      <c r="K1132" t="s">
        <v>2503</v>
      </c>
    </row>
    <row r="1133" spans="1:11" x14ac:dyDescent="0.25">
      <c r="A1133" t="s">
        <v>1828</v>
      </c>
      <c r="B1133" s="3">
        <v>46297</v>
      </c>
      <c r="C1133" t="s">
        <v>153</v>
      </c>
      <c r="D1133" t="s">
        <v>26</v>
      </c>
      <c r="E1133">
        <v>30</v>
      </c>
      <c r="F1133" t="s">
        <v>2</v>
      </c>
      <c r="G1133" t="s">
        <v>22</v>
      </c>
      <c r="H1133" t="s">
        <v>3573</v>
      </c>
      <c r="I1133" s="2">
        <v>310000</v>
      </c>
      <c r="J1133" t="s">
        <v>93</v>
      </c>
      <c r="K1133" t="s">
        <v>2503</v>
      </c>
    </row>
    <row r="1134" spans="1:11" x14ac:dyDescent="0.25">
      <c r="A1134" t="s">
        <v>1829</v>
      </c>
      <c r="B1134" s="3">
        <v>46297</v>
      </c>
      <c r="C1134" t="s">
        <v>405</v>
      </c>
      <c r="D1134" t="s">
        <v>344</v>
      </c>
      <c r="E1134">
        <v>13</v>
      </c>
      <c r="F1134" t="s">
        <v>346</v>
      </c>
      <c r="G1134" t="s">
        <v>48</v>
      </c>
      <c r="H1134" t="s">
        <v>3574</v>
      </c>
      <c r="I1134" s="2">
        <v>65000</v>
      </c>
      <c r="J1134" t="s">
        <v>121</v>
      </c>
      <c r="K1134" t="s">
        <v>2500</v>
      </c>
    </row>
    <row r="1135" spans="1:11" x14ac:dyDescent="0.25">
      <c r="A1135" t="s">
        <v>1830</v>
      </c>
      <c r="B1135" s="3">
        <v>46297</v>
      </c>
      <c r="C1135" t="s">
        <v>470</v>
      </c>
      <c r="D1135" t="s">
        <v>471</v>
      </c>
      <c r="E1135">
        <v>13</v>
      </c>
      <c r="F1135" t="s">
        <v>355</v>
      </c>
      <c r="G1135" t="s">
        <v>32</v>
      </c>
      <c r="H1135" t="s">
        <v>3575</v>
      </c>
      <c r="I1135" s="2">
        <v>30000</v>
      </c>
      <c r="J1135" t="s">
        <v>195</v>
      </c>
      <c r="K1135" t="s">
        <v>2503</v>
      </c>
    </row>
    <row r="1136" spans="1:11" x14ac:dyDescent="0.25">
      <c r="A1136" t="s">
        <v>1831</v>
      </c>
      <c r="B1136" s="3">
        <v>46297</v>
      </c>
      <c r="C1136" t="s">
        <v>188</v>
      </c>
      <c r="D1136" t="s">
        <v>29</v>
      </c>
      <c r="E1136">
        <v>1</v>
      </c>
      <c r="F1136" t="s">
        <v>2</v>
      </c>
      <c r="G1136" t="s">
        <v>48</v>
      </c>
      <c r="H1136" t="s">
        <v>3576</v>
      </c>
      <c r="I1136" s="2">
        <v>192000</v>
      </c>
      <c r="J1136" t="s">
        <v>189</v>
      </c>
      <c r="K1136" t="s">
        <v>2500</v>
      </c>
    </row>
    <row r="1137" spans="1:11" x14ac:dyDescent="0.25">
      <c r="A1137" t="s">
        <v>1832</v>
      </c>
      <c r="B1137" s="3">
        <v>46297</v>
      </c>
      <c r="C1137" t="s">
        <v>670</v>
      </c>
      <c r="D1137" t="s">
        <v>599</v>
      </c>
      <c r="E1137">
        <v>61</v>
      </c>
      <c r="F1137" t="s">
        <v>2</v>
      </c>
      <c r="G1137" t="s">
        <v>32</v>
      </c>
      <c r="H1137" t="s">
        <v>3577</v>
      </c>
      <c r="I1137" s="2">
        <v>124000</v>
      </c>
      <c r="J1137" t="s">
        <v>93</v>
      </c>
      <c r="K1137" t="s">
        <v>2509</v>
      </c>
    </row>
    <row r="1138" spans="1:11" x14ac:dyDescent="0.25">
      <c r="A1138" t="s">
        <v>1833</v>
      </c>
      <c r="B1138" s="3">
        <v>46297</v>
      </c>
      <c r="C1138" t="s">
        <v>620</v>
      </c>
      <c r="D1138" t="s">
        <v>587</v>
      </c>
      <c r="E1138">
        <v>70</v>
      </c>
      <c r="F1138" t="s">
        <v>2</v>
      </c>
      <c r="G1138" t="s">
        <v>36</v>
      </c>
      <c r="H1138" t="s">
        <v>3578</v>
      </c>
      <c r="I1138" s="2">
        <v>49000</v>
      </c>
      <c r="J1138" t="s">
        <v>129</v>
      </c>
      <c r="K1138" t="s">
        <v>2513</v>
      </c>
    </row>
    <row r="1139" spans="1:11" x14ac:dyDescent="0.25">
      <c r="A1139" t="s">
        <v>1834</v>
      </c>
      <c r="B1139" s="3">
        <v>46297</v>
      </c>
      <c r="C1139" t="s">
        <v>299</v>
      </c>
      <c r="D1139" t="s">
        <v>216</v>
      </c>
      <c r="E1139">
        <v>55</v>
      </c>
      <c r="F1139" t="s">
        <v>2</v>
      </c>
      <c r="G1139" t="s">
        <v>17</v>
      </c>
      <c r="H1139" t="s">
        <v>3579</v>
      </c>
      <c r="I1139" s="2">
        <v>535000</v>
      </c>
      <c r="J1139" t="s">
        <v>155</v>
      </c>
      <c r="K1139" t="s">
        <v>2509</v>
      </c>
    </row>
    <row r="1140" spans="1:11" x14ac:dyDescent="0.25">
      <c r="A1140" t="s">
        <v>1835</v>
      </c>
      <c r="B1140" s="3">
        <v>46297</v>
      </c>
      <c r="C1140" t="s">
        <v>532</v>
      </c>
      <c r="D1140" t="s">
        <v>488</v>
      </c>
      <c r="E1140">
        <v>54</v>
      </c>
      <c r="F1140" t="s">
        <v>469</v>
      </c>
      <c r="G1140" t="s">
        <v>22</v>
      </c>
      <c r="H1140" t="s">
        <v>3580</v>
      </c>
      <c r="I1140" s="2">
        <v>82000</v>
      </c>
      <c r="J1140" t="s">
        <v>106</v>
      </c>
      <c r="K1140" t="s">
        <v>2513</v>
      </c>
    </row>
    <row r="1141" spans="1:11" x14ac:dyDescent="0.25">
      <c r="A1141" t="s">
        <v>1836</v>
      </c>
      <c r="B1141" s="3">
        <v>46297</v>
      </c>
      <c r="C1141" t="s">
        <v>254</v>
      </c>
      <c r="D1141" t="s">
        <v>213</v>
      </c>
      <c r="E1141">
        <v>47</v>
      </c>
      <c r="F1141" t="s">
        <v>2</v>
      </c>
      <c r="G1141" t="s">
        <v>85</v>
      </c>
      <c r="H1141" t="s">
        <v>3581</v>
      </c>
      <c r="I1141" s="2">
        <v>3840000</v>
      </c>
      <c r="J1141" t="s">
        <v>59</v>
      </c>
      <c r="K1141" t="s">
        <v>2503</v>
      </c>
    </row>
    <row r="1142" spans="1:11" x14ac:dyDescent="0.25">
      <c r="A1142" t="s">
        <v>1837</v>
      </c>
      <c r="B1142" s="3">
        <v>46297</v>
      </c>
      <c r="C1142" t="s">
        <v>136</v>
      </c>
      <c r="D1142" t="s">
        <v>21</v>
      </c>
      <c r="E1142">
        <v>70</v>
      </c>
      <c r="F1142" t="s">
        <v>2</v>
      </c>
      <c r="G1142" t="s">
        <v>81</v>
      </c>
      <c r="H1142" t="s">
        <v>3582</v>
      </c>
      <c r="I1142" s="2">
        <v>21000</v>
      </c>
      <c r="J1142" t="s">
        <v>83</v>
      </c>
      <c r="K1142" t="s">
        <v>2509</v>
      </c>
    </row>
    <row r="1143" spans="1:11" x14ac:dyDescent="0.25">
      <c r="A1143" t="s">
        <v>1838</v>
      </c>
      <c r="B1143" s="3">
        <v>46297</v>
      </c>
      <c r="C1143" t="s">
        <v>253</v>
      </c>
      <c r="D1143" t="s">
        <v>216</v>
      </c>
      <c r="E1143">
        <v>64</v>
      </c>
      <c r="F1143" t="s">
        <v>2</v>
      </c>
      <c r="G1143" t="s">
        <v>85</v>
      </c>
      <c r="H1143" t="s">
        <v>3583</v>
      </c>
      <c r="I1143" s="2">
        <v>812000</v>
      </c>
      <c r="J1143" t="s">
        <v>71</v>
      </c>
      <c r="K1143" t="s">
        <v>2513</v>
      </c>
    </row>
    <row r="1144" spans="1:11" x14ac:dyDescent="0.25">
      <c r="A1144" t="s">
        <v>1839</v>
      </c>
      <c r="B1144" s="3">
        <v>46297</v>
      </c>
      <c r="C1144" t="s">
        <v>631</v>
      </c>
      <c r="D1144" t="s">
        <v>582</v>
      </c>
      <c r="E1144">
        <v>58</v>
      </c>
      <c r="F1144" t="s">
        <v>2</v>
      </c>
      <c r="G1144" t="s">
        <v>40</v>
      </c>
      <c r="H1144" t="s">
        <v>3584</v>
      </c>
      <c r="I1144" s="2">
        <v>113000</v>
      </c>
      <c r="J1144" t="s">
        <v>110</v>
      </c>
      <c r="K1144" t="s">
        <v>2500</v>
      </c>
    </row>
    <row r="1145" spans="1:11" x14ac:dyDescent="0.25">
      <c r="A1145" t="s">
        <v>1840</v>
      </c>
      <c r="B1145" s="3">
        <v>46298</v>
      </c>
      <c r="C1145" t="s">
        <v>190</v>
      </c>
      <c r="D1145" t="s">
        <v>29</v>
      </c>
      <c r="E1145">
        <v>70</v>
      </c>
      <c r="F1145" t="s">
        <v>2</v>
      </c>
      <c r="G1145" t="s">
        <v>48</v>
      </c>
      <c r="H1145" t="s">
        <v>3585</v>
      </c>
      <c r="I1145" s="2">
        <v>252000</v>
      </c>
      <c r="J1145" t="s">
        <v>77</v>
      </c>
      <c r="K1145" t="s">
        <v>2509</v>
      </c>
    </row>
    <row r="1146" spans="1:11" x14ac:dyDescent="0.25">
      <c r="A1146" t="s">
        <v>1841</v>
      </c>
      <c r="B1146" s="3">
        <v>46298</v>
      </c>
      <c r="C1146" t="s">
        <v>553</v>
      </c>
      <c r="D1146" t="s">
        <v>476</v>
      </c>
      <c r="E1146">
        <v>24</v>
      </c>
      <c r="F1146" t="s">
        <v>477</v>
      </c>
      <c r="G1146" t="s">
        <v>22</v>
      </c>
      <c r="H1146" t="s">
        <v>3586</v>
      </c>
      <c r="I1146" s="2">
        <v>8000</v>
      </c>
      <c r="J1146" t="s">
        <v>324</v>
      </c>
      <c r="K1146" t="s">
        <v>2503</v>
      </c>
    </row>
    <row r="1147" spans="1:11" x14ac:dyDescent="0.25">
      <c r="A1147" t="s">
        <v>1842</v>
      </c>
      <c r="B1147" s="3">
        <v>46298</v>
      </c>
      <c r="C1147" t="s">
        <v>244</v>
      </c>
      <c r="D1147" t="s">
        <v>234</v>
      </c>
      <c r="E1147">
        <v>37</v>
      </c>
      <c r="F1147" t="s">
        <v>2</v>
      </c>
      <c r="G1147" t="s">
        <v>85</v>
      </c>
      <c r="H1147" t="s">
        <v>3587</v>
      </c>
      <c r="I1147" s="2">
        <v>1621000</v>
      </c>
      <c r="J1147" t="s">
        <v>30</v>
      </c>
      <c r="K1147" t="s">
        <v>2509</v>
      </c>
    </row>
    <row r="1148" spans="1:11" x14ac:dyDescent="0.25">
      <c r="A1148" t="s">
        <v>1843</v>
      </c>
      <c r="B1148" s="3">
        <v>46298</v>
      </c>
      <c r="C1148" t="s">
        <v>666</v>
      </c>
      <c r="D1148" t="s">
        <v>599</v>
      </c>
      <c r="E1148">
        <v>23</v>
      </c>
      <c r="F1148" t="s">
        <v>2</v>
      </c>
      <c r="G1148" t="s">
        <v>40</v>
      </c>
      <c r="H1148" t="s">
        <v>3588</v>
      </c>
      <c r="I1148" s="2">
        <v>70000</v>
      </c>
      <c r="J1148" t="s">
        <v>455</v>
      </c>
      <c r="K1148" t="s">
        <v>2513</v>
      </c>
    </row>
    <row r="1149" spans="1:11" x14ac:dyDescent="0.25">
      <c r="A1149" t="s">
        <v>1844</v>
      </c>
      <c r="B1149" s="3">
        <v>46298</v>
      </c>
      <c r="C1149" t="s">
        <v>418</v>
      </c>
      <c r="D1149" t="s">
        <v>349</v>
      </c>
      <c r="E1149">
        <v>12</v>
      </c>
      <c r="F1149" t="s">
        <v>2</v>
      </c>
      <c r="G1149" t="s">
        <v>32</v>
      </c>
      <c r="H1149" t="s">
        <v>3589</v>
      </c>
      <c r="I1149" s="2">
        <v>4000</v>
      </c>
      <c r="J1149" t="s">
        <v>250</v>
      </c>
      <c r="K1149" t="s">
        <v>2503</v>
      </c>
    </row>
    <row r="1150" spans="1:11" x14ac:dyDescent="0.25">
      <c r="A1150" t="s">
        <v>1845</v>
      </c>
      <c r="B1150" s="3">
        <v>46298</v>
      </c>
      <c r="C1150" t="s">
        <v>284</v>
      </c>
      <c r="D1150" t="s">
        <v>213</v>
      </c>
      <c r="E1150">
        <v>42</v>
      </c>
      <c r="F1150" t="s">
        <v>2</v>
      </c>
      <c r="G1150" t="s">
        <v>85</v>
      </c>
      <c r="H1150" t="s">
        <v>3590</v>
      </c>
      <c r="I1150" s="2">
        <v>2006000</v>
      </c>
      <c r="J1150" t="s">
        <v>108</v>
      </c>
      <c r="K1150" t="s">
        <v>2500</v>
      </c>
    </row>
    <row r="1151" spans="1:11" x14ac:dyDescent="0.25">
      <c r="A1151" t="s">
        <v>1846</v>
      </c>
      <c r="B1151" s="3">
        <v>46298</v>
      </c>
      <c r="C1151" t="s">
        <v>187</v>
      </c>
      <c r="D1151" t="s">
        <v>54</v>
      </c>
      <c r="E1151">
        <v>50</v>
      </c>
      <c r="F1151" t="s">
        <v>2</v>
      </c>
      <c r="G1151" t="s">
        <v>36</v>
      </c>
      <c r="H1151" t="s">
        <v>3591</v>
      </c>
      <c r="I1151" s="2">
        <v>122000</v>
      </c>
      <c r="J1151" t="s">
        <v>110</v>
      </c>
      <c r="K1151" t="s">
        <v>2503</v>
      </c>
    </row>
    <row r="1152" spans="1:11" x14ac:dyDescent="0.25">
      <c r="A1152" t="s">
        <v>1847</v>
      </c>
      <c r="B1152" s="3">
        <v>46298</v>
      </c>
      <c r="C1152" t="s">
        <v>369</v>
      </c>
      <c r="D1152" t="s">
        <v>351</v>
      </c>
      <c r="E1152">
        <v>14</v>
      </c>
      <c r="F1152" t="s">
        <v>2</v>
      </c>
      <c r="G1152" t="s">
        <v>36</v>
      </c>
      <c r="H1152" t="s">
        <v>3592</v>
      </c>
      <c r="I1152" s="2">
        <v>594000</v>
      </c>
      <c r="J1152" t="s">
        <v>312</v>
      </c>
      <c r="K1152" t="s">
        <v>2503</v>
      </c>
    </row>
    <row r="1153" spans="1:11" x14ac:dyDescent="0.25">
      <c r="A1153" t="s">
        <v>1848</v>
      </c>
      <c r="B1153" s="3">
        <v>46298</v>
      </c>
      <c r="C1153" t="s">
        <v>556</v>
      </c>
      <c r="D1153" t="s">
        <v>474</v>
      </c>
      <c r="E1153">
        <v>16</v>
      </c>
      <c r="F1153" t="s">
        <v>2</v>
      </c>
      <c r="G1153" t="s">
        <v>55</v>
      </c>
      <c r="H1153" t="s">
        <v>3593</v>
      </c>
      <c r="I1153" s="2">
        <v>11000</v>
      </c>
      <c r="J1153" t="s">
        <v>45</v>
      </c>
      <c r="K1153" t="s">
        <v>2500</v>
      </c>
    </row>
    <row r="1154" spans="1:11" x14ac:dyDescent="0.25">
      <c r="A1154" t="s">
        <v>1849</v>
      </c>
      <c r="B1154" s="3">
        <v>46298</v>
      </c>
      <c r="C1154" t="s">
        <v>526</v>
      </c>
      <c r="D1154" t="s">
        <v>476</v>
      </c>
      <c r="E1154">
        <v>18</v>
      </c>
      <c r="F1154" t="s">
        <v>477</v>
      </c>
      <c r="G1154" t="s">
        <v>81</v>
      </c>
      <c r="H1154" t="s">
        <v>3594</v>
      </c>
      <c r="I1154" s="2">
        <v>4000</v>
      </c>
      <c r="J1154" t="s">
        <v>75</v>
      </c>
      <c r="K1154" t="s">
        <v>2509</v>
      </c>
    </row>
    <row r="1155" spans="1:11" x14ac:dyDescent="0.25">
      <c r="A1155" t="s">
        <v>1850</v>
      </c>
      <c r="B1155" s="3">
        <v>46298</v>
      </c>
      <c r="C1155" t="s">
        <v>626</v>
      </c>
      <c r="D1155" t="s">
        <v>589</v>
      </c>
      <c r="E1155">
        <v>4</v>
      </c>
      <c r="F1155" t="s">
        <v>469</v>
      </c>
      <c r="G1155" t="s">
        <v>48</v>
      </c>
      <c r="H1155" t="s">
        <v>3595</v>
      </c>
      <c r="I1155" s="2">
        <v>22000</v>
      </c>
      <c r="J1155" t="s">
        <v>289</v>
      </c>
      <c r="K1155" t="s">
        <v>2513</v>
      </c>
    </row>
    <row r="1156" spans="1:11" x14ac:dyDescent="0.25">
      <c r="A1156" t="s">
        <v>1851</v>
      </c>
      <c r="B1156" s="3">
        <v>46298</v>
      </c>
      <c r="C1156" t="s">
        <v>580</v>
      </c>
      <c r="D1156" t="s">
        <v>490</v>
      </c>
      <c r="E1156">
        <v>10</v>
      </c>
      <c r="F1156" t="s">
        <v>355</v>
      </c>
      <c r="G1156" t="s">
        <v>36</v>
      </c>
      <c r="H1156" t="s">
        <v>3596</v>
      </c>
      <c r="I1156" s="2">
        <v>18000</v>
      </c>
      <c r="J1156" t="s">
        <v>69</v>
      </c>
      <c r="K1156" t="s">
        <v>2503</v>
      </c>
    </row>
    <row r="1157" spans="1:11" x14ac:dyDescent="0.25">
      <c r="A1157" t="s">
        <v>1852</v>
      </c>
      <c r="B1157" s="3">
        <v>46298</v>
      </c>
      <c r="C1157" t="s">
        <v>623</v>
      </c>
      <c r="D1157" t="s">
        <v>594</v>
      </c>
      <c r="E1157">
        <v>66</v>
      </c>
      <c r="F1157" t="s">
        <v>595</v>
      </c>
      <c r="G1157" t="s">
        <v>40</v>
      </c>
      <c r="H1157" t="s">
        <v>3597</v>
      </c>
      <c r="I1157" s="2">
        <v>10000</v>
      </c>
      <c r="J1157" t="s">
        <v>294</v>
      </c>
      <c r="K1157" t="s">
        <v>2500</v>
      </c>
    </row>
    <row r="1158" spans="1:11" x14ac:dyDescent="0.25">
      <c r="A1158" t="s">
        <v>1853</v>
      </c>
      <c r="B1158" s="3">
        <v>46298</v>
      </c>
      <c r="C1158" t="s">
        <v>648</v>
      </c>
      <c r="D1158" t="s">
        <v>585</v>
      </c>
      <c r="E1158">
        <v>27</v>
      </c>
      <c r="F1158" t="s">
        <v>355</v>
      </c>
      <c r="G1158" t="s">
        <v>22</v>
      </c>
      <c r="H1158" t="s">
        <v>3598</v>
      </c>
      <c r="I1158" s="2">
        <v>29000</v>
      </c>
      <c r="J1158" t="s">
        <v>203</v>
      </c>
      <c r="K1158" t="s">
        <v>2503</v>
      </c>
    </row>
    <row r="1159" spans="1:11" x14ac:dyDescent="0.25">
      <c r="A1159" t="s">
        <v>1854</v>
      </c>
      <c r="B1159" s="3">
        <v>46298</v>
      </c>
      <c r="C1159" t="s">
        <v>198</v>
      </c>
      <c r="D1159" t="s">
        <v>1</v>
      </c>
      <c r="E1159">
        <v>15</v>
      </c>
      <c r="F1159" t="s">
        <v>2</v>
      </c>
      <c r="G1159" t="s">
        <v>81</v>
      </c>
      <c r="H1159" t="s">
        <v>3599</v>
      </c>
      <c r="I1159" s="2">
        <v>76000</v>
      </c>
      <c r="J1159" t="s">
        <v>140</v>
      </c>
      <c r="K1159" t="s">
        <v>2513</v>
      </c>
    </row>
    <row r="1160" spans="1:11" x14ac:dyDescent="0.25">
      <c r="A1160" t="s">
        <v>1855</v>
      </c>
      <c r="B1160" s="3">
        <v>46298</v>
      </c>
      <c r="C1160" t="s">
        <v>323</v>
      </c>
      <c r="D1160" t="s">
        <v>240</v>
      </c>
      <c r="E1160">
        <v>14</v>
      </c>
      <c r="F1160" t="s">
        <v>2</v>
      </c>
      <c r="G1160" t="s">
        <v>48</v>
      </c>
      <c r="H1160" t="s">
        <v>3600</v>
      </c>
      <c r="I1160" s="2">
        <v>439000</v>
      </c>
      <c r="J1160" t="s">
        <v>324</v>
      </c>
      <c r="K1160" t="s">
        <v>2503</v>
      </c>
    </row>
    <row r="1161" spans="1:11" x14ac:dyDescent="0.25">
      <c r="A1161" t="s">
        <v>1856</v>
      </c>
      <c r="B1161" s="3">
        <v>46298</v>
      </c>
      <c r="C1161" t="s">
        <v>212</v>
      </c>
      <c r="D1161" t="s">
        <v>213</v>
      </c>
      <c r="E1161">
        <v>59</v>
      </c>
      <c r="F1161" t="s">
        <v>2</v>
      </c>
      <c r="G1161" t="s">
        <v>36</v>
      </c>
      <c r="H1161" t="s">
        <v>3601</v>
      </c>
      <c r="I1161" s="2">
        <v>2642000</v>
      </c>
      <c r="J1161" t="s">
        <v>129</v>
      </c>
      <c r="K1161" t="s">
        <v>2500</v>
      </c>
    </row>
    <row r="1162" spans="1:11" x14ac:dyDescent="0.25">
      <c r="A1162" t="s">
        <v>1857</v>
      </c>
      <c r="B1162" s="3">
        <v>46298</v>
      </c>
      <c r="C1162" t="s">
        <v>381</v>
      </c>
      <c r="D1162" t="s">
        <v>382</v>
      </c>
      <c r="E1162">
        <v>52</v>
      </c>
      <c r="F1162" t="s">
        <v>383</v>
      </c>
      <c r="G1162" t="s">
        <v>22</v>
      </c>
      <c r="H1162" t="s">
        <v>3602</v>
      </c>
      <c r="I1162" s="2">
        <v>148000</v>
      </c>
      <c r="J1162" t="s">
        <v>106</v>
      </c>
      <c r="K1162" t="s">
        <v>2503</v>
      </c>
    </row>
    <row r="1163" spans="1:11" x14ac:dyDescent="0.25">
      <c r="A1163" t="s">
        <v>1858</v>
      </c>
      <c r="B1163" s="3">
        <v>46298</v>
      </c>
      <c r="C1163" t="s">
        <v>182</v>
      </c>
      <c r="D1163" t="s">
        <v>15</v>
      </c>
      <c r="E1163">
        <v>31</v>
      </c>
      <c r="F1163" t="s">
        <v>2</v>
      </c>
      <c r="G1163" t="s">
        <v>81</v>
      </c>
      <c r="H1163" t="s">
        <v>3603</v>
      </c>
      <c r="I1163" s="2">
        <v>120000</v>
      </c>
      <c r="J1163" t="s">
        <v>183</v>
      </c>
      <c r="K1163" t="s">
        <v>2500</v>
      </c>
    </row>
    <row r="1164" spans="1:11" x14ac:dyDescent="0.25">
      <c r="A1164" t="s">
        <v>1859</v>
      </c>
      <c r="B1164" s="3">
        <v>46298</v>
      </c>
      <c r="C1164" t="s">
        <v>228</v>
      </c>
      <c r="D1164" t="s">
        <v>218</v>
      </c>
      <c r="E1164">
        <v>52</v>
      </c>
      <c r="F1164" t="s">
        <v>2</v>
      </c>
      <c r="G1164" t="s">
        <v>48</v>
      </c>
      <c r="H1164" t="s">
        <v>3604</v>
      </c>
      <c r="I1164" s="2">
        <v>1819000</v>
      </c>
      <c r="J1164" t="s">
        <v>67</v>
      </c>
      <c r="K1164" t="s">
        <v>2500</v>
      </c>
    </row>
    <row r="1165" spans="1:11" x14ac:dyDescent="0.25">
      <c r="A1165" t="s">
        <v>1860</v>
      </c>
      <c r="B1165" s="3">
        <v>46298</v>
      </c>
      <c r="C1165" t="s">
        <v>413</v>
      </c>
      <c r="D1165" t="s">
        <v>360</v>
      </c>
      <c r="E1165">
        <v>34</v>
      </c>
      <c r="F1165" t="s">
        <v>358</v>
      </c>
      <c r="G1165" t="s">
        <v>17</v>
      </c>
      <c r="H1165" t="s">
        <v>3605</v>
      </c>
      <c r="I1165" s="2">
        <v>18000</v>
      </c>
      <c r="J1165" t="s">
        <v>368</v>
      </c>
      <c r="K1165" t="s">
        <v>2503</v>
      </c>
    </row>
    <row r="1166" spans="1:11" x14ac:dyDescent="0.25">
      <c r="A1166" t="s">
        <v>1861</v>
      </c>
      <c r="B1166" s="3">
        <v>46298</v>
      </c>
      <c r="C1166" t="s">
        <v>135</v>
      </c>
      <c r="D1166" t="s">
        <v>44</v>
      </c>
      <c r="E1166">
        <v>54</v>
      </c>
      <c r="F1166" t="s">
        <v>2</v>
      </c>
      <c r="G1166" t="s">
        <v>55</v>
      </c>
      <c r="H1166" t="s">
        <v>3606</v>
      </c>
      <c r="I1166" s="2">
        <v>31000</v>
      </c>
      <c r="J1166" t="s">
        <v>73</v>
      </c>
      <c r="K1166" t="s">
        <v>2500</v>
      </c>
    </row>
    <row r="1167" spans="1:11" x14ac:dyDescent="0.25">
      <c r="A1167" t="s">
        <v>1862</v>
      </c>
      <c r="B1167" s="3">
        <v>46298</v>
      </c>
      <c r="C1167" t="s">
        <v>456</v>
      </c>
      <c r="D1167" t="s">
        <v>351</v>
      </c>
      <c r="E1167">
        <v>64</v>
      </c>
      <c r="F1167" t="s">
        <v>2</v>
      </c>
      <c r="G1167" t="s">
        <v>32</v>
      </c>
      <c r="H1167" t="s">
        <v>3607</v>
      </c>
      <c r="I1167" s="2">
        <v>327000</v>
      </c>
      <c r="J1167" t="s">
        <v>119</v>
      </c>
      <c r="K1167" t="s">
        <v>2513</v>
      </c>
    </row>
    <row r="1168" spans="1:11" x14ac:dyDescent="0.25">
      <c r="A1168" t="s">
        <v>1863</v>
      </c>
      <c r="B1168" s="3">
        <v>46298</v>
      </c>
      <c r="C1168" t="s">
        <v>416</v>
      </c>
      <c r="D1168" t="s">
        <v>344</v>
      </c>
      <c r="E1168">
        <v>44</v>
      </c>
      <c r="F1168" t="s">
        <v>346</v>
      </c>
      <c r="G1168" t="s">
        <v>22</v>
      </c>
      <c r="H1168" t="s">
        <v>3608</v>
      </c>
      <c r="I1168" s="2">
        <v>64000</v>
      </c>
      <c r="J1168" t="s">
        <v>102</v>
      </c>
      <c r="K1168" t="s">
        <v>2503</v>
      </c>
    </row>
    <row r="1169" spans="1:11" x14ac:dyDescent="0.25">
      <c r="A1169" t="s">
        <v>1864</v>
      </c>
      <c r="B1169" s="3">
        <v>46298</v>
      </c>
      <c r="C1169" t="s">
        <v>362</v>
      </c>
      <c r="D1169" t="s">
        <v>360</v>
      </c>
      <c r="E1169">
        <v>14</v>
      </c>
      <c r="F1169" t="s">
        <v>358</v>
      </c>
      <c r="G1169" t="s">
        <v>36</v>
      </c>
      <c r="H1169" t="s">
        <v>3609</v>
      </c>
      <c r="I1169" s="2">
        <v>11000</v>
      </c>
      <c r="J1169" t="s">
        <v>42</v>
      </c>
      <c r="K1169" t="s">
        <v>2503</v>
      </c>
    </row>
    <row r="1170" spans="1:11" x14ac:dyDescent="0.25">
      <c r="A1170" t="s">
        <v>1865</v>
      </c>
      <c r="B1170" s="3">
        <v>46298</v>
      </c>
      <c r="C1170" t="s">
        <v>392</v>
      </c>
      <c r="D1170" t="s">
        <v>349</v>
      </c>
      <c r="E1170">
        <v>55</v>
      </c>
      <c r="F1170" t="s">
        <v>2</v>
      </c>
      <c r="G1170" t="s">
        <v>40</v>
      </c>
      <c r="H1170" t="s">
        <v>3610</v>
      </c>
      <c r="I1170" s="2">
        <v>15000</v>
      </c>
      <c r="J1170" t="s">
        <v>24</v>
      </c>
      <c r="K1170" t="s">
        <v>2509</v>
      </c>
    </row>
    <row r="1171" spans="1:11" x14ac:dyDescent="0.25">
      <c r="A1171" t="s">
        <v>1866</v>
      </c>
      <c r="B1171" s="3">
        <v>46298</v>
      </c>
      <c r="C1171" t="s">
        <v>505</v>
      </c>
      <c r="D1171" t="s">
        <v>479</v>
      </c>
      <c r="E1171">
        <v>33</v>
      </c>
      <c r="F1171" t="s">
        <v>469</v>
      </c>
      <c r="G1171" t="s">
        <v>48</v>
      </c>
      <c r="H1171" t="s">
        <v>3611</v>
      </c>
      <c r="I1171" s="2">
        <v>21000</v>
      </c>
      <c r="J1171" t="s">
        <v>69</v>
      </c>
      <c r="K1171" t="s">
        <v>2509</v>
      </c>
    </row>
    <row r="1172" spans="1:11" x14ac:dyDescent="0.25">
      <c r="A1172" t="s">
        <v>1867</v>
      </c>
      <c r="B1172" s="3">
        <v>46298</v>
      </c>
      <c r="C1172" t="s">
        <v>115</v>
      </c>
      <c r="D1172" t="s">
        <v>1</v>
      </c>
      <c r="E1172">
        <v>36</v>
      </c>
      <c r="F1172" t="s">
        <v>2</v>
      </c>
      <c r="G1172" t="s">
        <v>32</v>
      </c>
      <c r="H1172" t="s">
        <v>3612</v>
      </c>
      <c r="I1172" s="2">
        <v>119000</v>
      </c>
      <c r="J1172" t="s">
        <v>104</v>
      </c>
      <c r="K1172" t="s">
        <v>2513</v>
      </c>
    </row>
    <row r="1173" spans="1:11" x14ac:dyDescent="0.25">
      <c r="A1173" t="s">
        <v>1868</v>
      </c>
      <c r="B1173" s="3">
        <v>46298</v>
      </c>
      <c r="C1173" t="s">
        <v>409</v>
      </c>
      <c r="D1173" t="s">
        <v>382</v>
      </c>
      <c r="E1173">
        <v>68</v>
      </c>
      <c r="F1173" t="s">
        <v>383</v>
      </c>
      <c r="G1173" t="s">
        <v>36</v>
      </c>
      <c r="H1173" t="s">
        <v>3613</v>
      </c>
      <c r="I1173" s="2">
        <v>158000</v>
      </c>
      <c r="J1173" t="s">
        <v>410</v>
      </c>
      <c r="K1173" t="s">
        <v>2509</v>
      </c>
    </row>
    <row r="1174" spans="1:11" x14ac:dyDescent="0.25">
      <c r="A1174" t="s">
        <v>1869</v>
      </c>
      <c r="B1174" s="3">
        <v>46298</v>
      </c>
      <c r="C1174" t="s">
        <v>500</v>
      </c>
      <c r="D1174" t="s">
        <v>488</v>
      </c>
      <c r="E1174">
        <v>6</v>
      </c>
      <c r="F1174" t="s">
        <v>469</v>
      </c>
      <c r="G1174" t="s">
        <v>32</v>
      </c>
      <c r="H1174" t="s">
        <v>3614</v>
      </c>
      <c r="I1174" s="2">
        <v>89000</v>
      </c>
      <c r="J1174" t="s">
        <v>27</v>
      </c>
      <c r="K1174" t="s">
        <v>2500</v>
      </c>
    </row>
    <row r="1175" spans="1:11" x14ac:dyDescent="0.25">
      <c r="A1175" t="s">
        <v>1870</v>
      </c>
      <c r="B1175" s="3">
        <v>46298</v>
      </c>
      <c r="C1175" t="s">
        <v>563</v>
      </c>
      <c r="D1175" t="s">
        <v>479</v>
      </c>
      <c r="E1175">
        <v>35</v>
      </c>
      <c r="F1175" t="s">
        <v>469</v>
      </c>
      <c r="G1175" t="s">
        <v>32</v>
      </c>
      <c r="H1175" t="s">
        <v>3615</v>
      </c>
      <c r="I1175" s="2">
        <v>10000</v>
      </c>
      <c r="J1175" t="s">
        <v>287</v>
      </c>
      <c r="K1175" t="s">
        <v>2500</v>
      </c>
    </row>
    <row r="1176" spans="1:11" x14ac:dyDescent="0.25">
      <c r="A1176" t="s">
        <v>1871</v>
      </c>
      <c r="B1176" s="3">
        <v>46298</v>
      </c>
      <c r="C1176" t="s">
        <v>618</v>
      </c>
      <c r="D1176" t="s">
        <v>587</v>
      </c>
      <c r="E1176">
        <v>57</v>
      </c>
      <c r="F1176" t="s">
        <v>2</v>
      </c>
      <c r="G1176" t="s">
        <v>40</v>
      </c>
      <c r="H1176" t="s">
        <v>3616</v>
      </c>
      <c r="I1176" s="2">
        <v>17000</v>
      </c>
      <c r="J1176" t="s">
        <v>79</v>
      </c>
      <c r="K1176" t="s">
        <v>2500</v>
      </c>
    </row>
    <row r="1177" spans="1:11" x14ac:dyDescent="0.25">
      <c r="A1177" t="s">
        <v>1872</v>
      </c>
      <c r="B1177" s="3">
        <v>46298</v>
      </c>
      <c r="C1177" t="s">
        <v>244</v>
      </c>
      <c r="D1177" t="s">
        <v>234</v>
      </c>
      <c r="E1177">
        <v>7</v>
      </c>
      <c r="F1177" t="s">
        <v>2</v>
      </c>
      <c r="G1177" t="s">
        <v>85</v>
      </c>
      <c r="H1177" t="s">
        <v>3617</v>
      </c>
      <c r="I1177" s="2">
        <v>1621000</v>
      </c>
      <c r="J1177" t="s">
        <v>30</v>
      </c>
      <c r="K1177" t="s">
        <v>2503</v>
      </c>
    </row>
    <row r="1178" spans="1:11" x14ac:dyDescent="0.25">
      <c r="A1178" t="s">
        <v>1873</v>
      </c>
      <c r="B1178" s="3">
        <v>46298</v>
      </c>
      <c r="C1178" t="s">
        <v>586</v>
      </c>
      <c r="D1178" t="s">
        <v>587</v>
      </c>
      <c r="E1178">
        <v>20</v>
      </c>
      <c r="F1178" t="s">
        <v>2</v>
      </c>
      <c r="G1178" t="s">
        <v>48</v>
      </c>
      <c r="H1178" t="s">
        <v>3618</v>
      </c>
      <c r="I1178" s="2">
        <v>16000</v>
      </c>
      <c r="J1178" t="s">
        <v>166</v>
      </c>
      <c r="K1178" t="s">
        <v>2503</v>
      </c>
    </row>
    <row r="1179" spans="1:11" x14ac:dyDescent="0.25">
      <c r="A1179" t="s">
        <v>1874</v>
      </c>
      <c r="B1179" s="3">
        <v>46298</v>
      </c>
      <c r="C1179" t="s">
        <v>615</v>
      </c>
      <c r="D1179" t="s">
        <v>589</v>
      </c>
      <c r="E1179">
        <v>5</v>
      </c>
      <c r="F1179" t="s">
        <v>469</v>
      </c>
      <c r="G1179" t="s">
        <v>55</v>
      </c>
      <c r="H1179" t="s">
        <v>3619</v>
      </c>
      <c r="I1179" s="2">
        <v>5000</v>
      </c>
      <c r="J1179" t="s">
        <v>95</v>
      </c>
      <c r="K1179" t="s">
        <v>2503</v>
      </c>
    </row>
    <row r="1180" spans="1:11" x14ac:dyDescent="0.25">
      <c r="A1180" t="s">
        <v>1875</v>
      </c>
      <c r="B1180" s="3">
        <v>46298</v>
      </c>
      <c r="C1180" t="s">
        <v>491</v>
      </c>
      <c r="D1180" t="s">
        <v>481</v>
      </c>
      <c r="E1180">
        <v>52</v>
      </c>
      <c r="F1180" t="s">
        <v>2</v>
      </c>
      <c r="G1180" t="s">
        <v>55</v>
      </c>
      <c r="H1180" t="s">
        <v>3620</v>
      </c>
      <c r="I1180" s="2">
        <v>186000</v>
      </c>
      <c r="J1180" t="s">
        <v>324</v>
      </c>
      <c r="K1180" t="s">
        <v>2503</v>
      </c>
    </row>
    <row r="1181" spans="1:11" x14ac:dyDescent="0.25">
      <c r="A1181" t="s">
        <v>1876</v>
      </c>
      <c r="B1181" s="3">
        <v>46299</v>
      </c>
      <c r="C1181" t="s">
        <v>157</v>
      </c>
      <c r="D1181" t="s">
        <v>44</v>
      </c>
      <c r="E1181">
        <v>22</v>
      </c>
      <c r="F1181" t="s">
        <v>2</v>
      </c>
      <c r="G1181" t="s">
        <v>81</v>
      </c>
      <c r="H1181" t="s">
        <v>3621</v>
      </c>
      <c r="I1181" s="2">
        <v>66000</v>
      </c>
      <c r="J1181" t="s">
        <v>158</v>
      </c>
      <c r="K1181" t="s">
        <v>2500</v>
      </c>
    </row>
    <row r="1182" spans="1:11" x14ac:dyDescent="0.25">
      <c r="A1182" t="s">
        <v>1877</v>
      </c>
      <c r="B1182" s="3">
        <v>46299</v>
      </c>
      <c r="C1182" t="s">
        <v>384</v>
      </c>
      <c r="D1182" t="s">
        <v>366</v>
      </c>
      <c r="E1182">
        <v>11</v>
      </c>
      <c r="F1182" t="s">
        <v>2</v>
      </c>
      <c r="G1182" t="s">
        <v>81</v>
      </c>
      <c r="H1182" t="s">
        <v>3622</v>
      </c>
      <c r="I1182" s="2">
        <v>56000</v>
      </c>
      <c r="J1182" t="s">
        <v>104</v>
      </c>
      <c r="K1182" t="s">
        <v>2513</v>
      </c>
    </row>
    <row r="1183" spans="1:11" x14ac:dyDescent="0.25">
      <c r="A1183" t="s">
        <v>1878</v>
      </c>
      <c r="B1183" s="3">
        <v>46299</v>
      </c>
      <c r="C1183" t="s">
        <v>633</v>
      </c>
      <c r="D1183" t="s">
        <v>587</v>
      </c>
      <c r="E1183">
        <v>41</v>
      </c>
      <c r="F1183" t="s">
        <v>2</v>
      </c>
      <c r="G1183" t="s">
        <v>85</v>
      </c>
      <c r="H1183" t="s">
        <v>3623</v>
      </c>
      <c r="I1183" s="2">
        <v>26000</v>
      </c>
      <c r="J1183" t="s">
        <v>171</v>
      </c>
      <c r="K1183" t="s">
        <v>2503</v>
      </c>
    </row>
    <row r="1184" spans="1:11" x14ac:dyDescent="0.25">
      <c r="A1184" t="s">
        <v>1879</v>
      </c>
      <c r="B1184" s="3">
        <v>46299</v>
      </c>
      <c r="C1184" t="s">
        <v>443</v>
      </c>
      <c r="D1184" t="s">
        <v>382</v>
      </c>
      <c r="E1184">
        <v>34</v>
      </c>
      <c r="F1184" t="s">
        <v>383</v>
      </c>
      <c r="G1184" t="s">
        <v>85</v>
      </c>
      <c r="H1184" t="s">
        <v>3624</v>
      </c>
      <c r="I1184" s="2">
        <v>155000</v>
      </c>
      <c r="J1184" t="s">
        <v>330</v>
      </c>
      <c r="K1184" t="s">
        <v>2509</v>
      </c>
    </row>
    <row r="1185" spans="1:11" x14ac:dyDescent="0.25">
      <c r="A1185" t="s">
        <v>1880</v>
      </c>
      <c r="B1185" s="3">
        <v>46299</v>
      </c>
      <c r="C1185" t="s">
        <v>598</v>
      </c>
      <c r="D1185" t="s">
        <v>599</v>
      </c>
      <c r="E1185">
        <v>5</v>
      </c>
      <c r="F1185" t="s">
        <v>2</v>
      </c>
      <c r="G1185" t="s">
        <v>81</v>
      </c>
      <c r="H1185" t="s">
        <v>3625</v>
      </c>
      <c r="I1185" s="2">
        <v>116000</v>
      </c>
      <c r="J1185" t="s">
        <v>27</v>
      </c>
      <c r="K1185" t="s">
        <v>2500</v>
      </c>
    </row>
    <row r="1186" spans="1:11" x14ac:dyDescent="0.25">
      <c r="A1186" t="s">
        <v>1881</v>
      </c>
      <c r="B1186" s="3">
        <v>46299</v>
      </c>
      <c r="C1186" t="s">
        <v>580</v>
      </c>
      <c r="D1186" t="s">
        <v>490</v>
      </c>
      <c r="E1186">
        <v>4</v>
      </c>
      <c r="F1186" t="s">
        <v>355</v>
      </c>
      <c r="G1186" t="s">
        <v>36</v>
      </c>
      <c r="H1186" t="s">
        <v>3626</v>
      </c>
      <c r="I1186" s="2">
        <v>18000</v>
      </c>
      <c r="J1186" t="s">
        <v>69</v>
      </c>
      <c r="K1186" t="s">
        <v>2513</v>
      </c>
    </row>
    <row r="1187" spans="1:11" x14ac:dyDescent="0.25">
      <c r="A1187" t="s">
        <v>1882</v>
      </c>
      <c r="B1187" s="3">
        <v>46299</v>
      </c>
      <c r="C1187" t="s">
        <v>399</v>
      </c>
      <c r="D1187" t="s">
        <v>360</v>
      </c>
      <c r="E1187">
        <v>11</v>
      </c>
      <c r="F1187" t="s">
        <v>358</v>
      </c>
      <c r="G1187" t="s">
        <v>36</v>
      </c>
      <c r="H1187" t="s">
        <v>3627</v>
      </c>
      <c r="I1187" s="2">
        <v>19000</v>
      </c>
      <c r="J1187" t="s">
        <v>164</v>
      </c>
      <c r="K1187" t="s">
        <v>2500</v>
      </c>
    </row>
    <row r="1188" spans="1:11" x14ac:dyDescent="0.25">
      <c r="A1188" t="s">
        <v>1883</v>
      </c>
      <c r="B1188" s="3">
        <v>46299</v>
      </c>
      <c r="C1188" t="s">
        <v>508</v>
      </c>
      <c r="D1188" t="s">
        <v>476</v>
      </c>
      <c r="E1188">
        <v>32</v>
      </c>
      <c r="F1188" t="s">
        <v>477</v>
      </c>
      <c r="G1188" t="s">
        <v>81</v>
      </c>
      <c r="H1188" t="s">
        <v>3628</v>
      </c>
      <c r="I1188" s="2">
        <v>11000</v>
      </c>
      <c r="J1188" t="s">
        <v>89</v>
      </c>
      <c r="K1188" t="s">
        <v>2500</v>
      </c>
    </row>
    <row r="1189" spans="1:11" x14ac:dyDescent="0.25">
      <c r="A1189" t="s">
        <v>1884</v>
      </c>
      <c r="B1189" s="3">
        <v>46299</v>
      </c>
      <c r="C1189" t="s">
        <v>14</v>
      </c>
      <c r="D1189" t="s">
        <v>15</v>
      </c>
      <c r="E1189">
        <v>18</v>
      </c>
      <c r="F1189" t="s">
        <v>2</v>
      </c>
      <c r="G1189" t="s">
        <v>17</v>
      </c>
      <c r="H1189" t="s">
        <v>3629</v>
      </c>
      <c r="I1189" s="2">
        <v>91000</v>
      </c>
      <c r="J1189" t="s">
        <v>19</v>
      </c>
      <c r="K1189" t="s">
        <v>2503</v>
      </c>
    </row>
    <row r="1190" spans="1:11" x14ac:dyDescent="0.25">
      <c r="A1190" t="s">
        <v>1885</v>
      </c>
      <c r="B1190" s="3">
        <v>46299</v>
      </c>
      <c r="C1190" t="s">
        <v>681</v>
      </c>
      <c r="D1190" t="s">
        <v>589</v>
      </c>
      <c r="E1190">
        <v>47</v>
      </c>
      <c r="F1190" t="s">
        <v>469</v>
      </c>
      <c r="G1190" t="s">
        <v>36</v>
      </c>
      <c r="H1190" t="s">
        <v>3630</v>
      </c>
      <c r="I1190" s="2">
        <v>7000</v>
      </c>
      <c r="J1190" t="s">
        <v>259</v>
      </c>
      <c r="K1190" t="s">
        <v>2509</v>
      </c>
    </row>
    <row r="1191" spans="1:11" x14ac:dyDescent="0.25">
      <c r="A1191" t="s">
        <v>1886</v>
      </c>
      <c r="B1191" s="3">
        <v>46299</v>
      </c>
      <c r="C1191" t="s">
        <v>258</v>
      </c>
      <c r="D1191" t="s">
        <v>210</v>
      </c>
      <c r="E1191">
        <v>46</v>
      </c>
      <c r="F1191" t="s">
        <v>2</v>
      </c>
      <c r="G1191" t="s">
        <v>32</v>
      </c>
      <c r="H1191" t="s">
        <v>3631</v>
      </c>
      <c r="I1191" s="2">
        <v>3994000</v>
      </c>
      <c r="J1191" t="s">
        <v>259</v>
      </c>
      <c r="K1191" t="s">
        <v>2509</v>
      </c>
    </row>
    <row r="1192" spans="1:11" x14ac:dyDescent="0.25">
      <c r="A1192" t="s">
        <v>1887</v>
      </c>
      <c r="B1192" s="3">
        <v>46299</v>
      </c>
      <c r="C1192" t="s">
        <v>428</v>
      </c>
      <c r="D1192" t="s">
        <v>357</v>
      </c>
      <c r="E1192">
        <v>13</v>
      </c>
      <c r="F1192" t="s">
        <v>358</v>
      </c>
      <c r="G1192" t="s">
        <v>55</v>
      </c>
      <c r="H1192" t="s">
        <v>3632</v>
      </c>
      <c r="I1192" s="2">
        <v>30000</v>
      </c>
      <c r="J1192" t="s">
        <v>38</v>
      </c>
      <c r="K1192" t="s">
        <v>2513</v>
      </c>
    </row>
    <row r="1193" spans="1:11" x14ac:dyDescent="0.25">
      <c r="A1193" t="s">
        <v>1888</v>
      </c>
      <c r="B1193" s="3">
        <v>46299</v>
      </c>
      <c r="C1193" t="s">
        <v>526</v>
      </c>
      <c r="D1193" t="s">
        <v>476</v>
      </c>
      <c r="E1193">
        <v>52</v>
      </c>
      <c r="F1193" t="s">
        <v>477</v>
      </c>
      <c r="G1193" t="s">
        <v>81</v>
      </c>
      <c r="H1193" t="s">
        <v>3633</v>
      </c>
      <c r="I1193" s="2">
        <v>4000</v>
      </c>
      <c r="J1193" t="s">
        <v>75</v>
      </c>
      <c r="K1193" t="s">
        <v>2509</v>
      </c>
    </row>
    <row r="1194" spans="1:11" x14ac:dyDescent="0.25">
      <c r="A1194" t="s">
        <v>1889</v>
      </c>
      <c r="B1194" s="3">
        <v>46299</v>
      </c>
      <c r="C1194" t="s">
        <v>180</v>
      </c>
      <c r="D1194" t="s">
        <v>15</v>
      </c>
      <c r="E1194">
        <v>33</v>
      </c>
      <c r="F1194" t="s">
        <v>2</v>
      </c>
      <c r="G1194" t="s">
        <v>32</v>
      </c>
      <c r="H1194" t="s">
        <v>3634</v>
      </c>
      <c r="I1194" s="2">
        <v>267000</v>
      </c>
      <c r="J1194" t="s">
        <v>181</v>
      </c>
      <c r="K1194" t="s">
        <v>2513</v>
      </c>
    </row>
    <row r="1195" spans="1:11" x14ac:dyDescent="0.25">
      <c r="A1195" t="s">
        <v>1890</v>
      </c>
      <c r="B1195" s="3">
        <v>46299</v>
      </c>
      <c r="C1195" t="s">
        <v>304</v>
      </c>
      <c r="D1195" t="s">
        <v>227</v>
      </c>
      <c r="E1195">
        <v>53</v>
      </c>
      <c r="F1195" t="s">
        <v>2</v>
      </c>
      <c r="G1195" t="s">
        <v>17</v>
      </c>
      <c r="H1195" t="s">
        <v>3635</v>
      </c>
      <c r="I1195" s="2">
        <v>1029000</v>
      </c>
      <c r="J1195" t="s">
        <v>305</v>
      </c>
      <c r="K1195" t="s">
        <v>2513</v>
      </c>
    </row>
    <row r="1196" spans="1:11" x14ac:dyDescent="0.25">
      <c r="A1196" t="s">
        <v>1891</v>
      </c>
      <c r="B1196" s="3">
        <v>46299</v>
      </c>
      <c r="C1196" t="s">
        <v>251</v>
      </c>
      <c r="D1196" t="s">
        <v>216</v>
      </c>
      <c r="E1196">
        <v>40</v>
      </c>
      <c r="F1196" t="s">
        <v>2</v>
      </c>
      <c r="G1196" t="s">
        <v>36</v>
      </c>
      <c r="H1196" t="s">
        <v>3636</v>
      </c>
      <c r="I1196" s="2">
        <v>445000</v>
      </c>
      <c r="J1196" t="s">
        <v>71</v>
      </c>
      <c r="K1196" t="s">
        <v>2509</v>
      </c>
    </row>
    <row r="1197" spans="1:11" x14ac:dyDescent="0.25">
      <c r="A1197" t="s">
        <v>1892</v>
      </c>
      <c r="B1197" s="3">
        <v>46299</v>
      </c>
      <c r="C1197" t="s">
        <v>172</v>
      </c>
      <c r="D1197" t="s">
        <v>26</v>
      </c>
      <c r="E1197">
        <v>31</v>
      </c>
      <c r="F1197" t="s">
        <v>2</v>
      </c>
      <c r="G1197" t="s">
        <v>55</v>
      </c>
      <c r="H1197" t="s">
        <v>3637</v>
      </c>
      <c r="I1197" s="2">
        <v>270000</v>
      </c>
      <c r="J1197" t="s">
        <v>173</v>
      </c>
      <c r="K1197" t="s">
        <v>2509</v>
      </c>
    </row>
    <row r="1198" spans="1:11" x14ac:dyDescent="0.25">
      <c r="A1198" t="s">
        <v>1893</v>
      </c>
      <c r="B1198" s="3">
        <v>46299</v>
      </c>
      <c r="C1198" t="s">
        <v>60</v>
      </c>
      <c r="D1198" t="s">
        <v>44</v>
      </c>
      <c r="E1198">
        <v>48</v>
      </c>
      <c r="F1198" t="s">
        <v>2</v>
      </c>
      <c r="G1198" t="s">
        <v>61</v>
      </c>
      <c r="H1198" t="s">
        <v>3638</v>
      </c>
      <c r="I1198" s="2">
        <v>66000</v>
      </c>
      <c r="J1198" t="s">
        <v>27</v>
      </c>
      <c r="K1198" t="s">
        <v>2509</v>
      </c>
    </row>
    <row r="1199" spans="1:11" x14ac:dyDescent="0.25">
      <c r="A1199" t="s">
        <v>1894</v>
      </c>
      <c r="B1199" s="3">
        <v>46299</v>
      </c>
      <c r="C1199" t="s">
        <v>547</v>
      </c>
      <c r="D1199" t="s">
        <v>481</v>
      </c>
      <c r="E1199">
        <v>56</v>
      </c>
      <c r="F1199" t="s">
        <v>2</v>
      </c>
      <c r="G1199" t="s">
        <v>40</v>
      </c>
      <c r="H1199" t="s">
        <v>3639</v>
      </c>
      <c r="I1199" s="2">
        <v>263000</v>
      </c>
      <c r="J1199" t="s">
        <v>69</v>
      </c>
      <c r="K1199" t="s">
        <v>2509</v>
      </c>
    </row>
    <row r="1200" spans="1:11" x14ac:dyDescent="0.25">
      <c r="A1200" t="s">
        <v>1895</v>
      </c>
      <c r="B1200" s="3">
        <v>46299</v>
      </c>
      <c r="C1200" t="s">
        <v>109</v>
      </c>
      <c r="D1200" t="s">
        <v>15</v>
      </c>
      <c r="E1200">
        <v>20</v>
      </c>
      <c r="F1200" t="s">
        <v>2</v>
      </c>
      <c r="G1200" t="s">
        <v>85</v>
      </c>
      <c r="H1200" t="s">
        <v>3640</v>
      </c>
      <c r="I1200" s="2">
        <v>97000</v>
      </c>
      <c r="J1200" t="s">
        <v>110</v>
      </c>
      <c r="K1200" t="s">
        <v>2503</v>
      </c>
    </row>
    <row r="1201" spans="1:11" x14ac:dyDescent="0.25">
      <c r="A1201" t="s">
        <v>1896</v>
      </c>
      <c r="B1201" s="3">
        <v>46299</v>
      </c>
      <c r="C1201" t="s">
        <v>25</v>
      </c>
      <c r="D1201" t="s">
        <v>26</v>
      </c>
      <c r="E1201">
        <v>7</v>
      </c>
      <c r="F1201" t="s">
        <v>2</v>
      </c>
      <c r="G1201" t="s">
        <v>17</v>
      </c>
      <c r="H1201" t="s">
        <v>3632</v>
      </c>
      <c r="I1201" s="2">
        <v>438000</v>
      </c>
      <c r="J1201" t="s">
        <v>27</v>
      </c>
      <c r="K1201" t="s">
        <v>2509</v>
      </c>
    </row>
    <row r="1202" spans="1:11" x14ac:dyDescent="0.25">
      <c r="A1202" t="s">
        <v>1897</v>
      </c>
      <c r="B1202" s="3">
        <v>46299</v>
      </c>
      <c r="C1202" t="s">
        <v>103</v>
      </c>
      <c r="D1202" t="s">
        <v>29</v>
      </c>
      <c r="E1202">
        <v>69</v>
      </c>
      <c r="F1202" t="s">
        <v>2</v>
      </c>
      <c r="G1202" t="s">
        <v>85</v>
      </c>
      <c r="H1202" t="s">
        <v>3641</v>
      </c>
      <c r="I1202" s="2">
        <v>319000</v>
      </c>
      <c r="J1202" t="s">
        <v>104</v>
      </c>
      <c r="K1202" t="s">
        <v>2513</v>
      </c>
    </row>
    <row r="1203" spans="1:11" x14ac:dyDescent="0.25">
      <c r="A1203" t="s">
        <v>1898</v>
      </c>
      <c r="B1203" s="3">
        <v>46299</v>
      </c>
      <c r="C1203" t="s">
        <v>365</v>
      </c>
      <c r="D1203" t="s">
        <v>366</v>
      </c>
      <c r="E1203">
        <v>63</v>
      </c>
      <c r="F1203" t="s">
        <v>2</v>
      </c>
      <c r="G1203" t="s">
        <v>32</v>
      </c>
      <c r="H1203" t="s">
        <v>3642</v>
      </c>
      <c r="I1203" s="2">
        <v>79000</v>
      </c>
      <c r="J1203" t="s">
        <v>126</v>
      </c>
      <c r="K1203" t="s">
        <v>2509</v>
      </c>
    </row>
    <row r="1204" spans="1:11" x14ac:dyDescent="0.25">
      <c r="A1204" t="s">
        <v>1899</v>
      </c>
      <c r="B1204" s="3">
        <v>46299</v>
      </c>
      <c r="C1204" t="s">
        <v>374</v>
      </c>
      <c r="D1204" t="s">
        <v>366</v>
      </c>
      <c r="E1204">
        <v>51</v>
      </c>
      <c r="F1204" t="s">
        <v>2</v>
      </c>
      <c r="G1204" t="s">
        <v>81</v>
      </c>
      <c r="H1204" t="s">
        <v>3643</v>
      </c>
      <c r="I1204" s="2">
        <v>28000</v>
      </c>
      <c r="J1204" t="s">
        <v>161</v>
      </c>
      <c r="K1204" t="s">
        <v>2500</v>
      </c>
    </row>
    <row r="1205" spans="1:11" x14ac:dyDescent="0.25">
      <c r="A1205" t="s">
        <v>1900</v>
      </c>
      <c r="B1205" s="3">
        <v>46299</v>
      </c>
      <c r="C1205" t="s">
        <v>88</v>
      </c>
      <c r="D1205" t="s">
        <v>26</v>
      </c>
      <c r="E1205">
        <v>38</v>
      </c>
      <c r="F1205" t="s">
        <v>2</v>
      </c>
      <c r="G1205" t="s">
        <v>85</v>
      </c>
      <c r="H1205" t="s">
        <v>3644</v>
      </c>
      <c r="I1205" s="2">
        <v>209000</v>
      </c>
      <c r="J1205" t="s">
        <v>89</v>
      </c>
      <c r="K1205" t="s">
        <v>2509</v>
      </c>
    </row>
    <row r="1206" spans="1:11" x14ac:dyDescent="0.25">
      <c r="A1206" t="s">
        <v>1901</v>
      </c>
      <c r="B1206" s="3">
        <v>46299</v>
      </c>
      <c r="C1206" t="s">
        <v>417</v>
      </c>
      <c r="D1206" t="s">
        <v>349</v>
      </c>
      <c r="E1206">
        <v>60</v>
      </c>
      <c r="F1206" t="s">
        <v>2</v>
      </c>
      <c r="G1206" t="s">
        <v>85</v>
      </c>
      <c r="H1206" t="s">
        <v>3645</v>
      </c>
      <c r="I1206" s="2">
        <v>5000</v>
      </c>
      <c r="J1206" t="s">
        <v>75</v>
      </c>
      <c r="K1206" t="s">
        <v>2503</v>
      </c>
    </row>
    <row r="1207" spans="1:11" x14ac:dyDescent="0.25">
      <c r="A1207" t="s">
        <v>1902</v>
      </c>
      <c r="B1207" s="3">
        <v>46299</v>
      </c>
      <c r="C1207" t="s">
        <v>392</v>
      </c>
      <c r="D1207" t="s">
        <v>349</v>
      </c>
      <c r="E1207">
        <v>43</v>
      </c>
      <c r="F1207" t="s">
        <v>2</v>
      </c>
      <c r="G1207" t="s">
        <v>40</v>
      </c>
      <c r="H1207" t="s">
        <v>3559</v>
      </c>
      <c r="I1207" s="2">
        <v>15000</v>
      </c>
      <c r="J1207" t="s">
        <v>24</v>
      </c>
      <c r="K1207" t="s">
        <v>2500</v>
      </c>
    </row>
    <row r="1208" spans="1:11" x14ac:dyDescent="0.25">
      <c r="A1208" t="s">
        <v>1903</v>
      </c>
      <c r="B1208" s="3">
        <v>46299</v>
      </c>
      <c r="C1208" t="s">
        <v>169</v>
      </c>
      <c r="D1208" t="s">
        <v>54</v>
      </c>
      <c r="E1208">
        <v>56</v>
      </c>
      <c r="F1208" t="s">
        <v>2</v>
      </c>
      <c r="G1208" t="s">
        <v>55</v>
      </c>
      <c r="H1208" t="s">
        <v>3646</v>
      </c>
      <c r="I1208" s="2">
        <v>74000</v>
      </c>
      <c r="J1208" t="s">
        <v>119</v>
      </c>
      <c r="K1208" t="s">
        <v>2503</v>
      </c>
    </row>
    <row r="1209" spans="1:11" x14ac:dyDescent="0.25">
      <c r="A1209" t="s">
        <v>1904</v>
      </c>
      <c r="B1209" s="3">
        <v>46299</v>
      </c>
      <c r="C1209" t="s">
        <v>685</v>
      </c>
      <c r="D1209" t="s">
        <v>597</v>
      </c>
      <c r="E1209">
        <v>13</v>
      </c>
      <c r="F1209" t="s">
        <v>355</v>
      </c>
      <c r="G1209" t="s">
        <v>22</v>
      </c>
      <c r="H1209" t="s">
        <v>3647</v>
      </c>
      <c r="I1209" s="2">
        <v>49000</v>
      </c>
      <c r="J1209" t="s">
        <v>166</v>
      </c>
      <c r="K1209" t="s">
        <v>2513</v>
      </c>
    </row>
    <row r="1210" spans="1:11" x14ac:dyDescent="0.25">
      <c r="A1210" t="s">
        <v>1905</v>
      </c>
      <c r="B1210" s="3">
        <v>46299</v>
      </c>
      <c r="C1210" t="s">
        <v>430</v>
      </c>
      <c r="D1210" t="s">
        <v>349</v>
      </c>
      <c r="E1210">
        <v>31</v>
      </c>
      <c r="F1210" t="s">
        <v>2</v>
      </c>
      <c r="G1210" t="s">
        <v>22</v>
      </c>
      <c r="H1210" t="s">
        <v>3648</v>
      </c>
      <c r="I1210" s="2">
        <v>10000</v>
      </c>
      <c r="J1210" t="s">
        <v>64</v>
      </c>
      <c r="K1210" t="s">
        <v>2509</v>
      </c>
    </row>
    <row r="1211" spans="1:11" x14ac:dyDescent="0.25">
      <c r="A1211" t="s">
        <v>1906</v>
      </c>
      <c r="B1211" s="3">
        <v>46299</v>
      </c>
      <c r="C1211" t="s">
        <v>229</v>
      </c>
      <c r="D1211" t="s">
        <v>218</v>
      </c>
      <c r="E1211">
        <v>39</v>
      </c>
      <c r="F1211" t="s">
        <v>2</v>
      </c>
      <c r="G1211" t="s">
        <v>36</v>
      </c>
      <c r="H1211" t="s">
        <v>3649</v>
      </c>
      <c r="I1211" s="2">
        <v>1570000</v>
      </c>
      <c r="J1211" t="s">
        <v>230</v>
      </c>
      <c r="K1211" t="s">
        <v>2500</v>
      </c>
    </row>
    <row r="1212" spans="1:11" x14ac:dyDescent="0.25">
      <c r="A1212" t="s">
        <v>1907</v>
      </c>
      <c r="B1212" s="3">
        <v>46299</v>
      </c>
      <c r="C1212" t="s">
        <v>376</v>
      </c>
      <c r="D1212" t="s">
        <v>351</v>
      </c>
      <c r="E1212">
        <v>43</v>
      </c>
      <c r="F1212" t="s">
        <v>2</v>
      </c>
      <c r="G1212" t="s">
        <v>61</v>
      </c>
      <c r="H1212" t="s">
        <v>3650</v>
      </c>
      <c r="I1212" s="2">
        <v>639000</v>
      </c>
      <c r="J1212" t="s">
        <v>259</v>
      </c>
      <c r="K1212" t="s">
        <v>2509</v>
      </c>
    </row>
    <row r="1213" spans="1:11" x14ac:dyDescent="0.25">
      <c r="A1213" t="s">
        <v>1908</v>
      </c>
      <c r="B1213" s="3">
        <v>46299</v>
      </c>
      <c r="C1213" t="s">
        <v>226</v>
      </c>
      <c r="D1213" t="s">
        <v>227</v>
      </c>
      <c r="E1213">
        <v>1</v>
      </c>
      <c r="F1213" t="s">
        <v>2</v>
      </c>
      <c r="G1213" t="s">
        <v>17</v>
      </c>
      <c r="H1213" t="s">
        <v>3651</v>
      </c>
      <c r="I1213" s="2">
        <v>851000</v>
      </c>
      <c r="J1213" t="s">
        <v>201</v>
      </c>
      <c r="K1213" t="s">
        <v>2503</v>
      </c>
    </row>
    <row r="1214" spans="1:11" x14ac:dyDescent="0.25">
      <c r="A1214" t="s">
        <v>1909</v>
      </c>
      <c r="B1214" s="3">
        <v>46299</v>
      </c>
      <c r="C1214" t="s">
        <v>132</v>
      </c>
      <c r="D1214" t="s">
        <v>26</v>
      </c>
      <c r="E1214">
        <v>14</v>
      </c>
      <c r="F1214" t="s">
        <v>2</v>
      </c>
      <c r="G1214" t="s">
        <v>36</v>
      </c>
      <c r="H1214" t="s">
        <v>3652</v>
      </c>
      <c r="I1214" s="2">
        <v>547000</v>
      </c>
      <c r="J1214" t="s">
        <v>133</v>
      </c>
      <c r="K1214" t="s">
        <v>2503</v>
      </c>
    </row>
    <row r="1215" spans="1:11" x14ac:dyDescent="0.25">
      <c r="A1215" t="s">
        <v>1910</v>
      </c>
      <c r="B1215" s="3">
        <v>46299</v>
      </c>
      <c r="C1215" t="s">
        <v>567</v>
      </c>
      <c r="D1215" t="s">
        <v>502</v>
      </c>
      <c r="E1215">
        <v>25</v>
      </c>
      <c r="F1215" t="s">
        <v>469</v>
      </c>
      <c r="G1215" t="s">
        <v>61</v>
      </c>
      <c r="H1215" t="s">
        <v>3653</v>
      </c>
      <c r="I1215" s="2">
        <v>63000</v>
      </c>
      <c r="J1215" t="s">
        <v>152</v>
      </c>
      <c r="K1215" t="s">
        <v>2500</v>
      </c>
    </row>
    <row r="1216" spans="1:11" x14ac:dyDescent="0.25">
      <c r="A1216" t="s">
        <v>1911</v>
      </c>
      <c r="B1216" s="3">
        <v>46299</v>
      </c>
      <c r="C1216" t="s">
        <v>545</v>
      </c>
      <c r="D1216" t="s">
        <v>502</v>
      </c>
      <c r="E1216">
        <v>15</v>
      </c>
      <c r="F1216" t="s">
        <v>469</v>
      </c>
      <c r="G1216" t="s">
        <v>61</v>
      </c>
      <c r="H1216" t="s">
        <v>3654</v>
      </c>
      <c r="I1216" s="2">
        <v>120000</v>
      </c>
      <c r="J1216" t="s">
        <v>183</v>
      </c>
      <c r="K1216" t="s">
        <v>2503</v>
      </c>
    </row>
    <row r="1217" spans="1:11" x14ac:dyDescent="0.25">
      <c r="A1217" t="s">
        <v>1912</v>
      </c>
      <c r="B1217" s="3">
        <v>46299</v>
      </c>
      <c r="C1217" t="s">
        <v>537</v>
      </c>
      <c r="D1217" t="s">
        <v>479</v>
      </c>
      <c r="E1217">
        <v>59</v>
      </c>
      <c r="F1217" t="s">
        <v>469</v>
      </c>
      <c r="G1217" t="s">
        <v>55</v>
      </c>
      <c r="H1217" t="s">
        <v>3655</v>
      </c>
      <c r="I1217" s="2">
        <v>28000</v>
      </c>
      <c r="J1217" t="s">
        <v>173</v>
      </c>
      <c r="K1217" t="s">
        <v>2500</v>
      </c>
    </row>
    <row r="1218" spans="1:11" x14ac:dyDescent="0.25">
      <c r="A1218" t="s">
        <v>1913</v>
      </c>
      <c r="B1218" s="3">
        <v>46299</v>
      </c>
      <c r="C1218" t="s">
        <v>644</v>
      </c>
      <c r="D1218" t="s">
        <v>629</v>
      </c>
      <c r="E1218">
        <v>36</v>
      </c>
      <c r="F1218" t="s">
        <v>355</v>
      </c>
      <c r="G1218" t="s">
        <v>61</v>
      </c>
      <c r="H1218" t="s">
        <v>3656</v>
      </c>
      <c r="I1218" s="2">
        <v>36000</v>
      </c>
      <c r="J1218" t="s">
        <v>189</v>
      </c>
      <c r="K1218" t="s">
        <v>2500</v>
      </c>
    </row>
    <row r="1219" spans="1:11" x14ac:dyDescent="0.25">
      <c r="A1219" t="s">
        <v>1914</v>
      </c>
      <c r="B1219" s="3">
        <v>46300</v>
      </c>
      <c r="C1219" t="s">
        <v>389</v>
      </c>
      <c r="D1219" t="s">
        <v>364</v>
      </c>
      <c r="E1219">
        <v>21</v>
      </c>
      <c r="F1219" t="s">
        <v>358</v>
      </c>
      <c r="G1219" t="s">
        <v>36</v>
      </c>
      <c r="H1219" t="s">
        <v>3657</v>
      </c>
      <c r="I1219" s="2">
        <v>35000</v>
      </c>
      <c r="J1219" t="s">
        <v>77</v>
      </c>
      <c r="K1219" t="s">
        <v>2503</v>
      </c>
    </row>
    <row r="1220" spans="1:11" x14ac:dyDescent="0.25">
      <c r="A1220" t="s">
        <v>1915</v>
      </c>
      <c r="B1220" s="3">
        <v>46300</v>
      </c>
      <c r="C1220" t="s">
        <v>391</v>
      </c>
      <c r="D1220" t="s">
        <v>357</v>
      </c>
      <c r="E1220">
        <v>38</v>
      </c>
      <c r="F1220" t="s">
        <v>358</v>
      </c>
      <c r="G1220" t="s">
        <v>36</v>
      </c>
      <c r="H1220" t="s">
        <v>3658</v>
      </c>
      <c r="I1220" s="2">
        <v>28000</v>
      </c>
      <c r="J1220" t="s">
        <v>221</v>
      </c>
      <c r="K1220" t="s">
        <v>2509</v>
      </c>
    </row>
    <row r="1221" spans="1:11" x14ac:dyDescent="0.25">
      <c r="A1221" t="s">
        <v>1916</v>
      </c>
      <c r="B1221" s="3">
        <v>46300</v>
      </c>
      <c r="C1221" t="s">
        <v>401</v>
      </c>
      <c r="D1221" t="s">
        <v>382</v>
      </c>
      <c r="E1221">
        <v>2</v>
      </c>
      <c r="F1221" t="s">
        <v>383</v>
      </c>
      <c r="G1221" t="s">
        <v>61</v>
      </c>
      <c r="H1221" t="s">
        <v>3659</v>
      </c>
      <c r="I1221" s="2">
        <v>157000</v>
      </c>
      <c r="J1221" t="s">
        <v>19</v>
      </c>
      <c r="K1221" t="s">
        <v>2509</v>
      </c>
    </row>
    <row r="1222" spans="1:11" x14ac:dyDescent="0.25">
      <c r="A1222" t="s">
        <v>1917</v>
      </c>
      <c r="B1222" s="3">
        <v>46300</v>
      </c>
      <c r="C1222" t="s">
        <v>452</v>
      </c>
      <c r="D1222" t="s">
        <v>344</v>
      </c>
      <c r="E1222">
        <v>28</v>
      </c>
      <c r="F1222" t="s">
        <v>346</v>
      </c>
      <c r="G1222" t="s">
        <v>36</v>
      </c>
      <c r="H1222" t="s">
        <v>3660</v>
      </c>
      <c r="I1222" s="2">
        <v>71000</v>
      </c>
      <c r="J1222" t="s">
        <v>250</v>
      </c>
      <c r="K1222" t="s">
        <v>2503</v>
      </c>
    </row>
    <row r="1223" spans="1:11" x14ac:dyDescent="0.25">
      <c r="A1223" t="s">
        <v>1918</v>
      </c>
      <c r="B1223" s="3">
        <v>46300</v>
      </c>
      <c r="C1223" t="s">
        <v>131</v>
      </c>
      <c r="D1223" t="s">
        <v>15</v>
      </c>
      <c r="E1223">
        <v>46</v>
      </c>
      <c r="F1223" t="s">
        <v>2</v>
      </c>
      <c r="G1223" t="s">
        <v>36</v>
      </c>
      <c r="H1223" t="s">
        <v>3661</v>
      </c>
      <c r="I1223" s="2">
        <v>112000</v>
      </c>
      <c r="J1223" t="s">
        <v>113</v>
      </c>
      <c r="K1223" t="s">
        <v>2503</v>
      </c>
    </row>
    <row r="1224" spans="1:11" x14ac:dyDescent="0.25">
      <c r="A1224" t="s">
        <v>1919</v>
      </c>
      <c r="B1224" s="3">
        <v>46300</v>
      </c>
      <c r="C1224" t="s">
        <v>454</v>
      </c>
      <c r="D1224" t="s">
        <v>344</v>
      </c>
      <c r="E1224">
        <v>10</v>
      </c>
      <c r="F1224" t="s">
        <v>346</v>
      </c>
      <c r="G1224" t="s">
        <v>55</v>
      </c>
      <c r="H1224" t="s">
        <v>3662</v>
      </c>
      <c r="I1224" s="2">
        <v>50000</v>
      </c>
      <c r="J1224" t="s">
        <v>455</v>
      </c>
      <c r="K1224" t="s">
        <v>2513</v>
      </c>
    </row>
    <row r="1225" spans="1:11" x14ac:dyDescent="0.25">
      <c r="A1225" t="s">
        <v>1920</v>
      </c>
      <c r="B1225" s="3">
        <v>46300</v>
      </c>
      <c r="C1225" t="s">
        <v>151</v>
      </c>
      <c r="D1225" t="s">
        <v>44</v>
      </c>
      <c r="E1225">
        <v>15</v>
      </c>
      <c r="F1225" t="s">
        <v>2</v>
      </c>
      <c r="G1225" t="s">
        <v>85</v>
      </c>
      <c r="H1225" t="s">
        <v>3663</v>
      </c>
      <c r="I1225" s="2">
        <v>55000</v>
      </c>
      <c r="J1225" t="s">
        <v>152</v>
      </c>
      <c r="K1225" t="s">
        <v>2509</v>
      </c>
    </row>
    <row r="1226" spans="1:11" x14ac:dyDescent="0.25">
      <c r="A1226" t="s">
        <v>1921</v>
      </c>
      <c r="B1226" s="3">
        <v>46300</v>
      </c>
      <c r="C1226" t="s">
        <v>604</v>
      </c>
      <c r="D1226" t="s">
        <v>599</v>
      </c>
      <c r="E1226">
        <v>53</v>
      </c>
      <c r="F1226" t="s">
        <v>2</v>
      </c>
      <c r="G1226" t="s">
        <v>48</v>
      </c>
      <c r="H1226" t="s">
        <v>3664</v>
      </c>
      <c r="I1226" s="2">
        <v>117000</v>
      </c>
      <c r="J1226" t="s">
        <v>110</v>
      </c>
      <c r="K1226" t="s">
        <v>2500</v>
      </c>
    </row>
    <row r="1227" spans="1:11" x14ac:dyDescent="0.25">
      <c r="A1227" t="s">
        <v>1922</v>
      </c>
      <c r="B1227" s="3">
        <v>46300</v>
      </c>
      <c r="C1227" t="s">
        <v>120</v>
      </c>
      <c r="D1227" t="s">
        <v>54</v>
      </c>
      <c r="E1227">
        <v>58</v>
      </c>
      <c r="F1227" t="s">
        <v>2</v>
      </c>
      <c r="G1227" t="s">
        <v>61</v>
      </c>
      <c r="H1227" t="s">
        <v>3665</v>
      </c>
      <c r="I1227" s="2">
        <v>88000</v>
      </c>
      <c r="J1227" t="s">
        <v>121</v>
      </c>
      <c r="K1227" t="s">
        <v>2509</v>
      </c>
    </row>
    <row r="1228" spans="1:11" x14ac:dyDescent="0.25">
      <c r="A1228" t="s">
        <v>1923</v>
      </c>
      <c r="B1228" s="3">
        <v>46300</v>
      </c>
      <c r="C1228" t="s">
        <v>486</v>
      </c>
      <c r="D1228" t="s">
        <v>479</v>
      </c>
      <c r="E1228">
        <v>66</v>
      </c>
      <c r="F1228" t="s">
        <v>469</v>
      </c>
      <c r="G1228" t="s">
        <v>61</v>
      </c>
      <c r="H1228" t="s">
        <v>3666</v>
      </c>
      <c r="I1228" s="2">
        <v>34000</v>
      </c>
      <c r="J1228" t="s">
        <v>52</v>
      </c>
      <c r="K1228" t="s">
        <v>2500</v>
      </c>
    </row>
    <row r="1229" spans="1:11" x14ac:dyDescent="0.25">
      <c r="A1229" t="s">
        <v>1924</v>
      </c>
      <c r="B1229" s="3">
        <v>46300</v>
      </c>
      <c r="C1229" t="s">
        <v>617</v>
      </c>
      <c r="D1229" t="s">
        <v>594</v>
      </c>
      <c r="E1229">
        <v>16</v>
      </c>
      <c r="F1229" t="s">
        <v>595</v>
      </c>
      <c r="G1229" t="s">
        <v>32</v>
      </c>
      <c r="H1229" t="s">
        <v>3667</v>
      </c>
      <c r="I1229" s="2">
        <v>5000</v>
      </c>
      <c r="J1229" t="s">
        <v>259</v>
      </c>
      <c r="K1229" t="s">
        <v>2503</v>
      </c>
    </row>
    <row r="1230" spans="1:11" x14ac:dyDescent="0.25">
      <c r="A1230" t="s">
        <v>1925</v>
      </c>
      <c r="B1230" s="3">
        <v>46300</v>
      </c>
      <c r="C1230" t="s">
        <v>622</v>
      </c>
      <c r="D1230" t="s">
        <v>585</v>
      </c>
      <c r="E1230">
        <v>28</v>
      </c>
      <c r="F1230" t="s">
        <v>355</v>
      </c>
      <c r="G1230" t="s">
        <v>48</v>
      </c>
      <c r="H1230" t="s">
        <v>3668</v>
      </c>
      <c r="I1230" s="2">
        <v>30000</v>
      </c>
      <c r="J1230" t="s">
        <v>71</v>
      </c>
      <c r="K1230" t="s">
        <v>2503</v>
      </c>
    </row>
    <row r="1231" spans="1:11" x14ac:dyDescent="0.25">
      <c r="A1231" t="s">
        <v>1926</v>
      </c>
      <c r="B1231" s="3">
        <v>46300</v>
      </c>
      <c r="C1231" t="s">
        <v>543</v>
      </c>
      <c r="D1231" t="s">
        <v>484</v>
      </c>
      <c r="E1231">
        <v>69</v>
      </c>
      <c r="F1231" t="s">
        <v>469</v>
      </c>
      <c r="G1231" t="s">
        <v>61</v>
      </c>
      <c r="H1231" t="s">
        <v>3669</v>
      </c>
      <c r="I1231" s="2">
        <v>25000</v>
      </c>
      <c r="J1231" t="s">
        <v>77</v>
      </c>
      <c r="K1231" t="s">
        <v>2509</v>
      </c>
    </row>
    <row r="1232" spans="1:11" x14ac:dyDescent="0.25">
      <c r="A1232" t="s">
        <v>1927</v>
      </c>
      <c r="B1232" s="3">
        <v>46300</v>
      </c>
      <c r="C1232" t="s">
        <v>693</v>
      </c>
      <c r="D1232" t="s">
        <v>582</v>
      </c>
      <c r="E1232">
        <v>35</v>
      </c>
      <c r="F1232" t="s">
        <v>2</v>
      </c>
      <c r="G1232" t="s">
        <v>36</v>
      </c>
      <c r="H1232" t="s">
        <v>3670</v>
      </c>
      <c r="I1232" s="2">
        <v>136000</v>
      </c>
      <c r="J1232" t="s">
        <v>175</v>
      </c>
      <c r="K1232" t="s">
        <v>2509</v>
      </c>
    </row>
    <row r="1233" spans="1:11" x14ac:dyDescent="0.25">
      <c r="A1233" t="s">
        <v>1928</v>
      </c>
      <c r="B1233" s="3">
        <v>46300</v>
      </c>
      <c r="C1233" t="s">
        <v>539</v>
      </c>
      <c r="D1233" t="s">
        <v>479</v>
      </c>
      <c r="E1233">
        <v>45</v>
      </c>
      <c r="F1233" t="s">
        <v>469</v>
      </c>
      <c r="G1233" t="s">
        <v>17</v>
      </c>
      <c r="H1233" t="s">
        <v>3671</v>
      </c>
      <c r="I1233" s="2">
        <v>32000</v>
      </c>
      <c r="J1233" t="s">
        <v>327</v>
      </c>
      <c r="K1233" t="s">
        <v>2500</v>
      </c>
    </row>
    <row r="1234" spans="1:11" x14ac:dyDescent="0.25">
      <c r="A1234" t="s">
        <v>1929</v>
      </c>
      <c r="B1234" s="3">
        <v>46300</v>
      </c>
      <c r="C1234" t="s">
        <v>365</v>
      </c>
      <c r="D1234" t="s">
        <v>366</v>
      </c>
      <c r="E1234">
        <v>47</v>
      </c>
      <c r="F1234" t="s">
        <v>2</v>
      </c>
      <c r="G1234" t="s">
        <v>32</v>
      </c>
      <c r="H1234" t="s">
        <v>3672</v>
      </c>
      <c r="I1234" s="2">
        <v>79000</v>
      </c>
      <c r="J1234" t="s">
        <v>126</v>
      </c>
      <c r="K1234" t="s">
        <v>2500</v>
      </c>
    </row>
    <row r="1235" spans="1:11" x14ac:dyDescent="0.25">
      <c r="A1235" t="s">
        <v>1930</v>
      </c>
      <c r="B1235" s="3">
        <v>46300</v>
      </c>
      <c r="C1235" t="s">
        <v>369</v>
      </c>
      <c r="D1235" t="s">
        <v>351</v>
      </c>
      <c r="E1235">
        <v>69</v>
      </c>
      <c r="F1235" t="s">
        <v>2</v>
      </c>
      <c r="G1235" t="s">
        <v>36</v>
      </c>
      <c r="H1235" t="s">
        <v>3673</v>
      </c>
      <c r="I1235" s="2">
        <v>594000</v>
      </c>
      <c r="J1235" t="s">
        <v>312</v>
      </c>
      <c r="K1235" t="s">
        <v>2500</v>
      </c>
    </row>
    <row r="1236" spans="1:11" x14ac:dyDescent="0.25">
      <c r="A1236" t="s">
        <v>1931</v>
      </c>
      <c r="B1236" s="3">
        <v>46300</v>
      </c>
      <c r="C1236" t="s">
        <v>605</v>
      </c>
      <c r="D1236" t="s">
        <v>589</v>
      </c>
      <c r="E1236">
        <v>70</v>
      </c>
      <c r="F1236" t="s">
        <v>469</v>
      </c>
      <c r="G1236" t="s">
        <v>17</v>
      </c>
      <c r="H1236" t="s">
        <v>3674</v>
      </c>
      <c r="I1236" s="2">
        <v>8000</v>
      </c>
      <c r="J1236" t="s">
        <v>117</v>
      </c>
      <c r="K1236" t="s">
        <v>2500</v>
      </c>
    </row>
    <row r="1237" spans="1:11" x14ac:dyDescent="0.25">
      <c r="A1237" t="s">
        <v>1932</v>
      </c>
      <c r="B1237" s="3">
        <v>46300</v>
      </c>
      <c r="C1237" t="s">
        <v>168</v>
      </c>
      <c r="D1237" t="s">
        <v>1</v>
      </c>
      <c r="E1237">
        <v>56</v>
      </c>
      <c r="F1237" t="s">
        <v>2</v>
      </c>
      <c r="G1237" t="s">
        <v>85</v>
      </c>
      <c r="H1237" t="s">
        <v>3675</v>
      </c>
      <c r="I1237" s="2">
        <v>76000</v>
      </c>
      <c r="J1237" t="s">
        <v>124</v>
      </c>
      <c r="K1237" t="s">
        <v>2500</v>
      </c>
    </row>
    <row r="1238" spans="1:11" x14ac:dyDescent="0.25">
      <c r="A1238" t="s">
        <v>1933</v>
      </c>
      <c r="B1238" s="3">
        <v>46300</v>
      </c>
      <c r="C1238" t="s">
        <v>74</v>
      </c>
      <c r="D1238" t="s">
        <v>15</v>
      </c>
      <c r="E1238">
        <v>68</v>
      </c>
      <c r="F1238" t="s">
        <v>2</v>
      </c>
      <c r="G1238" t="s">
        <v>36</v>
      </c>
      <c r="H1238" t="s">
        <v>3676</v>
      </c>
      <c r="I1238" s="2">
        <v>259000</v>
      </c>
      <c r="J1238" t="s">
        <v>75</v>
      </c>
      <c r="K1238" t="s">
        <v>2503</v>
      </c>
    </row>
    <row r="1239" spans="1:11" x14ac:dyDescent="0.25">
      <c r="A1239" t="s">
        <v>1934</v>
      </c>
      <c r="B1239" s="3">
        <v>46300</v>
      </c>
      <c r="C1239" t="s">
        <v>649</v>
      </c>
      <c r="D1239" t="s">
        <v>597</v>
      </c>
      <c r="E1239">
        <v>43</v>
      </c>
      <c r="F1239" t="s">
        <v>355</v>
      </c>
      <c r="G1239" t="s">
        <v>85</v>
      </c>
      <c r="H1239" t="s">
        <v>3677</v>
      </c>
      <c r="I1239" s="2">
        <v>42000</v>
      </c>
      <c r="J1239" t="s">
        <v>361</v>
      </c>
      <c r="K1239" t="s">
        <v>2509</v>
      </c>
    </row>
    <row r="1240" spans="1:11" x14ac:dyDescent="0.25">
      <c r="A1240" t="s">
        <v>1935</v>
      </c>
      <c r="B1240" s="3">
        <v>46300</v>
      </c>
      <c r="C1240" t="s">
        <v>389</v>
      </c>
      <c r="D1240" t="s">
        <v>364</v>
      </c>
      <c r="E1240">
        <v>17</v>
      </c>
      <c r="F1240" t="s">
        <v>358</v>
      </c>
      <c r="G1240" t="s">
        <v>36</v>
      </c>
      <c r="H1240" t="s">
        <v>3678</v>
      </c>
      <c r="I1240" s="2">
        <v>35000</v>
      </c>
      <c r="J1240" t="s">
        <v>77</v>
      </c>
      <c r="K1240" t="s">
        <v>2513</v>
      </c>
    </row>
    <row r="1241" spans="1:11" x14ac:dyDescent="0.25">
      <c r="A1241" t="s">
        <v>1936</v>
      </c>
      <c r="B1241" s="3">
        <v>46300</v>
      </c>
      <c r="C1241" t="s">
        <v>220</v>
      </c>
      <c r="D1241" t="s">
        <v>216</v>
      </c>
      <c r="E1241">
        <v>45</v>
      </c>
      <c r="F1241" t="s">
        <v>2</v>
      </c>
      <c r="G1241" t="s">
        <v>36</v>
      </c>
      <c r="H1241" t="s">
        <v>3679</v>
      </c>
      <c r="I1241" s="2">
        <v>648000</v>
      </c>
      <c r="J1241" t="s">
        <v>221</v>
      </c>
      <c r="K1241" t="s">
        <v>2503</v>
      </c>
    </row>
    <row r="1242" spans="1:11" x14ac:dyDescent="0.25">
      <c r="A1242" t="s">
        <v>1937</v>
      </c>
      <c r="B1242" s="3">
        <v>46300</v>
      </c>
      <c r="C1242" t="s">
        <v>531</v>
      </c>
      <c r="D1242" t="s">
        <v>479</v>
      </c>
      <c r="E1242">
        <v>61</v>
      </c>
      <c r="F1242" t="s">
        <v>469</v>
      </c>
      <c r="G1242" t="s">
        <v>48</v>
      </c>
      <c r="H1242" t="s">
        <v>3680</v>
      </c>
      <c r="I1242" s="2">
        <v>16000</v>
      </c>
      <c r="J1242" t="s">
        <v>129</v>
      </c>
      <c r="K1242" t="s">
        <v>2503</v>
      </c>
    </row>
    <row r="1243" spans="1:11" x14ac:dyDescent="0.25">
      <c r="A1243" t="s">
        <v>1938</v>
      </c>
      <c r="B1243" s="3">
        <v>46300</v>
      </c>
      <c r="C1243" t="s">
        <v>435</v>
      </c>
      <c r="D1243" t="s">
        <v>357</v>
      </c>
      <c r="E1243">
        <v>30</v>
      </c>
      <c r="F1243" t="s">
        <v>358</v>
      </c>
      <c r="G1243" t="s">
        <v>36</v>
      </c>
      <c r="H1243" t="s">
        <v>3681</v>
      </c>
      <c r="I1243" s="2">
        <v>55000</v>
      </c>
      <c r="J1243" t="s">
        <v>183</v>
      </c>
      <c r="K1243" t="s">
        <v>2500</v>
      </c>
    </row>
    <row r="1244" spans="1:11" x14ac:dyDescent="0.25">
      <c r="A1244" t="s">
        <v>1939</v>
      </c>
      <c r="B1244" s="3">
        <v>46300</v>
      </c>
      <c r="C1244" t="s">
        <v>648</v>
      </c>
      <c r="D1244" t="s">
        <v>585</v>
      </c>
      <c r="E1244">
        <v>34</v>
      </c>
      <c r="F1244" t="s">
        <v>355</v>
      </c>
      <c r="G1244" t="s">
        <v>22</v>
      </c>
      <c r="H1244" t="s">
        <v>3682</v>
      </c>
      <c r="I1244" s="2">
        <v>29000</v>
      </c>
      <c r="J1244" t="s">
        <v>203</v>
      </c>
      <c r="K1244" t="s">
        <v>2503</v>
      </c>
    </row>
    <row r="1245" spans="1:11" x14ac:dyDescent="0.25">
      <c r="A1245" t="s">
        <v>1940</v>
      </c>
      <c r="B1245" s="3">
        <v>46300</v>
      </c>
      <c r="C1245" t="s">
        <v>463</v>
      </c>
      <c r="D1245" t="s">
        <v>360</v>
      </c>
      <c r="E1245">
        <v>19</v>
      </c>
      <c r="F1245" t="s">
        <v>358</v>
      </c>
      <c r="G1245" t="s">
        <v>81</v>
      </c>
      <c r="H1245" t="s">
        <v>3683</v>
      </c>
      <c r="I1245" s="2">
        <v>5000</v>
      </c>
      <c r="J1245" t="s">
        <v>464</v>
      </c>
      <c r="K1245" t="s">
        <v>2509</v>
      </c>
    </row>
    <row r="1246" spans="1:11" x14ac:dyDescent="0.25">
      <c r="A1246" t="s">
        <v>1941</v>
      </c>
      <c r="B1246" s="3">
        <v>46300</v>
      </c>
      <c r="C1246" t="s">
        <v>334</v>
      </c>
      <c r="D1246" t="s">
        <v>218</v>
      </c>
      <c r="E1246">
        <v>22</v>
      </c>
      <c r="F1246" t="s">
        <v>2</v>
      </c>
      <c r="G1246" t="s">
        <v>85</v>
      </c>
      <c r="H1246" t="s">
        <v>3684</v>
      </c>
      <c r="I1246" s="2">
        <v>2544000</v>
      </c>
      <c r="J1246" t="s">
        <v>181</v>
      </c>
      <c r="K1246" t="s">
        <v>2509</v>
      </c>
    </row>
    <row r="1247" spans="1:11" x14ac:dyDescent="0.25">
      <c r="A1247" t="s">
        <v>1942</v>
      </c>
      <c r="B1247" s="3">
        <v>46300</v>
      </c>
      <c r="C1247" t="s">
        <v>405</v>
      </c>
      <c r="D1247" t="s">
        <v>344</v>
      </c>
      <c r="E1247">
        <v>5</v>
      </c>
      <c r="F1247" t="s">
        <v>346</v>
      </c>
      <c r="G1247" t="s">
        <v>48</v>
      </c>
      <c r="H1247" t="s">
        <v>3685</v>
      </c>
      <c r="I1247" s="2">
        <v>65000</v>
      </c>
      <c r="J1247" t="s">
        <v>121</v>
      </c>
      <c r="K1247" t="s">
        <v>2503</v>
      </c>
    </row>
    <row r="1248" spans="1:11" x14ac:dyDescent="0.25">
      <c r="A1248" t="s">
        <v>1943</v>
      </c>
      <c r="B1248" s="3">
        <v>46300</v>
      </c>
      <c r="C1248" t="s">
        <v>575</v>
      </c>
      <c r="D1248" t="s">
        <v>467</v>
      </c>
      <c r="E1248">
        <v>7</v>
      </c>
      <c r="F1248" t="s">
        <v>469</v>
      </c>
      <c r="G1248" t="s">
        <v>36</v>
      </c>
      <c r="H1248" t="s">
        <v>3686</v>
      </c>
      <c r="I1248" s="2">
        <v>33000</v>
      </c>
      <c r="J1248" t="s">
        <v>108</v>
      </c>
      <c r="K1248" t="s">
        <v>2500</v>
      </c>
    </row>
    <row r="1249" spans="1:11" x14ac:dyDescent="0.25">
      <c r="A1249" t="s">
        <v>1944</v>
      </c>
      <c r="B1249" s="3">
        <v>46300</v>
      </c>
      <c r="C1249" t="s">
        <v>462</v>
      </c>
      <c r="D1249" t="s">
        <v>349</v>
      </c>
      <c r="E1249">
        <v>26</v>
      </c>
      <c r="F1249" t="s">
        <v>2</v>
      </c>
      <c r="G1249" t="s">
        <v>61</v>
      </c>
      <c r="H1249" t="s">
        <v>3687</v>
      </c>
      <c r="I1249" s="2">
        <v>2000</v>
      </c>
      <c r="J1249" t="s">
        <v>310</v>
      </c>
      <c r="K1249" t="s">
        <v>2503</v>
      </c>
    </row>
    <row r="1250" spans="1:11" x14ac:dyDescent="0.25">
      <c r="A1250" t="s">
        <v>1945</v>
      </c>
      <c r="B1250" s="3">
        <v>46301</v>
      </c>
      <c r="C1250" t="s">
        <v>135</v>
      </c>
      <c r="D1250" t="s">
        <v>44</v>
      </c>
      <c r="E1250">
        <v>36</v>
      </c>
      <c r="F1250" t="s">
        <v>2</v>
      </c>
      <c r="G1250" t="s">
        <v>55</v>
      </c>
      <c r="H1250" t="s">
        <v>3688</v>
      </c>
      <c r="I1250" s="2">
        <v>31000</v>
      </c>
      <c r="J1250" t="s">
        <v>73</v>
      </c>
      <c r="K1250" t="s">
        <v>2509</v>
      </c>
    </row>
    <row r="1251" spans="1:11" x14ac:dyDescent="0.25">
      <c r="A1251" t="s">
        <v>1946</v>
      </c>
      <c r="B1251" s="3">
        <v>46301</v>
      </c>
      <c r="C1251" t="s">
        <v>254</v>
      </c>
      <c r="D1251" t="s">
        <v>213</v>
      </c>
      <c r="E1251">
        <v>50</v>
      </c>
      <c r="F1251" t="s">
        <v>2</v>
      </c>
      <c r="G1251" t="s">
        <v>85</v>
      </c>
      <c r="H1251" t="s">
        <v>3689</v>
      </c>
      <c r="I1251" s="2">
        <v>3840000</v>
      </c>
      <c r="J1251" t="s">
        <v>59</v>
      </c>
      <c r="K1251" t="s">
        <v>2503</v>
      </c>
    </row>
    <row r="1252" spans="1:11" x14ac:dyDescent="0.25">
      <c r="A1252" t="s">
        <v>1947</v>
      </c>
      <c r="B1252" s="3">
        <v>46301</v>
      </c>
      <c r="C1252" t="s">
        <v>107</v>
      </c>
      <c r="D1252" t="s">
        <v>29</v>
      </c>
      <c r="E1252">
        <v>69</v>
      </c>
      <c r="F1252" t="s">
        <v>2</v>
      </c>
      <c r="G1252" t="s">
        <v>85</v>
      </c>
      <c r="H1252" t="s">
        <v>3690</v>
      </c>
      <c r="I1252" s="2">
        <v>173000</v>
      </c>
      <c r="J1252" t="s">
        <v>108</v>
      </c>
      <c r="K1252" t="s">
        <v>2513</v>
      </c>
    </row>
    <row r="1253" spans="1:11" x14ac:dyDescent="0.25">
      <c r="A1253" t="s">
        <v>1948</v>
      </c>
      <c r="B1253" s="3">
        <v>46301</v>
      </c>
      <c r="C1253" t="s">
        <v>527</v>
      </c>
      <c r="D1253" t="s">
        <v>467</v>
      </c>
      <c r="E1253">
        <v>15</v>
      </c>
      <c r="F1253" t="s">
        <v>469</v>
      </c>
      <c r="G1253" t="s">
        <v>85</v>
      </c>
      <c r="H1253" t="s">
        <v>3691</v>
      </c>
      <c r="I1253" s="2">
        <v>34000</v>
      </c>
      <c r="J1253" t="s">
        <v>289</v>
      </c>
      <c r="K1253" t="s">
        <v>2500</v>
      </c>
    </row>
    <row r="1254" spans="1:11" x14ac:dyDescent="0.25">
      <c r="A1254" t="s">
        <v>1949</v>
      </c>
      <c r="B1254" s="3">
        <v>46301</v>
      </c>
      <c r="C1254" t="s">
        <v>168</v>
      </c>
      <c r="D1254" t="s">
        <v>1</v>
      </c>
      <c r="E1254">
        <v>54</v>
      </c>
      <c r="F1254" t="s">
        <v>2</v>
      </c>
      <c r="G1254" t="s">
        <v>85</v>
      </c>
      <c r="H1254" t="s">
        <v>3692</v>
      </c>
      <c r="I1254" s="2">
        <v>76000</v>
      </c>
      <c r="J1254" t="s">
        <v>124</v>
      </c>
      <c r="K1254" t="s">
        <v>2513</v>
      </c>
    </row>
    <row r="1255" spans="1:11" x14ac:dyDescent="0.25">
      <c r="A1255" t="s">
        <v>1950</v>
      </c>
      <c r="B1255" s="3">
        <v>46301</v>
      </c>
      <c r="C1255" t="s">
        <v>388</v>
      </c>
      <c r="D1255" t="s">
        <v>351</v>
      </c>
      <c r="E1255">
        <v>12</v>
      </c>
      <c r="F1255" t="s">
        <v>2</v>
      </c>
      <c r="G1255" t="s">
        <v>32</v>
      </c>
      <c r="H1255" t="s">
        <v>3693</v>
      </c>
      <c r="I1255" s="2">
        <v>233000</v>
      </c>
      <c r="J1255" t="s">
        <v>147</v>
      </c>
      <c r="K1255" t="s">
        <v>2509</v>
      </c>
    </row>
    <row r="1256" spans="1:11" x14ac:dyDescent="0.25">
      <c r="A1256" t="s">
        <v>1951</v>
      </c>
      <c r="B1256" s="3">
        <v>46301</v>
      </c>
      <c r="C1256" t="s">
        <v>457</v>
      </c>
      <c r="D1256" t="s">
        <v>349</v>
      </c>
      <c r="E1256">
        <v>63</v>
      </c>
      <c r="F1256" t="s">
        <v>2</v>
      </c>
      <c r="G1256" t="s">
        <v>17</v>
      </c>
      <c r="H1256" t="s">
        <v>3694</v>
      </c>
      <c r="I1256" s="2">
        <v>10000</v>
      </c>
      <c r="J1256" t="s">
        <v>175</v>
      </c>
      <c r="K1256" t="s">
        <v>2500</v>
      </c>
    </row>
    <row r="1257" spans="1:11" x14ac:dyDescent="0.25">
      <c r="A1257" t="s">
        <v>1952</v>
      </c>
      <c r="B1257" s="3">
        <v>46301</v>
      </c>
      <c r="C1257" t="s">
        <v>509</v>
      </c>
      <c r="D1257" t="s">
        <v>471</v>
      </c>
      <c r="E1257">
        <v>10</v>
      </c>
      <c r="F1257" t="s">
        <v>355</v>
      </c>
      <c r="G1257" t="s">
        <v>36</v>
      </c>
      <c r="H1257" t="s">
        <v>3695</v>
      </c>
      <c r="I1257" s="2">
        <v>38000</v>
      </c>
      <c r="J1257" t="s">
        <v>287</v>
      </c>
      <c r="K1257" t="s">
        <v>2500</v>
      </c>
    </row>
    <row r="1258" spans="1:11" x14ac:dyDescent="0.25">
      <c r="A1258" t="s">
        <v>1953</v>
      </c>
      <c r="B1258" s="3">
        <v>46301</v>
      </c>
      <c r="C1258" t="s">
        <v>114</v>
      </c>
      <c r="D1258" t="s">
        <v>21</v>
      </c>
      <c r="E1258">
        <v>33</v>
      </c>
      <c r="F1258" t="s">
        <v>2</v>
      </c>
      <c r="G1258" t="s">
        <v>17</v>
      </c>
      <c r="H1258" t="s">
        <v>3529</v>
      </c>
      <c r="I1258" s="2">
        <v>104000</v>
      </c>
      <c r="J1258" t="s">
        <v>42</v>
      </c>
      <c r="K1258" t="s">
        <v>2509</v>
      </c>
    </row>
    <row r="1259" spans="1:11" x14ac:dyDescent="0.25">
      <c r="A1259" t="s">
        <v>1954</v>
      </c>
      <c r="B1259" s="3">
        <v>46301</v>
      </c>
      <c r="C1259" t="s">
        <v>404</v>
      </c>
      <c r="D1259" t="s">
        <v>357</v>
      </c>
      <c r="E1259">
        <v>21</v>
      </c>
      <c r="F1259" t="s">
        <v>358</v>
      </c>
      <c r="G1259" t="s">
        <v>32</v>
      </c>
      <c r="H1259" t="s">
        <v>3696</v>
      </c>
      <c r="I1259" s="2">
        <v>25000</v>
      </c>
      <c r="J1259" t="s">
        <v>149</v>
      </c>
      <c r="K1259" t="s">
        <v>2500</v>
      </c>
    </row>
    <row r="1260" spans="1:11" x14ac:dyDescent="0.25">
      <c r="A1260" t="s">
        <v>1955</v>
      </c>
      <c r="B1260" s="3">
        <v>46301</v>
      </c>
      <c r="C1260" t="s">
        <v>525</v>
      </c>
      <c r="D1260" t="s">
        <v>474</v>
      </c>
      <c r="E1260">
        <v>23</v>
      </c>
      <c r="F1260" t="s">
        <v>2</v>
      </c>
      <c r="G1260" t="s">
        <v>40</v>
      </c>
      <c r="H1260" t="s">
        <v>3697</v>
      </c>
      <c r="I1260" s="2">
        <v>8000</v>
      </c>
      <c r="J1260" t="s">
        <v>104</v>
      </c>
      <c r="K1260" t="s">
        <v>2509</v>
      </c>
    </row>
    <row r="1261" spans="1:11" x14ac:dyDescent="0.25">
      <c r="A1261" t="s">
        <v>1956</v>
      </c>
      <c r="B1261" s="3">
        <v>46301</v>
      </c>
      <c r="C1261" t="s">
        <v>508</v>
      </c>
      <c r="D1261" t="s">
        <v>476</v>
      </c>
      <c r="E1261">
        <v>11</v>
      </c>
      <c r="F1261" t="s">
        <v>477</v>
      </c>
      <c r="G1261" t="s">
        <v>81</v>
      </c>
      <c r="H1261" t="s">
        <v>3698</v>
      </c>
      <c r="I1261" s="2">
        <v>11000</v>
      </c>
      <c r="J1261" t="s">
        <v>89</v>
      </c>
      <c r="K1261" t="s">
        <v>2500</v>
      </c>
    </row>
    <row r="1262" spans="1:11" x14ac:dyDescent="0.25">
      <c r="A1262" t="s">
        <v>1957</v>
      </c>
      <c r="B1262" s="3">
        <v>46301</v>
      </c>
      <c r="C1262" t="s">
        <v>336</v>
      </c>
      <c r="D1262" t="s">
        <v>227</v>
      </c>
      <c r="E1262">
        <v>49</v>
      </c>
      <c r="F1262" t="s">
        <v>2</v>
      </c>
      <c r="G1262" t="s">
        <v>32</v>
      </c>
      <c r="H1262" t="s">
        <v>3699</v>
      </c>
      <c r="I1262" s="2">
        <v>645000</v>
      </c>
      <c r="J1262" t="s">
        <v>330</v>
      </c>
      <c r="K1262" t="s">
        <v>2513</v>
      </c>
    </row>
    <row r="1263" spans="1:11" x14ac:dyDescent="0.25">
      <c r="A1263" t="s">
        <v>1958</v>
      </c>
      <c r="B1263" s="3">
        <v>46301</v>
      </c>
      <c r="C1263" t="s">
        <v>686</v>
      </c>
      <c r="D1263" t="s">
        <v>589</v>
      </c>
      <c r="E1263">
        <v>58</v>
      </c>
      <c r="F1263" t="s">
        <v>469</v>
      </c>
      <c r="G1263" t="s">
        <v>17</v>
      </c>
      <c r="H1263" t="s">
        <v>3700</v>
      </c>
      <c r="I1263" s="2">
        <v>14000</v>
      </c>
      <c r="J1263" t="s">
        <v>185</v>
      </c>
      <c r="K1263" t="s">
        <v>2500</v>
      </c>
    </row>
    <row r="1264" spans="1:11" x14ac:dyDescent="0.25">
      <c r="A1264" t="s">
        <v>1959</v>
      </c>
      <c r="B1264" s="3">
        <v>46301</v>
      </c>
      <c r="C1264" t="s">
        <v>450</v>
      </c>
      <c r="D1264" t="s">
        <v>349</v>
      </c>
      <c r="E1264">
        <v>62</v>
      </c>
      <c r="F1264" t="s">
        <v>2</v>
      </c>
      <c r="G1264" t="s">
        <v>22</v>
      </c>
      <c r="H1264" t="s">
        <v>3701</v>
      </c>
      <c r="I1264" s="2">
        <v>15000</v>
      </c>
      <c r="J1264" t="s">
        <v>121</v>
      </c>
      <c r="K1264" t="s">
        <v>2503</v>
      </c>
    </row>
    <row r="1265" spans="1:11" x14ac:dyDescent="0.25">
      <c r="A1265" t="s">
        <v>1960</v>
      </c>
      <c r="B1265" s="3">
        <v>46301</v>
      </c>
      <c r="C1265" t="s">
        <v>390</v>
      </c>
      <c r="D1265" t="s">
        <v>378</v>
      </c>
      <c r="E1265">
        <v>4</v>
      </c>
      <c r="F1265" t="s">
        <v>2</v>
      </c>
      <c r="G1265" t="s">
        <v>81</v>
      </c>
      <c r="H1265" t="s">
        <v>3702</v>
      </c>
      <c r="I1265" s="2">
        <v>18000</v>
      </c>
      <c r="J1265" t="s">
        <v>206</v>
      </c>
      <c r="K1265" t="s">
        <v>2513</v>
      </c>
    </row>
    <row r="1266" spans="1:11" x14ac:dyDescent="0.25">
      <c r="A1266" t="s">
        <v>1961</v>
      </c>
      <c r="B1266" s="3">
        <v>46301</v>
      </c>
      <c r="C1266" t="s">
        <v>325</v>
      </c>
      <c r="D1266" t="s">
        <v>227</v>
      </c>
      <c r="E1266">
        <v>54</v>
      </c>
      <c r="F1266" t="s">
        <v>2</v>
      </c>
      <c r="G1266" t="s">
        <v>61</v>
      </c>
      <c r="H1266" t="s">
        <v>3703</v>
      </c>
      <c r="I1266" s="2">
        <v>1037000</v>
      </c>
      <c r="J1266" t="s">
        <v>34</v>
      </c>
      <c r="K1266" t="s">
        <v>2500</v>
      </c>
    </row>
    <row r="1267" spans="1:11" x14ac:dyDescent="0.25">
      <c r="A1267" t="s">
        <v>1962</v>
      </c>
      <c r="B1267" s="3">
        <v>46301</v>
      </c>
      <c r="C1267" t="s">
        <v>367</v>
      </c>
      <c r="D1267" t="s">
        <v>344</v>
      </c>
      <c r="E1267">
        <v>62</v>
      </c>
      <c r="F1267" t="s">
        <v>346</v>
      </c>
      <c r="G1267" t="s">
        <v>32</v>
      </c>
      <c r="H1267" t="s">
        <v>3704</v>
      </c>
      <c r="I1267" s="2">
        <v>67000</v>
      </c>
      <c r="J1267" t="s">
        <v>368</v>
      </c>
      <c r="K1267" t="s">
        <v>2503</v>
      </c>
    </row>
    <row r="1268" spans="1:11" x14ac:dyDescent="0.25">
      <c r="A1268" t="s">
        <v>1963</v>
      </c>
      <c r="B1268" s="3">
        <v>46301</v>
      </c>
      <c r="C1268" t="s">
        <v>570</v>
      </c>
      <c r="D1268" t="s">
        <v>484</v>
      </c>
      <c r="E1268">
        <v>17</v>
      </c>
      <c r="F1268" t="s">
        <v>469</v>
      </c>
      <c r="G1268" t="s">
        <v>36</v>
      </c>
      <c r="H1268" t="s">
        <v>3705</v>
      </c>
      <c r="I1268" s="2">
        <v>70000</v>
      </c>
      <c r="J1268" t="s">
        <v>106</v>
      </c>
      <c r="K1268" t="s">
        <v>2509</v>
      </c>
    </row>
    <row r="1269" spans="1:11" x14ac:dyDescent="0.25">
      <c r="A1269" t="s">
        <v>1964</v>
      </c>
      <c r="B1269" s="3">
        <v>46301</v>
      </c>
      <c r="C1269" t="s">
        <v>542</v>
      </c>
      <c r="D1269" t="s">
        <v>502</v>
      </c>
      <c r="E1269">
        <v>46</v>
      </c>
      <c r="F1269" t="s">
        <v>469</v>
      </c>
      <c r="G1269" t="s">
        <v>36</v>
      </c>
      <c r="H1269" t="s">
        <v>3706</v>
      </c>
      <c r="I1269" s="2">
        <v>93000</v>
      </c>
      <c r="J1269" t="s">
        <v>57</v>
      </c>
      <c r="K1269" t="s">
        <v>2513</v>
      </c>
    </row>
    <row r="1270" spans="1:11" x14ac:dyDescent="0.25">
      <c r="A1270" t="s">
        <v>1965</v>
      </c>
      <c r="B1270" s="3">
        <v>46301</v>
      </c>
      <c r="C1270" t="s">
        <v>538</v>
      </c>
      <c r="D1270" t="s">
        <v>490</v>
      </c>
      <c r="E1270">
        <v>51</v>
      </c>
      <c r="F1270" t="s">
        <v>355</v>
      </c>
      <c r="G1270" t="s">
        <v>81</v>
      </c>
      <c r="H1270" t="s">
        <v>3707</v>
      </c>
      <c r="I1270" s="2">
        <v>28000</v>
      </c>
      <c r="J1270" t="s">
        <v>327</v>
      </c>
      <c r="K1270" t="s">
        <v>2513</v>
      </c>
    </row>
    <row r="1271" spans="1:11" x14ac:dyDescent="0.25">
      <c r="A1271" t="s">
        <v>1966</v>
      </c>
      <c r="B1271" s="3">
        <v>46301</v>
      </c>
      <c r="C1271" t="s">
        <v>644</v>
      </c>
      <c r="D1271" t="s">
        <v>629</v>
      </c>
      <c r="E1271">
        <v>56</v>
      </c>
      <c r="F1271" t="s">
        <v>355</v>
      </c>
      <c r="G1271" t="s">
        <v>61</v>
      </c>
      <c r="H1271" t="s">
        <v>3708</v>
      </c>
      <c r="I1271" s="2">
        <v>36000</v>
      </c>
      <c r="J1271" t="s">
        <v>189</v>
      </c>
      <c r="K1271" t="s">
        <v>2513</v>
      </c>
    </row>
    <row r="1272" spans="1:11" x14ac:dyDescent="0.25">
      <c r="A1272" t="s">
        <v>1967</v>
      </c>
      <c r="B1272" s="3">
        <v>46301</v>
      </c>
      <c r="C1272" t="s">
        <v>538</v>
      </c>
      <c r="D1272" t="s">
        <v>490</v>
      </c>
      <c r="E1272">
        <v>2</v>
      </c>
      <c r="F1272" t="s">
        <v>355</v>
      </c>
      <c r="G1272" t="s">
        <v>81</v>
      </c>
      <c r="H1272" t="s">
        <v>3709</v>
      </c>
      <c r="I1272" s="2">
        <v>28000</v>
      </c>
      <c r="J1272" t="s">
        <v>327</v>
      </c>
      <c r="K1272" t="s">
        <v>2500</v>
      </c>
    </row>
    <row r="1273" spans="1:11" x14ac:dyDescent="0.25">
      <c r="A1273" t="s">
        <v>1968</v>
      </c>
      <c r="B1273" s="3">
        <v>46301</v>
      </c>
      <c r="C1273" t="s">
        <v>302</v>
      </c>
      <c r="D1273" t="s">
        <v>261</v>
      </c>
      <c r="E1273">
        <v>13</v>
      </c>
      <c r="F1273" t="s">
        <v>2</v>
      </c>
      <c r="G1273" t="s">
        <v>40</v>
      </c>
      <c r="H1273" t="s">
        <v>3710</v>
      </c>
      <c r="I1273" s="2">
        <v>352000</v>
      </c>
      <c r="J1273" t="s">
        <v>133</v>
      </c>
      <c r="K1273" t="s">
        <v>2513</v>
      </c>
    </row>
    <row r="1274" spans="1:11" x14ac:dyDescent="0.25">
      <c r="A1274" t="s">
        <v>1969</v>
      </c>
      <c r="B1274" s="3">
        <v>46301</v>
      </c>
      <c r="C1274" t="s">
        <v>450</v>
      </c>
      <c r="D1274" t="s">
        <v>349</v>
      </c>
      <c r="E1274">
        <v>33</v>
      </c>
      <c r="F1274" t="s">
        <v>2</v>
      </c>
      <c r="G1274" t="s">
        <v>22</v>
      </c>
      <c r="H1274" t="s">
        <v>3711</v>
      </c>
      <c r="I1274" s="2">
        <v>15000</v>
      </c>
      <c r="J1274" t="s">
        <v>121</v>
      </c>
      <c r="K1274" t="s">
        <v>2500</v>
      </c>
    </row>
    <row r="1275" spans="1:11" x14ac:dyDescent="0.25">
      <c r="A1275" t="s">
        <v>1970</v>
      </c>
      <c r="B1275" s="3">
        <v>46301</v>
      </c>
      <c r="C1275" t="s">
        <v>224</v>
      </c>
      <c r="D1275" t="s">
        <v>225</v>
      </c>
      <c r="E1275">
        <v>7</v>
      </c>
      <c r="F1275" t="s">
        <v>2</v>
      </c>
      <c r="G1275" t="s">
        <v>55</v>
      </c>
      <c r="H1275" t="s">
        <v>3712</v>
      </c>
      <c r="I1275" s="2">
        <v>803000</v>
      </c>
      <c r="J1275" t="s">
        <v>106</v>
      </c>
      <c r="K1275" t="s">
        <v>2503</v>
      </c>
    </row>
    <row r="1276" spans="1:11" x14ac:dyDescent="0.25">
      <c r="A1276" t="s">
        <v>1971</v>
      </c>
      <c r="B1276" s="3">
        <v>46301</v>
      </c>
      <c r="C1276" t="s">
        <v>25</v>
      </c>
      <c r="D1276" t="s">
        <v>26</v>
      </c>
      <c r="E1276">
        <v>31</v>
      </c>
      <c r="F1276" t="s">
        <v>2</v>
      </c>
      <c r="G1276" t="s">
        <v>17</v>
      </c>
      <c r="H1276" t="s">
        <v>3713</v>
      </c>
      <c r="I1276" s="2">
        <v>438000</v>
      </c>
      <c r="J1276" t="s">
        <v>27</v>
      </c>
      <c r="K1276" t="s">
        <v>2500</v>
      </c>
    </row>
    <row r="1277" spans="1:11" x14ac:dyDescent="0.25">
      <c r="A1277" t="s">
        <v>1972</v>
      </c>
      <c r="B1277" s="3">
        <v>46301</v>
      </c>
      <c r="C1277" t="s">
        <v>194</v>
      </c>
      <c r="D1277" t="s">
        <v>47</v>
      </c>
      <c r="E1277">
        <v>21</v>
      </c>
      <c r="F1277" t="s">
        <v>2</v>
      </c>
      <c r="G1277" t="s">
        <v>32</v>
      </c>
      <c r="H1277" t="s">
        <v>3714</v>
      </c>
      <c r="I1277" s="2">
        <v>284000</v>
      </c>
      <c r="J1277" t="s">
        <v>195</v>
      </c>
      <c r="K1277" t="s">
        <v>2509</v>
      </c>
    </row>
    <row r="1278" spans="1:11" x14ac:dyDescent="0.25">
      <c r="A1278" t="s">
        <v>1973</v>
      </c>
      <c r="B1278" s="3">
        <v>46301</v>
      </c>
      <c r="C1278" t="s">
        <v>543</v>
      </c>
      <c r="D1278" t="s">
        <v>484</v>
      </c>
      <c r="E1278">
        <v>63</v>
      </c>
      <c r="F1278" t="s">
        <v>469</v>
      </c>
      <c r="G1278" t="s">
        <v>61</v>
      </c>
      <c r="H1278" t="s">
        <v>3715</v>
      </c>
      <c r="I1278" s="2">
        <v>25000</v>
      </c>
      <c r="J1278" t="s">
        <v>77</v>
      </c>
      <c r="K1278" t="s">
        <v>2509</v>
      </c>
    </row>
    <row r="1279" spans="1:11" x14ac:dyDescent="0.25">
      <c r="A1279" t="s">
        <v>1974</v>
      </c>
      <c r="B1279" s="3">
        <v>46301</v>
      </c>
      <c r="C1279" t="s">
        <v>575</v>
      </c>
      <c r="D1279" t="s">
        <v>467</v>
      </c>
      <c r="E1279">
        <v>35</v>
      </c>
      <c r="F1279" t="s">
        <v>469</v>
      </c>
      <c r="G1279" t="s">
        <v>36</v>
      </c>
      <c r="H1279" t="s">
        <v>3716</v>
      </c>
      <c r="I1279" s="2">
        <v>33000</v>
      </c>
      <c r="J1279" t="s">
        <v>108</v>
      </c>
      <c r="K1279" t="s">
        <v>2500</v>
      </c>
    </row>
    <row r="1280" spans="1:11" x14ac:dyDescent="0.25">
      <c r="A1280" t="s">
        <v>1975</v>
      </c>
      <c r="B1280" s="3">
        <v>46301</v>
      </c>
      <c r="C1280" t="s">
        <v>130</v>
      </c>
      <c r="D1280" t="s">
        <v>1</v>
      </c>
      <c r="E1280">
        <v>8</v>
      </c>
      <c r="F1280" t="s">
        <v>2</v>
      </c>
      <c r="G1280" t="s">
        <v>85</v>
      </c>
      <c r="H1280" t="s">
        <v>3717</v>
      </c>
      <c r="I1280" s="2">
        <v>130000</v>
      </c>
      <c r="J1280" t="s">
        <v>19</v>
      </c>
      <c r="K1280" t="s">
        <v>2503</v>
      </c>
    </row>
    <row r="1281" spans="1:11" x14ac:dyDescent="0.25">
      <c r="A1281" t="s">
        <v>1976</v>
      </c>
      <c r="B1281" s="3">
        <v>46301</v>
      </c>
      <c r="C1281" t="s">
        <v>625</v>
      </c>
      <c r="D1281" t="s">
        <v>594</v>
      </c>
      <c r="E1281">
        <v>32</v>
      </c>
      <c r="F1281" t="s">
        <v>595</v>
      </c>
      <c r="G1281" t="s">
        <v>55</v>
      </c>
      <c r="H1281" t="s">
        <v>3718</v>
      </c>
      <c r="I1281" s="2">
        <v>4000</v>
      </c>
      <c r="J1281" t="s">
        <v>19</v>
      </c>
      <c r="K1281" t="s">
        <v>2513</v>
      </c>
    </row>
    <row r="1282" spans="1:11" x14ac:dyDescent="0.25">
      <c r="A1282" t="s">
        <v>1977</v>
      </c>
      <c r="B1282" s="3">
        <v>46301</v>
      </c>
      <c r="C1282" t="s">
        <v>249</v>
      </c>
      <c r="D1282" t="s">
        <v>216</v>
      </c>
      <c r="E1282">
        <v>36</v>
      </c>
      <c r="F1282" t="s">
        <v>2</v>
      </c>
      <c r="G1282" t="s">
        <v>17</v>
      </c>
      <c r="H1282" t="s">
        <v>3719</v>
      </c>
      <c r="I1282" s="2">
        <v>502000</v>
      </c>
      <c r="J1282" t="s">
        <v>250</v>
      </c>
      <c r="K1282" t="s">
        <v>2500</v>
      </c>
    </row>
    <row r="1283" spans="1:11" x14ac:dyDescent="0.25">
      <c r="A1283" t="s">
        <v>1978</v>
      </c>
      <c r="B1283" s="3">
        <v>46301</v>
      </c>
      <c r="C1283" t="s">
        <v>370</v>
      </c>
      <c r="D1283" t="s">
        <v>344</v>
      </c>
      <c r="E1283">
        <v>26</v>
      </c>
      <c r="F1283" t="s">
        <v>346</v>
      </c>
      <c r="G1283" t="s">
        <v>32</v>
      </c>
      <c r="H1283" t="s">
        <v>3720</v>
      </c>
      <c r="I1283" s="2">
        <v>60000</v>
      </c>
      <c r="J1283" t="s">
        <v>24</v>
      </c>
      <c r="K1283" t="s">
        <v>2503</v>
      </c>
    </row>
    <row r="1284" spans="1:11" x14ac:dyDescent="0.25">
      <c r="A1284" t="s">
        <v>1979</v>
      </c>
      <c r="B1284" s="3">
        <v>46301</v>
      </c>
      <c r="C1284" t="s">
        <v>665</v>
      </c>
      <c r="D1284" t="s">
        <v>589</v>
      </c>
      <c r="E1284">
        <v>30</v>
      </c>
      <c r="F1284" t="s">
        <v>469</v>
      </c>
      <c r="G1284" t="s">
        <v>40</v>
      </c>
      <c r="H1284" t="s">
        <v>3721</v>
      </c>
      <c r="I1284" s="2">
        <v>18000</v>
      </c>
      <c r="J1284" t="s">
        <v>274</v>
      </c>
      <c r="K1284" t="s">
        <v>2509</v>
      </c>
    </row>
    <row r="1285" spans="1:11" x14ac:dyDescent="0.25">
      <c r="A1285" t="s">
        <v>1980</v>
      </c>
      <c r="B1285" s="3">
        <v>46301</v>
      </c>
      <c r="C1285" t="s">
        <v>412</v>
      </c>
      <c r="D1285" t="s">
        <v>351</v>
      </c>
      <c r="E1285">
        <v>64</v>
      </c>
      <c r="F1285" t="s">
        <v>2</v>
      </c>
      <c r="G1285" t="s">
        <v>61</v>
      </c>
      <c r="H1285" t="s">
        <v>3722</v>
      </c>
      <c r="I1285" s="2">
        <v>728000</v>
      </c>
      <c r="J1285" t="s">
        <v>140</v>
      </c>
      <c r="K1285" t="s">
        <v>2503</v>
      </c>
    </row>
    <row r="1286" spans="1:11" x14ac:dyDescent="0.25">
      <c r="A1286" t="s">
        <v>1981</v>
      </c>
      <c r="B1286" s="3">
        <v>46301</v>
      </c>
      <c r="C1286" t="s">
        <v>25</v>
      </c>
      <c r="D1286" t="s">
        <v>26</v>
      </c>
      <c r="E1286">
        <v>58</v>
      </c>
      <c r="F1286" t="s">
        <v>2</v>
      </c>
      <c r="G1286" t="s">
        <v>17</v>
      </c>
      <c r="H1286" t="s">
        <v>3723</v>
      </c>
      <c r="I1286" s="2">
        <v>438000</v>
      </c>
      <c r="J1286" t="s">
        <v>27</v>
      </c>
      <c r="K1286" t="s">
        <v>2500</v>
      </c>
    </row>
    <row r="1287" spans="1:11" x14ac:dyDescent="0.25">
      <c r="A1287" t="s">
        <v>1982</v>
      </c>
      <c r="B1287" s="3">
        <v>46301</v>
      </c>
      <c r="C1287" t="s">
        <v>570</v>
      </c>
      <c r="D1287" t="s">
        <v>484</v>
      </c>
      <c r="E1287">
        <v>16</v>
      </c>
      <c r="F1287" t="s">
        <v>469</v>
      </c>
      <c r="G1287" t="s">
        <v>36</v>
      </c>
      <c r="H1287" t="s">
        <v>3724</v>
      </c>
      <c r="I1287" s="2">
        <v>70000</v>
      </c>
      <c r="J1287" t="s">
        <v>106</v>
      </c>
      <c r="K1287" t="s">
        <v>2500</v>
      </c>
    </row>
    <row r="1288" spans="1:11" x14ac:dyDescent="0.25">
      <c r="A1288" t="s">
        <v>1983</v>
      </c>
      <c r="B1288" s="3">
        <v>46302</v>
      </c>
      <c r="C1288" t="s">
        <v>122</v>
      </c>
      <c r="D1288" t="s">
        <v>54</v>
      </c>
      <c r="E1288">
        <v>6</v>
      </c>
      <c r="F1288" t="s">
        <v>2</v>
      </c>
      <c r="G1288" t="s">
        <v>17</v>
      </c>
      <c r="H1288" t="s">
        <v>3725</v>
      </c>
      <c r="I1288" s="2">
        <v>169000</v>
      </c>
      <c r="J1288" t="s">
        <v>98</v>
      </c>
      <c r="K1288" t="s">
        <v>2500</v>
      </c>
    </row>
    <row r="1289" spans="1:11" x14ac:dyDescent="0.25">
      <c r="A1289" t="s">
        <v>1984</v>
      </c>
      <c r="B1289" s="3">
        <v>46302</v>
      </c>
      <c r="C1289" t="s">
        <v>619</v>
      </c>
      <c r="D1289" t="s">
        <v>594</v>
      </c>
      <c r="E1289">
        <v>64</v>
      </c>
      <c r="F1289" t="s">
        <v>595</v>
      </c>
      <c r="G1289" t="s">
        <v>85</v>
      </c>
      <c r="H1289" t="s">
        <v>3726</v>
      </c>
      <c r="I1289" s="2">
        <v>10000</v>
      </c>
      <c r="J1289" t="s">
        <v>206</v>
      </c>
      <c r="K1289" t="s">
        <v>2500</v>
      </c>
    </row>
    <row r="1290" spans="1:11" x14ac:dyDescent="0.25">
      <c r="A1290" t="s">
        <v>1985</v>
      </c>
      <c r="B1290" s="3">
        <v>46302</v>
      </c>
      <c r="C1290" t="s">
        <v>439</v>
      </c>
      <c r="D1290" t="s">
        <v>378</v>
      </c>
      <c r="E1290">
        <v>20</v>
      </c>
      <c r="F1290" t="s">
        <v>2</v>
      </c>
      <c r="G1290" t="s">
        <v>85</v>
      </c>
      <c r="H1290" t="s">
        <v>3727</v>
      </c>
      <c r="I1290" s="2">
        <v>33000</v>
      </c>
      <c r="J1290" t="s">
        <v>440</v>
      </c>
      <c r="K1290" t="s">
        <v>2513</v>
      </c>
    </row>
    <row r="1291" spans="1:11" x14ac:dyDescent="0.25">
      <c r="A1291" t="s">
        <v>1986</v>
      </c>
      <c r="B1291" s="3">
        <v>46302</v>
      </c>
      <c r="C1291" t="s">
        <v>204</v>
      </c>
      <c r="D1291" t="s">
        <v>15</v>
      </c>
      <c r="E1291">
        <v>24</v>
      </c>
      <c r="F1291" t="s">
        <v>2</v>
      </c>
      <c r="G1291" t="s">
        <v>85</v>
      </c>
      <c r="H1291" t="s">
        <v>3728</v>
      </c>
      <c r="I1291" s="2">
        <v>236000</v>
      </c>
      <c r="J1291" t="s">
        <v>52</v>
      </c>
      <c r="K1291" t="s">
        <v>2503</v>
      </c>
    </row>
    <row r="1292" spans="1:11" x14ac:dyDescent="0.25">
      <c r="A1292" t="s">
        <v>1987</v>
      </c>
      <c r="B1292" s="3">
        <v>46302</v>
      </c>
      <c r="C1292" t="s">
        <v>659</v>
      </c>
      <c r="D1292" t="s">
        <v>629</v>
      </c>
      <c r="E1292">
        <v>63</v>
      </c>
      <c r="F1292" t="s">
        <v>355</v>
      </c>
      <c r="G1292" t="s">
        <v>17</v>
      </c>
      <c r="H1292" t="s">
        <v>3729</v>
      </c>
      <c r="I1292" s="2">
        <v>28000</v>
      </c>
      <c r="J1292" t="s">
        <v>67</v>
      </c>
      <c r="K1292" t="s">
        <v>2509</v>
      </c>
    </row>
    <row r="1293" spans="1:11" x14ac:dyDescent="0.25">
      <c r="A1293" t="s">
        <v>1988</v>
      </c>
      <c r="B1293" s="3">
        <v>46302</v>
      </c>
      <c r="C1293" t="s">
        <v>191</v>
      </c>
      <c r="D1293" t="s">
        <v>163</v>
      </c>
      <c r="E1293">
        <v>56</v>
      </c>
      <c r="F1293" t="s">
        <v>2</v>
      </c>
      <c r="G1293" t="s">
        <v>48</v>
      </c>
      <c r="H1293" t="s">
        <v>3730</v>
      </c>
      <c r="I1293" s="2">
        <v>26000</v>
      </c>
      <c r="J1293" t="s">
        <v>95</v>
      </c>
      <c r="K1293" t="s">
        <v>2513</v>
      </c>
    </row>
    <row r="1294" spans="1:11" x14ac:dyDescent="0.25">
      <c r="A1294" t="s">
        <v>1989</v>
      </c>
      <c r="B1294" s="3">
        <v>46302</v>
      </c>
      <c r="C1294" t="s">
        <v>58</v>
      </c>
      <c r="D1294" t="s">
        <v>21</v>
      </c>
      <c r="E1294">
        <v>40</v>
      </c>
      <c r="F1294" t="s">
        <v>2</v>
      </c>
      <c r="G1294" t="s">
        <v>22</v>
      </c>
      <c r="H1294" t="s">
        <v>3666</v>
      </c>
      <c r="I1294" s="2">
        <v>48000</v>
      </c>
      <c r="J1294" t="s">
        <v>59</v>
      </c>
      <c r="K1294" t="s">
        <v>2503</v>
      </c>
    </row>
    <row r="1295" spans="1:11" x14ac:dyDescent="0.25">
      <c r="A1295" t="s">
        <v>1990</v>
      </c>
      <c r="B1295" s="3">
        <v>46302</v>
      </c>
      <c r="C1295" t="s">
        <v>466</v>
      </c>
      <c r="D1295" t="s">
        <v>467</v>
      </c>
      <c r="E1295">
        <v>62</v>
      </c>
      <c r="F1295" t="s">
        <v>469</v>
      </c>
      <c r="G1295" t="s">
        <v>40</v>
      </c>
      <c r="H1295" t="s">
        <v>3731</v>
      </c>
      <c r="I1295" s="2">
        <v>45000</v>
      </c>
      <c r="J1295" t="s">
        <v>106</v>
      </c>
      <c r="K1295" t="s">
        <v>2500</v>
      </c>
    </row>
    <row r="1296" spans="1:11" x14ac:dyDescent="0.25">
      <c r="A1296" t="s">
        <v>1991</v>
      </c>
      <c r="B1296" s="3">
        <v>46302</v>
      </c>
      <c r="C1296" t="s">
        <v>538</v>
      </c>
      <c r="D1296" t="s">
        <v>490</v>
      </c>
      <c r="E1296">
        <v>37</v>
      </c>
      <c r="F1296" t="s">
        <v>355</v>
      </c>
      <c r="G1296" t="s">
        <v>81</v>
      </c>
      <c r="H1296" t="s">
        <v>3732</v>
      </c>
      <c r="I1296" s="2">
        <v>28000</v>
      </c>
      <c r="J1296" t="s">
        <v>327</v>
      </c>
      <c r="K1296" t="s">
        <v>2500</v>
      </c>
    </row>
    <row r="1297" spans="1:11" x14ac:dyDescent="0.25">
      <c r="A1297" t="s">
        <v>1992</v>
      </c>
      <c r="B1297" s="3">
        <v>46302</v>
      </c>
      <c r="C1297" t="s">
        <v>480</v>
      </c>
      <c r="D1297" t="s">
        <v>481</v>
      </c>
      <c r="E1297">
        <v>3</v>
      </c>
      <c r="F1297" t="s">
        <v>2</v>
      </c>
      <c r="G1297" t="s">
        <v>55</v>
      </c>
      <c r="H1297" t="s">
        <v>3733</v>
      </c>
      <c r="I1297" s="2">
        <v>330000</v>
      </c>
      <c r="J1297" t="s">
        <v>297</v>
      </c>
      <c r="K1297" t="s">
        <v>2500</v>
      </c>
    </row>
    <row r="1298" spans="1:11" x14ac:dyDescent="0.25">
      <c r="A1298" t="s">
        <v>1993</v>
      </c>
      <c r="B1298" s="3">
        <v>46302</v>
      </c>
      <c r="C1298" t="s">
        <v>504</v>
      </c>
      <c r="D1298" t="s">
        <v>474</v>
      </c>
      <c r="E1298">
        <v>45</v>
      </c>
      <c r="F1298" t="s">
        <v>2</v>
      </c>
      <c r="G1298" t="s">
        <v>17</v>
      </c>
      <c r="H1298" t="s">
        <v>3734</v>
      </c>
      <c r="I1298" s="2">
        <v>14000</v>
      </c>
      <c r="J1298" t="s">
        <v>274</v>
      </c>
      <c r="K1298" t="s">
        <v>2503</v>
      </c>
    </row>
    <row r="1299" spans="1:11" x14ac:dyDescent="0.25">
      <c r="A1299" t="s">
        <v>1994</v>
      </c>
      <c r="B1299" s="3">
        <v>46302</v>
      </c>
      <c r="C1299" t="s">
        <v>222</v>
      </c>
      <c r="D1299" t="s">
        <v>223</v>
      </c>
      <c r="E1299">
        <v>43</v>
      </c>
      <c r="F1299" t="s">
        <v>2</v>
      </c>
      <c r="G1299" t="s">
        <v>48</v>
      </c>
      <c r="H1299" t="s">
        <v>3735</v>
      </c>
      <c r="I1299" s="2">
        <v>1150000</v>
      </c>
      <c r="J1299" t="s">
        <v>189</v>
      </c>
      <c r="K1299" t="s">
        <v>2500</v>
      </c>
    </row>
    <row r="1300" spans="1:11" x14ac:dyDescent="0.25">
      <c r="A1300" t="s">
        <v>1995</v>
      </c>
      <c r="B1300" s="3">
        <v>46302</v>
      </c>
      <c r="C1300" t="s">
        <v>25</v>
      </c>
      <c r="D1300" t="s">
        <v>26</v>
      </c>
      <c r="E1300">
        <v>51</v>
      </c>
      <c r="F1300" t="s">
        <v>2</v>
      </c>
      <c r="G1300" t="s">
        <v>17</v>
      </c>
      <c r="H1300" t="s">
        <v>3736</v>
      </c>
      <c r="I1300" s="2">
        <v>438000</v>
      </c>
      <c r="J1300" t="s">
        <v>27</v>
      </c>
      <c r="K1300" t="s">
        <v>2500</v>
      </c>
    </row>
    <row r="1301" spans="1:11" x14ac:dyDescent="0.25">
      <c r="A1301" t="s">
        <v>1996</v>
      </c>
      <c r="B1301" s="3">
        <v>46302</v>
      </c>
      <c r="C1301" t="s">
        <v>224</v>
      </c>
      <c r="D1301" t="s">
        <v>225</v>
      </c>
      <c r="E1301">
        <v>45</v>
      </c>
      <c r="F1301" t="s">
        <v>2</v>
      </c>
      <c r="G1301" t="s">
        <v>55</v>
      </c>
      <c r="H1301" t="s">
        <v>3737</v>
      </c>
      <c r="I1301" s="2">
        <v>803000</v>
      </c>
      <c r="J1301" t="s">
        <v>106</v>
      </c>
      <c r="K1301" t="s">
        <v>2503</v>
      </c>
    </row>
    <row r="1302" spans="1:11" x14ac:dyDescent="0.25">
      <c r="A1302" t="s">
        <v>1997</v>
      </c>
      <c r="B1302" s="3">
        <v>46302</v>
      </c>
      <c r="C1302" t="s">
        <v>684</v>
      </c>
      <c r="D1302" t="s">
        <v>602</v>
      </c>
      <c r="E1302">
        <v>67</v>
      </c>
      <c r="F1302" t="s">
        <v>2</v>
      </c>
      <c r="G1302" t="s">
        <v>22</v>
      </c>
      <c r="H1302" t="s">
        <v>3738</v>
      </c>
      <c r="I1302" s="2">
        <v>239000</v>
      </c>
      <c r="J1302" t="s">
        <v>142</v>
      </c>
      <c r="K1302" t="s">
        <v>2509</v>
      </c>
    </row>
    <row r="1303" spans="1:11" x14ac:dyDescent="0.25">
      <c r="A1303" t="s">
        <v>1998</v>
      </c>
      <c r="B1303" s="3">
        <v>46302</v>
      </c>
      <c r="C1303" t="s">
        <v>505</v>
      </c>
      <c r="D1303" t="s">
        <v>479</v>
      </c>
      <c r="E1303">
        <v>26</v>
      </c>
      <c r="F1303" t="s">
        <v>469</v>
      </c>
      <c r="G1303" t="s">
        <v>48</v>
      </c>
      <c r="H1303" t="s">
        <v>3739</v>
      </c>
      <c r="I1303" s="2">
        <v>21000</v>
      </c>
      <c r="J1303" t="s">
        <v>69</v>
      </c>
      <c r="K1303" t="s">
        <v>2503</v>
      </c>
    </row>
    <row r="1304" spans="1:11" x14ac:dyDescent="0.25">
      <c r="A1304" t="s">
        <v>1999</v>
      </c>
      <c r="B1304" s="3">
        <v>46302</v>
      </c>
      <c r="C1304" t="s">
        <v>632</v>
      </c>
      <c r="D1304" t="s">
        <v>587</v>
      </c>
      <c r="E1304">
        <v>4</v>
      </c>
      <c r="F1304" t="s">
        <v>2</v>
      </c>
      <c r="G1304" t="s">
        <v>17</v>
      </c>
      <c r="H1304" t="s">
        <v>3740</v>
      </c>
      <c r="I1304" s="2">
        <v>44000</v>
      </c>
      <c r="J1304" t="s">
        <v>327</v>
      </c>
      <c r="K1304" t="s">
        <v>2509</v>
      </c>
    </row>
    <row r="1305" spans="1:11" x14ac:dyDescent="0.25">
      <c r="A1305" t="s">
        <v>2000</v>
      </c>
      <c r="B1305" s="3">
        <v>46302</v>
      </c>
      <c r="C1305" t="s">
        <v>118</v>
      </c>
      <c r="D1305" t="s">
        <v>66</v>
      </c>
      <c r="E1305">
        <v>4</v>
      </c>
      <c r="F1305" t="s">
        <v>2</v>
      </c>
      <c r="G1305" t="s">
        <v>17</v>
      </c>
      <c r="H1305" t="s">
        <v>3741</v>
      </c>
      <c r="I1305" s="2">
        <v>87000</v>
      </c>
      <c r="J1305" t="s">
        <v>119</v>
      </c>
      <c r="K1305" t="s">
        <v>2509</v>
      </c>
    </row>
    <row r="1306" spans="1:11" x14ac:dyDescent="0.25">
      <c r="A1306" t="s">
        <v>2001</v>
      </c>
      <c r="B1306" s="3">
        <v>46302</v>
      </c>
      <c r="C1306" t="s">
        <v>655</v>
      </c>
      <c r="D1306" t="s">
        <v>597</v>
      </c>
      <c r="E1306">
        <v>8</v>
      </c>
      <c r="F1306" t="s">
        <v>355</v>
      </c>
      <c r="G1306" t="s">
        <v>61</v>
      </c>
      <c r="H1306" t="s">
        <v>3742</v>
      </c>
      <c r="I1306" s="2">
        <v>55000</v>
      </c>
      <c r="J1306" t="s">
        <v>289</v>
      </c>
      <c r="K1306" t="s">
        <v>2503</v>
      </c>
    </row>
    <row r="1307" spans="1:11" x14ac:dyDescent="0.25">
      <c r="A1307" t="s">
        <v>2002</v>
      </c>
      <c r="B1307" s="3">
        <v>46302</v>
      </c>
      <c r="C1307" t="s">
        <v>407</v>
      </c>
      <c r="D1307" t="s">
        <v>344</v>
      </c>
      <c r="E1307">
        <v>40</v>
      </c>
      <c r="F1307" t="s">
        <v>346</v>
      </c>
      <c r="G1307" t="s">
        <v>81</v>
      </c>
      <c r="H1307" t="s">
        <v>3743</v>
      </c>
      <c r="I1307" s="2">
        <v>58000</v>
      </c>
      <c r="J1307" t="s">
        <v>30</v>
      </c>
      <c r="K1307" t="s">
        <v>2503</v>
      </c>
    </row>
    <row r="1308" spans="1:11" x14ac:dyDescent="0.25">
      <c r="A1308" t="s">
        <v>2003</v>
      </c>
      <c r="B1308" s="3">
        <v>46302</v>
      </c>
      <c r="C1308" t="s">
        <v>88</v>
      </c>
      <c r="D1308" t="s">
        <v>26</v>
      </c>
      <c r="E1308">
        <v>8</v>
      </c>
      <c r="F1308" t="s">
        <v>2</v>
      </c>
      <c r="G1308" t="s">
        <v>85</v>
      </c>
      <c r="H1308" t="s">
        <v>3744</v>
      </c>
      <c r="I1308" s="2">
        <v>209000</v>
      </c>
      <c r="J1308" t="s">
        <v>89</v>
      </c>
      <c r="K1308" t="s">
        <v>2509</v>
      </c>
    </row>
    <row r="1309" spans="1:11" x14ac:dyDescent="0.25">
      <c r="A1309" t="s">
        <v>2004</v>
      </c>
      <c r="B1309" s="3">
        <v>46302</v>
      </c>
      <c r="C1309" t="s">
        <v>501</v>
      </c>
      <c r="D1309" t="s">
        <v>502</v>
      </c>
      <c r="E1309">
        <v>51</v>
      </c>
      <c r="F1309" t="s">
        <v>469</v>
      </c>
      <c r="G1309" t="s">
        <v>40</v>
      </c>
      <c r="H1309" t="s">
        <v>3745</v>
      </c>
      <c r="I1309" s="2">
        <v>112000</v>
      </c>
      <c r="J1309" t="s">
        <v>292</v>
      </c>
      <c r="K1309" t="s">
        <v>2513</v>
      </c>
    </row>
    <row r="1310" spans="1:11" x14ac:dyDescent="0.25">
      <c r="A1310" t="s">
        <v>2005</v>
      </c>
      <c r="B1310" s="3">
        <v>46302</v>
      </c>
      <c r="C1310" t="s">
        <v>336</v>
      </c>
      <c r="D1310" t="s">
        <v>227</v>
      </c>
      <c r="E1310">
        <v>50</v>
      </c>
      <c r="F1310" t="s">
        <v>2</v>
      </c>
      <c r="G1310" t="s">
        <v>32</v>
      </c>
      <c r="H1310" t="s">
        <v>3746</v>
      </c>
      <c r="I1310" s="2">
        <v>645000</v>
      </c>
      <c r="J1310" t="s">
        <v>330</v>
      </c>
      <c r="K1310" t="s">
        <v>2500</v>
      </c>
    </row>
    <row r="1311" spans="1:11" x14ac:dyDescent="0.25">
      <c r="A1311" t="s">
        <v>2006</v>
      </c>
      <c r="B1311" s="3">
        <v>46302</v>
      </c>
      <c r="C1311" t="s">
        <v>554</v>
      </c>
      <c r="D1311" t="s">
        <v>502</v>
      </c>
      <c r="E1311">
        <v>49</v>
      </c>
      <c r="F1311" t="s">
        <v>469</v>
      </c>
      <c r="G1311" t="s">
        <v>81</v>
      </c>
      <c r="H1311" t="s">
        <v>3747</v>
      </c>
      <c r="I1311" s="2">
        <v>110000</v>
      </c>
      <c r="J1311" t="s">
        <v>265</v>
      </c>
      <c r="K1311" t="s">
        <v>2500</v>
      </c>
    </row>
    <row r="1312" spans="1:11" x14ac:dyDescent="0.25">
      <c r="A1312" t="s">
        <v>2007</v>
      </c>
      <c r="B1312" s="3">
        <v>46302</v>
      </c>
      <c r="C1312" t="s">
        <v>691</v>
      </c>
      <c r="D1312" t="s">
        <v>585</v>
      </c>
      <c r="E1312">
        <v>63</v>
      </c>
      <c r="F1312" t="s">
        <v>355</v>
      </c>
      <c r="G1312" t="s">
        <v>17</v>
      </c>
      <c r="H1312" t="s">
        <v>3748</v>
      </c>
      <c r="I1312" s="2">
        <v>22000</v>
      </c>
      <c r="J1312" t="s">
        <v>19</v>
      </c>
      <c r="K1312" t="s">
        <v>2503</v>
      </c>
    </row>
    <row r="1313" spans="1:11" x14ac:dyDescent="0.25">
      <c r="A1313" t="s">
        <v>2008</v>
      </c>
      <c r="B1313" s="3">
        <v>46302</v>
      </c>
      <c r="C1313" t="s">
        <v>165</v>
      </c>
      <c r="D1313" t="s">
        <v>15</v>
      </c>
      <c r="E1313">
        <v>63</v>
      </c>
      <c r="F1313" t="s">
        <v>2</v>
      </c>
      <c r="G1313" t="s">
        <v>61</v>
      </c>
      <c r="H1313" t="s">
        <v>3749</v>
      </c>
      <c r="I1313" s="2">
        <v>157000</v>
      </c>
      <c r="J1313" t="s">
        <v>166</v>
      </c>
      <c r="K1313" t="s">
        <v>2503</v>
      </c>
    </row>
    <row r="1314" spans="1:11" x14ac:dyDescent="0.25">
      <c r="A1314" t="s">
        <v>2009</v>
      </c>
      <c r="B1314" s="3">
        <v>46302</v>
      </c>
      <c r="C1314" t="s">
        <v>107</v>
      </c>
      <c r="D1314" t="s">
        <v>29</v>
      </c>
      <c r="E1314">
        <v>68</v>
      </c>
      <c r="F1314" t="s">
        <v>2</v>
      </c>
      <c r="G1314" t="s">
        <v>85</v>
      </c>
      <c r="H1314" t="s">
        <v>3750</v>
      </c>
      <c r="I1314" s="2">
        <v>173000</v>
      </c>
      <c r="J1314" t="s">
        <v>108</v>
      </c>
      <c r="K1314" t="s">
        <v>2509</v>
      </c>
    </row>
    <row r="1315" spans="1:11" x14ac:dyDescent="0.25">
      <c r="A1315" t="s">
        <v>2010</v>
      </c>
      <c r="B1315" s="3">
        <v>46302</v>
      </c>
      <c r="C1315" t="s">
        <v>316</v>
      </c>
      <c r="D1315" t="s">
        <v>213</v>
      </c>
      <c r="E1315">
        <v>65</v>
      </c>
      <c r="F1315" t="s">
        <v>2</v>
      </c>
      <c r="G1315" t="s">
        <v>17</v>
      </c>
      <c r="H1315" t="s">
        <v>3751</v>
      </c>
      <c r="I1315" s="2">
        <v>3491000</v>
      </c>
      <c r="J1315" t="s">
        <v>108</v>
      </c>
      <c r="K1315" t="s">
        <v>2509</v>
      </c>
    </row>
    <row r="1316" spans="1:11" x14ac:dyDescent="0.25">
      <c r="A1316" t="s">
        <v>2011</v>
      </c>
      <c r="B1316" s="3">
        <v>46302</v>
      </c>
      <c r="C1316" t="s">
        <v>663</v>
      </c>
      <c r="D1316" t="s">
        <v>587</v>
      </c>
      <c r="E1316">
        <v>65</v>
      </c>
      <c r="F1316" t="s">
        <v>2</v>
      </c>
      <c r="G1316" t="s">
        <v>22</v>
      </c>
      <c r="H1316" t="s">
        <v>3752</v>
      </c>
      <c r="I1316" s="2">
        <v>14000</v>
      </c>
      <c r="J1316" t="s">
        <v>464</v>
      </c>
      <c r="K1316" t="s">
        <v>2513</v>
      </c>
    </row>
    <row r="1317" spans="1:11" x14ac:dyDescent="0.25">
      <c r="A1317" t="s">
        <v>2012</v>
      </c>
      <c r="B1317" s="3">
        <v>46303</v>
      </c>
      <c r="C1317" t="s">
        <v>248</v>
      </c>
      <c r="D1317" t="s">
        <v>240</v>
      </c>
      <c r="E1317">
        <v>6</v>
      </c>
      <c r="F1317" t="s">
        <v>2</v>
      </c>
      <c r="G1317" t="s">
        <v>55</v>
      </c>
      <c r="H1317" t="s">
        <v>3753</v>
      </c>
      <c r="I1317" s="2">
        <v>468000</v>
      </c>
      <c r="J1317" t="s">
        <v>126</v>
      </c>
      <c r="K1317" t="s">
        <v>2500</v>
      </c>
    </row>
    <row r="1318" spans="1:11" x14ac:dyDescent="0.25">
      <c r="A1318" t="s">
        <v>2013</v>
      </c>
      <c r="B1318" s="3">
        <v>46303</v>
      </c>
      <c r="C1318" t="s">
        <v>217</v>
      </c>
      <c r="D1318" t="s">
        <v>218</v>
      </c>
      <c r="E1318">
        <v>51</v>
      </c>
      <c r="F1318" t="s">
        <v>2</v>
      </c>
      <c r="G1318" t="s">
        <v>55</v>
      </c>
      <c r="H1318" t="s">
        <v>3754</v>
      </c>
      <c r="I1318" s="2">
        <v>908000</v>
      </c>
      <c r="J1318" t="s">
        <v>219</v>
      </c>
      <c r="K1318" t="s">
        <v>2509</v>
      </c>
    </row>
    <row r="1319" spans="1:11" x14ac:dyDescent="0.25">
      <c r="A1319" t="s">
        <v>2014</v>
      </c>
      <c r="B1319" s="3">
        <v>46303</v>
      </c>
      <c r="C1319" t="s">
        <v>123</v>
      </c>
      <c r="D1319" t="s">
        <v>26</v>
      </c>
      <c r="E1319">
        <v>4</v>
      </c>
      <c r="F1319" t="s">
        <v>2</v>
      </c>
      <c r="G1319" t="s">
        <v>36</v>
      </c>
      <c r="H1319" t="s">
        <v>3755</v>
      </c>
      <c r="I1319" s="2">
        <v>315000</v>
      </c>
      <c r="J1319" t="s">
        <v>124</v>
      </c>
      <c r="K1319" t="s">
        <v>2513</v>
      </c>
    </row>
    <row r="1320" spans="1:11" x14ac:dyDescent="0.25">
      <c r="A1320" t="s">
        <v>2015</v>
      </c>
      <c r="B1320" s="3">
        <v>46303</v>
      </c>
      <c r="C1320" t="s">
        <v>559</v>
      </c>
      <c r="D1320" t="s">
        <v>502</v>
      </c>
      <c r="E1320">
        <v>25</v>
      </c>
      <c r="F1320" t="s">
        <v>469</v>
      </c>
      <c r="G1320" t="s">
        <v>61</v>
      </c>
      <c r="H1320" t="s">
        <v>3756</v>
      </c>
      <c r="I1320" s="2">
        <v>92000</v>
      </c>
      <c r="J1320" t="s">
        <v>324</v>
      </c>
      <c r="K1320" t="s">
        <v>2503</v>
      </c>
    </row>
    <row r="1321" spans="1:11" x14ac:dyDescent="0.25">
      <c r="A1321" t="s">
        <v>2016</v>
      </c>
      <c r="B1321" s="3">
        <v>46303</v>
      </c>
      <c r="C1321" t="s">
        <v>238</v>
      </c>
      <c r="D1321" t="s">
        <v>216</v>
      </c>
      <c r="E1321">
        <v>6</v>
      </c>
      <c r="F1321" t="s">
        <v>2</v>
      </c>
      <c r="G1321" t="s">
        <v>55</v>
      </c>
      <c r="H1321" t="s">
        <v>3757</v>
      </c>
      <c r="I1321" s="2">
        <v>789000</v>
      </c>
      <c r="J1321" t="s">
        <v>126</v>
      </c>
      <c r="K1321" t="s">
        <v>2503</v>
      </c>
    </row>
    <row r="1322" spans="1:11" x14ac:dyDescent="0.25">
      <c r="A1322" t="s">
        <v>2017</v>
      </c>
      <c r="B1322" s="3">
        <v>46303</v>
      </c>
      <c r="C1322" t="s">
        <v>101</v>
      </c>
      <c r="D1322" t="s">
        <v>29</v>
      </c>
      <c r="E1322">
        <v>69</v>
      </c>
      <c r="F1322" t="s">
        <v>2</v>
      </c>
      <c r="G1322" t="s">
        <v>48</v>
      </c>
      <c r="H1322" t="s">
        <v>3758</v>
      </c>
      <c r="I1322" s="2">
        <v>177000</v>
      </c>
      <c r="J1322" t="s">
        <v>102</v>
      </c>
      <c r="K1322" t="s">
        <v>2509</v>
      </c>
    </row>
    <row r="1323" spans="1:11" x14ac:dyDescent="0.25">
      <c r="A1323" t="s">
        <v>2018</v>
      </c>
      <c r="B1323" s="3">
        <v>46303</v>
      </c>
      <c r="C1323" t="s">
        <v>592</v>
      </c>
      <c r="D1323" t="s">
        <v>585</v>
      </c>
      <c r="E1323">
        <v>24</v>
      </c>
      <c r="F1323" t="s">
        <v>355</v>
      </c>
      <c r="G1323" t="s">
        <v>85</v>
      </c>
      <c r="H1323" t="s">
        <v>3759</v>
      </c>
      <c r="I1323" s="2">
        <v>20000</v>
      </c>
      <c r="J1323" t="s">
        <v>287</v>
      </c>
      <c r="K1323" t="s">
        <v>2509</v>
      </c>
    </row>
    <row r="1324" spans="1:11" x14ac:dyDescent="0.25">
      <c r="A1324" t="s">
        <v>2019</v>
      </c>
      <c r="B1324" s="3">
        <v>46303</v>
      </c>
      <c r="C1324" t="s">
        <v>402</v>
      </c>
      <c r="D1324" t="s">
        <v>344</v>
      </c>
      <c r="E1324">
        <v>63</v>
      </c>
      <c r="F1324" t="s">
        <v>346</v>
      </c>
      <c r="G1324" t="s">
        <v>85</v>
      </c>
      <c r="H1324" t="s">
        <v>3737</v>
      </c>
      <c r="I1324" s="2">
        <v>70000</v>
      </c>
      <c r="J1324" t="s">
        <v>27</v>
      </c>
      <c r="K1324" t="s">
        <v>2509</v>
      </c>
    </row>
    <row r="1325" spans="1:11" x14ac:dyDescent="0.25">
      <c r="A1325" t="s">
        <v>2020</v>
      </c>
      <c r="B1325" s="3">
        <v>46303</v>
      </c>
      <c r="C1325" t="s">
        <v>628</v>
      </c>
      <c r="D1325" t="s">
        <v>629</v>
      </c>
      <c r="E1325">
        <v>43</v>
      </c>
      <c r="F1325" t="s">
        <v>355</v>
      </c>
      <c r="G1325" t="s">
        <v>36</v>
      </c>
      <c r="H1325" t="s">
        <v>3760</v>
      </c>
      <c r="I1325" s="2">
        <v>17000</v>
      </c>
      <c r="J1325" t="s">
        <v>397</v>
      </c>
      <c r="K1325" t="s">
        <v>2509</v>
      </c>
    </row>
    <row r="1326" spans="1:11" x14ac:dyDescent="0.25">
      <c r="A1326" t="s">
        <v>2021</v>
      </c>
      <c r="B1326" s="3">
        <v>46303</v>
      </c>
      <c r="C1326" t="s">
        <v>365</v>
      </c>
      <c r="D1326" t="s">
        <v>366</v>
      </c>
      <c r="E1326">
        <v>44</v>
      </c>
      <c r="F1326" t="s">
        <v>2</v>
      </c>
      <c r="G1326" t="s">
        <v>32</v>
      </c>
      <c r="H1326" t="s">
        <v>3761</v>
      </c>
      <c r="I1326" s="2">
        <v>79000</v>
      </c>
      <c r="J1326" t="s">
        <v>126</v>
      </c>
      <c r="K1326" t="s">
        <v>2509</v>
      </c>
    </row>
    <row r="1327" spans="1:11" x14ac:dyDescent="0.25">
      <c r="A1327" t="s">
        <v>2022</v>
      </c>
      <c r="B1327" s="3">
        <v>46303</v>
      </c>
      <c r="C1327" t="s">
        <v>80</v>
      </c>
      <c r="D1327" t="s">
        <v>54</v>
      </c>
      <c r="E1327">
        <v>67</v>
      </c>
      <c r="F1327" t="s">
        <v>2</v>
      </c>
      <c r="G1327" t="s">
        <v>81</v>
      </c>
      <c r="H1327" t="s">
        <v>3762</v>
      </c>
      <c r="I1327" s="2">
        <v>75000</v>
      </c>
      <c r="J1327" t="s">
        <v>83</v>
      </c>
      <c r="K1327" t="s">
        <v>2500</v>
      </c>
    </row>
    <row r="1328" spans="1:11" x14ac:dyDescent="0.25">
      <c r="A1328" t="s">
        <v>2023</v>
      </c>
      <c r="B1328" s="3">
        <v>46303</v>
      </c>
      <c r="C1328" t="s">
        <v>559</v>
      </c>
      <c r="D1328" t="s">
        <v>502</v>
      </c>
      <c r="E1328">
        <v>30</v>
      </c>
      <c r="F1328" t="s">
        <v>469</v>
      </c>
      <c r="G1328" t="s">
        <v>61</v>
      </c>
      <c r="H1328" t="s">
        <v>3763</v>
      </c>
      <c r="I1328" s="2">
        <v>92000</v>
      </c>
      <c r="J1328" t="s">
        <v>324</v>
      </c>
      <c r="K1328" t="s">
        <v>2500</v>
      </c>
    </row>
    <row r="1329" spans="1:11" x14ac:dyDescent="0.25">
      <c r="A1329" t="s">
        <v>2024</v>
      </c>
      <c r="B1329" s="3">
        <v>46303</v>
      </c>
      <c r="C1329" t="s">
        <v>304</v>
      </c>
      <c r="D1329" t="s">
        <v>227</v>
      </c>
      <c r="E1329">
        <v>50</v>
      </c>
      <c r="F1329" t="s">
        <v>2</v>
      </c>
      <c r="G1329" t="s">
        <v>17</v>
      </c>
      <c r="H1329" t="s">
        <v>3764</v>
      </c>
      <c r="I1329" s="2">
        <v>1029000</v>
      </c>
      <c r="J1329" t="s">
        <v>305</v>
      </c>
      <c r="K1329" t="s">
        <v>2509</v>
      </c>
    </row>
    <row r="1330" spans="1:11" x14ac:dyDescent="0.25">
      <c r="A1330" t="s">
        <v>2025</v>
      </c>
      <c r="B1330" s="3">
        <v>46303</v>
      </c>
      <c r="C1330" t="s">
        <v>260</v>
      </c>
      <c r="D1330" t="s">
        <v>261</v>
      </c>
      <c r="E1330">
        <v>38</v>
      </c>
      <c r="F1330" t="s">
        <v>2</v>
      </c>
      <c r="G1330" t="s">
        <v>36</v>
      </c>
      <c r="H1330" t="s">
        <v>3765</v>
      </c>
      <c r="I1330" s="2">
        <v>418000</v>
      </c>
      <c r="J1330" t="s">
        <v>45</v>
      </c>
      <c r="K1330" t="s">
        <v>2500</v>
      </c>
    </row>
    <row r="1331" spans="1:11" x14ac:dyDescent="0.25">
      <c r="A1331" t="s">
        <v>2026</v>
      </c>
      <c r="B1331" s="3">
        <v>46303</v>
      </c>
      <c r="C1331" t="s">
        <v>191</v>
      </c>
      <c r="D1331" t="s">
        <v>163</v>
      </c>
      <c r="E1331">
        <v>27</v>
      </c>
      <c r="F1331" t="s">
        <v>2</v>
      </c>
      <c r="G1331" t="s">
        <v>48</v>
      </c>
      <c r="H1331" t="s">
        <v>3766</v>
      </c>
      <c r="I1331" s="2">
        <v>26000</v>
      </c>
      <c r="J1331" t="s">
        <v>95</v>
      </c>
      <c r="K1331" t="s">
        <v>2500</v>
      </c>
    </row>
    <row r="1332" spans="1:11" x14ac:dyDescent="0.25">
      <c r="A1332" t="s">
        <v>2027</v>
      </c>
      <c r="B1332" s="3">
        <v>46303</v>
      </c>
      <c r="C1332" t="s">
        <v>202</v>
      </c>
      <c r="D1332" t="s">
        <v>54</v>
      </c>
      <c r="E1332">
        <v>20</v>
      </c>
      <c r="F1332" t="s">
        <v>2</v>
      </c>
      <c r="G1332" t="s">
        <v>48</v>
      </c>
      <c r="H1332" t="s">
        <v>3767</v>
      </c>
      <c r="I1332" s="2">
        <v>31000</v>
      </c>
      <c r="J1332" t="s">
        <v>203</v>
      </c>
      <c r="K1332" t="s">
        <v>2500</v>
      </c>
    </row>
    <row r="1333" spans="1:11" x14ac:dyDescent="0.25">
      <c r="A1333" t="s">
        <v>2028</v>
      </c>
      <c r="B1333" s="3">
        <v>46303</v>
      </c>
      <c r="C1333" t="s">
        <v>419</v>
      </c>
      <c r="D1333" t="s">
        <v>354</v>
      </c>
      <c r="E1333">
        <v>5</v>
      </c>
      <c r="F1333" t="s">
        <v>355</v>
      </c>
      <c r="G1333" t="s">
        <v>81</v>
      </c>
      <c r="H1333" t="s">
        <v>3768</v>
      </c>
      <c r="I1333" s="2">
        <v>30000</v>
      </c>
      <c r="J1333" t="s">
        <v>147</v>
      </c>
      <c r="K1333" t="s">
        <v>2509</v>
      </c>
    </row>
    <row r="1334" spans="1:11" x14ac:dyDescent="0.25">
      <c r="A1334" t="s">
        <v>2029</v>
      </c>
      <c r="B1334" s="3">
        <v>46303</v>
      </c>
      <c r="C1334" t="s">
        <v>634</v>
      </c>
      <c r="D1334" t="s">
        <v>597</v>
      </c>
      <c r="E1334">
        <v>8</v>
      </c>
      <c r="F1334" t="s">
        <v>355</v>
      </c>
      <c r="G1334" t="s">
        <v>61</v>
      </c>
      <c r="H1334" t="s">
        <v>3769</v>
      </c>
      <c r="I1334" s="2">
        <v>52000</v>
      </c>
      <c r="J1334" t="s">
        <v>265</v>
      </c>
      <c r="K1334" t="s">
        <v>2503</v>
      </c>
    </row>
    <row r="1335" spans="1:11" x14ac:dyDescent="0.25">
      <c r="A1335" t="s">
        <v>2030</v>
      </c>
      <c r="B1335" s="3">
        <v>46303</v>
      </c>
      <c r="C1335" t="s">
        <v>519</v>
      </c>
      <c r="D1335" t="s">
        <v>488</v>
      </c>
      <c r="E1335">
        <v>10</v>
      </c>
      <c r="F1335" t="s">
        <v>469</v>
      </c>
      <c r="G1335" t="s">
        <v>32</v>
      </c>
      <c r="H1335" t="s">
        <v>3770</v>
      </c>
      <c r="I1335" s="2">
        <v>50000</v>
      </c>
      <c r="J1335" t="s">
        <v>126</v>
      </c>
      <c r="K1335" t="s">
        <v>2513</v>
      </c>
    </row>
    <row r="1336" spans="1:11" x14ac:dyDescent="0.25">
      <c r="A1336" t="s">
        <v>2031</v>
      </c>
      <c r="B1336" s="3">
        <v>46303</v>
      </c>
      <c r="C1336" t="s">
        <v>513</v>
      </c>
      <c r="D1336" t="s">
        <v>488</v>
      </c>
      <c r="E1336">
        <v>33</v>
      </c>
      <c r="F1336" t="s">
        <v>469</v>
      </c>
      <c r="G1336" t="s">
        <v>55</v>
      </c>
      <c r="H1336" t="s">
        <v>3771</v>
      </c>
      <c r="I1336" s="2">
        <v>31000</v>
      </c>
      <c r="J1336" t="s">
        <v>110</v>
      </c>
      <c r="K1336" t="s">
        <v>2509</v>
      </c>
    </row>
    <row r="1337" spans="1:11" x14ac:dyDescent="0.25">
      <c r="A1337" t="s">
        <v>2032</v>
      </c>
      <c r="B1337" s="3">
        <v>46303</v>
      </c>
      <c r="C1337" t="s">
        <v>614</v>
      </c>
      <c r="D1337" t="s">
        <v>587</v>
      </c>
      <c r="E1337">
        <v>16</v>
      </c>
      <c r="F1337" t="s">
        <v>2</v>
      </c>
      <c r="G1337" t="s">
        <v>81</v>
      </c>
      <c r="H1337" t="s">
        <v>3772</v>
      </c>
      <c r="I1337" s="2">
        <v>24000</v>
      </c>
      <c r="J1337" t="s">
        <v>193</v>
      </c>
      <c r="K1337" t="s">
        <v>2509</v>
      </c>
    </row>
    <row r="1338" spans="1:11" x14ac:dyDescent="0.25">
      <c r="A1338" t="s">
        <v>2033</v>
      </c>
      <c r="B1338" s="3">
        <v>46303</v>
      </c>
      <c r="C1338" t="s">
        <v>547</v>
      </c>
      <c r="D1338" t="s">
        <v>481</v>
      </c>
      <c r="E1338">
        <v>13</v>
      </c>
      <c r="F1338" t="s">
        <v>2</v>
      </c>
      <c r="G1338" t="s">
        <v>40</v>
      </c>
      <c r="H1338" t="s">
        <v>3773</v>
      </c>
      <c r="I1338" s="2">
        <v>263000</v>
      </c>
      <c r="J1338" t="s">
        <v>69</v>
      </c>
      <c r="K1338" t="s">
        <v>2503</v>
      </c>
    </row>
    <row r="1339" spans="1:11" x14ac:dyDescent="0.25">
      <c r="A1339" t="s">
        <v>2034</v>
      </c>
      <c r="B1339" s="3">
        <v>46303</v>
      </c>
      <c r="C1339" t="s">
        <v>170</v>
      </c>
      <c r="D1339" t="s">
        <v>66</v>
      </c>
      <c r="E1339">
        <v>19</v>
      </c>
      <c r="F1339" t="s">
        <v>2</v>
      </c>
      <c r="G1339" t="s">
        <v>85</v>
      </c>
      <c r="H1339" t="s">
        <v>3774</v>
      </c>
      <c r="I1339" s="2">
        <v>237000</v>
      </c>
      <c r="J1339" t="s">
        <v>171</v>
      </c>
      <c r="K1339" t="s">
        <v>2503</v>
      </c>
    </row>
    <row r="1340" spans="1:11" x14ac:dyDescent="0.25">
      <c r="A1340" t="s">
        <v>2035</v>
      </c>
      <c r="B1340" s="3">
        <v>46303</v>
      </c>
      <c r="C1340" t="s">
        <v>353</v>
      </c>
      <c r="D1340" t="s">
        <v>354</v>
      </c>
      <c r="E1340">
        <v>6</v>
      </c>
      <c r="F1340" t="s">
        <v>355</v>
      </c>
      <c r="G1340" t="s">
        <v>40</v>
      </c>
      <c r="H1340" t="s">
        <v>3775</v>
      </c>
      <c r="I1340" s="2">
        <v>21000</v>
      </c>
      <c r="J1340" t="s">
        <v>312</v>
      </c>
      <c r="K1340" t="s">
        <v>2500</v>
      </c>
    </row>
    <row r="1341" spans="1:11" x14ac:dyDescent="0.25">
      <c r="A1341" t="s">
        <v>2036</v>
      </c>
      <c r="B1341" s="3">
        <v>46303</v>
      </c>
      <c r="C1341" t="s">
        <v>531</v>
      </c>
      <c r="D1341" t="s">
        <v>479</v>
      </c>
      <c r="E1341">
        <v>42</v>
      </c>
      <c r="F1341" t="s">
        <v>469</v>
      </c>
      <c r="G1341" t="s">
        <v>48</v>
      </c>
      <c r="H1341" t="s">
        <v>3776</v>
      </c>
      <c r="I1341" s="2">
        <v>16000</v>
      </c>
      <c r="J1341" t="s">
        <v>129</v>
      </c>
      <c r="K1341" t="s">
        <v>2513</v>
      </c>
    </row>
    <row r="1342" spans="1:11" x14ac:dyDescent="0.25">
      <c r="A1342" t="s">
        <v>2037</v>
      </c>
      <c r="B1342" s="3">
        <v>46303</v>
      </c>
      <c r="C1342" t="s">
        <v>332</v>
      </c>
      <c r="D1342" t="s">
        <v>223</v>
      </c>
      <c r="E1342">
        <v>59</v>
      </c>
      <c r="F1342" t="s">
        <v>2</v>
      </c>
      <c r="G1342" t="s">
        <v>48</v>
      </c>
      <c r="H1342" t="s">
        <v>3777</v>
      </c>
      <c r="I1342" s="2">
        <v>481000</v>
      </c>
      <c r="J1342" t="s">
        <v>279</v>
      </c>
      <c r="K1342" t="s">
        <v>2500</v>
      </c>
    </row>
    <row r="1343" spans="1:11" x14ac:dyDescent="0.25">
      <c r="A1343" t="s">
        <v>2038</v>
      </c>
      <c r="B1343" s="3">
        <v>46303</v>
      </c>
      <c r="C1343" t="s">
        <v>539</v>
      </c>
      <c r="D1343" t="s">
        <v>479</v>
      </c>
      <c r="E1343">
        <v>51</v>
      </c>
      <c r="F1343" t="s">
        <v>469</v>
      </c>
      <c r="G1343" t="s">
        <v>17</v>
      </c>
      <c r="H1343" t="s">
        <v>3778</v>
      </c>
      <c r="I1343" s="2">
        <v>32000</v>
      </c>
      <c r="J1343" t="s">
        <v>327</v>
      </c>
      <c r="K1343" t="s">
        <v>2509</v>
      </c>
    </row>
    <row r="1344" spans="1:11" x14ac:dyDescent="0.25">
      <c r="A1344" t="s">
        <v>2039</v>
      </c>
      <c r="B1344" s="3">
        <v>46303</v>
      </c>
      <c r="C1344" t="s">
        <v>557</v>
      </c>
      <c r="D1344" t="s">
        <v>474</v>
      </c>
      <c r="E1344">
        <v>38</v>
      </c>
      <c r="F1344" t="s">
        <v>2</v>
      </c>
      <c r="G1344" t="s">
        <v>22</v>
      </c>
      <c r="H1344" t="s">
        <v>3779</v>
      </c>
      <c r="I1344" s="2">
        <v>2000</v>
      </c>
      <c r="J1344" t="s">
        <v>297</v>
      </c>
      <c r="K1344" t="s">
        <v>2509</v>
      </c>
    </row>
    <row r="1345" spans="1:11" x14ac:dyDescent="0.25">
      <c r="A1345" t="s">
        <v>2040</v>
      </c>
      <c r="B1345" s="3">
        <v>46303</v>
      </c>
      <c r="C1345" t="s">
        <v>132</v>
      </c>
      <c r="D1345" t="s">
        <v>26</v>
      </c>
      <c r="E1345">
        <v>2</v>
      </c>
      <c r="F1345" t="s">
        <v>2</v>
      </c>
      <c r="G1345" t="s">
        <v>36</v>
      </c>
      <c r="H1345" t="s">
        <v>3780</v>
      </c>
      <c r="I1345" s="2">
        <v>547000</v>
      </c>
      <c r="J1345" t="s">
        <v>133</v>
      </c>
      <c r="K1345" t="s">
        <v>2513</v>
      </c>
    </row>
    <row r="1346" spans="1:11" x14ac:dyDescent="0.25">
      <c r="A1346" t="s">
        <v>2041</v>
      </c>
      <c r="B1346" s="3">
        <v>46303</v>
      </c>
      <c r="C1346" t="s">
        <v>392</v>
      </c>
      <c r="D1346" t="s">
        <v>349</v>
      </c>
      <c r="E1346">
        <v>26</v>
      </c>
      <c r="F1346" t="s">
        <v>2</v>
      </c>
      <c r="G1346" t="s">
        <v>40</v>
      </c>
      <c r="H1346" t="s">
        <v>3781</v>
      </c>
      <c r="I1346" s="2">
        <v>15000</v>
      </c>
      <c r="J1346" t="s">
        <v>24</v>
      </c>
      <c r="K1346" t="s">
        <v>2500</v>
      </c>
    </row>
    <row r="1347" spans="1:11" x14ac:dyDescent="0.25">
      <c r="A1347" t="s">
        <v>2042</v>
      </c>
      <c r="B1347" s="3">
        <v>46303</v>
      </c>
      <c r="C1347" t="s">
        <v>370</v>
      </c>
      <c r="D1347" t="s">
        <v>344</v>
      </c>
      <c r="E1347">
        <v>62</v>
      </c>
      <c r="F1347" t="s">
        <v>346</v>
      </c>
      <c r="G1347" t="s">
        <v>32</v>
      </c>
      <c r="H1347" t="s">
        <v>3782</v>
      </c>
      <c r="I1347" s="2">
        <v>60000</v>
      </c>
      <c r="J1347" t="s">
        <v>24</v>
      </c>
      <c r="K1347" t="s">
        <v>2513</v>
      </c>
    </row>
    <row r="1348" spans="1:11" x14ac:dyDescent="0.25">
      <c r="A1348" t="s">
        <v>2043</v>
      </c>
      <c r="B1348" s="3">
        <v>46303</v>
      </c>
      <c r="C1348" t="s">
        <v>515</v>
      </c>
      <c r="D1348" t="s">
        <v>488</v>
      </c>
      <c r="E1348">
        <v>51</v>
      </c>
      <c r="F1348" t="s">
        <v>469</v>
      </c>
      <c r="G1348" t="s">
        <v>36</v>
      </c>
      <c r="H1348" t="s">
        <v>3783</v>
      </c>
      <c r="I1348" s="2">
        <v>45000</v>
      </c>
      <c r="J1348" t="s">
        <v>292</v>
      </c>
      <c r="K1348" t="s">
        <v>2513</v>
      </c>
    </row>
    <row r="1349" spans="1:11" x14ac:dyDescent="0.25">
      <c r="A1349" t="s">
        <v>2044</v>
      </c>
      <c r="B1349" s="3">
        <v>46303</v>
      </c>
      <c r="C1349" t="s">
        <v>60</v>
      </c>
      <c r="D1349" t="s">
        <v>44</v>
      </c>
      <c r="E1349">
        <v>49</v>
      </c>
      <c r="F1349" t="s">
        <v>2</v>
      </c>
      <c r="G1349" t="s">
        <v>61</v>
      </c>
      <c r="H1349" t="s">
        <v>3784</v>
      </c>
      <c r="I1349" s="2">
        <v>66000</v>
      </c>
      <c r="J1349" t="s">
        <v>27</v>
      </c>
      <c r="K1349" t="s">
        <v>2500</v>
      </c>
    </row>
    <row r="1350" spans="1:11" x14ac:dyDescent="0.25">
      <c r="A1350" t="s">
        <v>2045</v>
      </c>
      <c r="B1350" s="3">
        <v>46303</v>
      </c>
      <c r="C1350" t="s">
        <v>255</v>
      </c>
      <c r="D1350" t="s">
        <v>234</v>
      </c>
      <c r="E1350">
        <v>11</v>
      </c>
      <c r="F1350" t="s">
        <v>2</v>
      </c>
      <c r="G1350" t="s">
        <v>61</v>
      </c>
      <c r="H1350" t="s">
        <v>3785</v>
      </c>
      <c r="I1350" s="2">
        <v>392000</v>
      </c>
      <c r="J1350" t="s">
        <v>38</v>
      </c>
      <c r="K1350" t="s">
        <v>2500</v>
      </c>
    </row>
    <row r="1351" spans="1:11" x14ac:dyDescent="0.25">
      <c r="A1351" t="s">
        <v>2046</v>
      </c>
      <c r="B1351" s="3">
        <v>46303</v>
      </c>
      <c r="C1351" t="s">
        <v>670</v>
      </c>
      <c r="D1351" t="s">
        <v>599</v>
      </c>
      <c r="E1351">
        <v>49</v>
      </c>
      <c r="F1351" t="s">
        <v>2</v>
      </c>
      <c r="G1351" t="s">
        <v>32</v>
      </c>
      <c r="H1351" t="s">
        <v>3786</v>
      </c>
      <c r="I1351" s="2">
        <v>124000</v>
      </c>
      <c r="J1351" t="s">
        <v>93</v>
      </c>
      <c r="K1351" t="s">
        <v>2500</v>
      </c>
    </row>
    <row r="1352" spans="1:11" x14ac:dyDescent="0.25">
      <c r="A1352" t="s">
        <v>2047</v>
      </c>
      <c r="B1352" s="3">
        <v>46303</v>
      </c>
      <c r="C1352" t="s">
        <v>619</v>
      </c>
      <c r="D1352" t="s">
        <v>594</v>
      </c>
      <c r="E1352">
        <v>12</v>
      </c>
      <c r="F1352" t="s">
        <v>595</v>
      </c>
      <c r="G1352" t="s">
        <v>85</v>
      </c>
      <c r="H1352" t="s">
        <v>3787</v>
      </c>
      <c r="I1352" s="2">
        <v>10000</v>
      </c>
      <c r="J1352" t="s">
        <v>206</v>
      </c>
      <c r="K1352" t="s">
        <v>2513</v>
      </c>
    </row>
    <row r="1353" spans="1:11" x14ac:dyDescent="0.25">
      <c r="A1353" t="s">
        <v>2048</v>
      </c>
      <c r="B1353" s="3">
        <v>46303</v>
      </c>
      <c r="C1353" t="s">
        <v>302</v>
      </c>
      <c r="D1353" t="s">
        <v>261</v>
      </c>
      <c r="E1353">
        <v>3</v>
      </c>
      <c r="F1353" t="s">
        <v>2</v>
      </c>
      <c r="G1353" t="s">
        <v>40</v>
      </c>
      <c r="H1353" t="s">
        <v>3788</v>
      </c>
      <c r="I1353" s="2">
        <v>352000</v>
      </c>
      <c r="J1353" t="s">
        <v>133</v>
      </c>
      <c r="K1353" t="s">
        <v>2513</v>
      </c>
    </row>
    <row r="1354" spans="1:11" x14ac:dyDescent="0.25">
      <c r="A1354" t="s">
        <v>2049</v>
      </c>
      <c r="B1354" s="3">
        <v>46303</v>
      </c>
      <c r="C1354" t="s">
        <v>419</v>
      </c>
      <c r="D1354" t="s">
        <v>354</v>
      </c>
      <c r="E1354">
        <v>2</v>
      </c>
      <c r="F1354" t="s">
        <v>355</v>
      </c>
      <c r="G1354" t="s">
        <v>81</v>
      </c>
      <c r="H1354" t="s">
        <v>3789</v>
      </c>
      <c r="I1354" s="2">
        <v>30000</v>
      </c>
      <c r="J1354" t="s">
        <v>147</v>
      </c>
      <c r="K1354" t="s">
        <v>2500</v>
      </c>
    </row>
    <row r="1355" spans="1:11" x14ac:dyDescent="0.25">
      <c r="A1355" t="s">
        <v>2050</v>
      </c>
      <c r="B1355" s="3">
        <v>46304</v>
      </c>
      <c r="C1355" t="s">
        <v>315</v>
      </c>
      <c r="D1355" t="s">
        <v>213</v>
      </c>
      <c r="E1355">
        <v>63</v>
      </c>
      <c r="F1355" t="s">
        <v>2</v>
      </c>
      <c r="G1355" t="s">
        <v>85</v>
      </c>
      <c r="H1355" t="s">
        <v>3790</v>
      </c>
      <c r="I1355" s="2">
        <v>6011000</v>
      </c>
      <c r="J1355" t="s">
        <v>189</v>
      </c>
      <c r="K1355" t="s">
        <v>2509</v>
      </c>
    </row>
    <row r="1356" spans="1:11" x14ac:dyDescent="0.25">
      <c r="A1356" t="s">
        <v>2051</v>
      </c>
      <c r="B1356" s="3">
        <v>46304</v>
      </c>
      <c r="C1356" t="s">
        <v>63</v>
      </c>
      <c r="D1356" t="s">
        <v>26</v>
      </c>
      <c r="E1356">
        <v>32</v>
      </c>
      <c r="F1356" t="s">
        <v>2</v>
      </c>
      <c r="G1356" t="s">
        <v>55</v>
      </c>
      <c r="H1356" t="s">
        <v>3791</v>
      </c>
      <c r="I1356" s="2">
        <v>515000</v>
      </c>
      <c r="J1356" t="s">
        <v>64</v>
      </c>
      <c r="K1356" t="s">
        <v>2503</v>
      </c>
    </row>
    <row r="1357" spans="1:11" x14ac:dyDescent="0.25">
      <c r="A1357" t="s">
        <v>2052</v>
      </c>
      <c r="B1357" s="3">
        <v>46304</v>
      </c>
      <c r="C1357" t="s">
        <v>353</v>
      </c>
      <c r="D1357" t="s">
        <v>354</v>
      </c>
      <c r="E1357">
        <v>35</v>
      </c>
      <c r="F1357" t="s">
        <v>355</v>
      </c>
      <c r="G1357" t="s">
        <v>40</v>
      </c>
      <c r="H1357" t="s">
        <v>3792</v>
      </c>
      <c r="I1357" s="2">
        <v>21000</v>
      </c>
      <c r="J1357" t="s">
        <v>312</v>
      </c>
      <c r="K1357" t="s">
        <v>2513</v>
      </c>
    </row>
    <row r="1358" spans="1:11" x14ac:dyDescent="0.25">
      <c r="A1358" t="s">
        <v>2053</v>
      </c>
      <c r="B1358" s="3">
        <v>46304</v>
      </c>
      <c r="C1358" t="s">
        <v>311</v>
      </c>
      <c r="D1358" t="s">
        <v>227</v>
      </c>
      <c r="E1358">
        <v>62</v>
      </c>
      <c r="F1358" t="s">
        <v>2</v>
      </c>
      <c r="G1358" t="s">
        <v>55</v>
      </c>
      <c r="H1358" t="s">
        <v>3793</v>
      </c>
      <c r="I1358" s="2">
        <v>693000</v>
      </c>
      <c r="J1358" t="s">
        <v>312</v>
      </c>
      <c r="K1358" t="s">
        <v>2509</v>
      </c>
    </row>
    <row r="1359" spans="1:11" x14ac:dyDescent="0.25">
      <c r="A1359" t="s">
        <v>2054</v>
      </c>
      <c r="B1359" s="3">
        <v>46304</v>
      </c>
      <c r="C1359" t="s">
        <v>187</v>
      </c>
      <c r="D1359" t="s">
        <v>54</v>
      </c>
      <c r="E1359">
        <v>36</v>
      </c>
      <c r="F1359" t="s">
        <v>2</v>
      </c>
      <c r="G1359" t="s">
        <v>36</v>
      </c>
      <c r="H1359" t="s">
        <v>3794</v>
      </c>
      <c r="I1359" s="2">
        <v>122000</v>
      </c>
      <c r="J1359" t="s">
        <v>110</v>
      </c>
      <c r="K1359" t="s">
        <v>2503</v>
      </c>
    </row>
    <row r="1360" spans="1:11" x14ac:dyDescent="0.25">
      <c r="A1360" t="s">
        <v>2055</v>
      </c>
      <c r="B1360" s="3">
        <v>46304</v>
      </c>
      <c r="C1360" t="s">
        <v>457</v>
      </c>
      <c r="D1360" t="s">
        <v>349</v>
      </c>
      <c r="E1360">
        <v>61</v>
      </c>
      <c r="F1360" t="s">
        <v>2</v>
      </c>
      <c r="G1360" t="s">
        <v>17</v>
      </c>
      <c r="H1360" t="s">
        <v>3795</v>
      </c>
      <c r="I1360" s="2">
        <v>10000</v>
      </c>
      <c r="J1360" t="s">
        <v>175</v>
      </c>
      <c r="K1360" t="s">
        <v>2513</v>
      </c>
    </row>
    <row r="1361" spans="1:11" x14ac:dyDescent="0.25">
      <c r="A1361" t="s">
        <v>2056</v>
      </c>
      <c r="B1361" s="3">
        <v>46304</v>
      </c>
      <c r="C1361" t="s">
        <v>373</v>
      </c>
      <c r="D1361" t="s">
        <v>364</v>
      </c>
      <c r="E1361">
        <v>35</v>
      </c>
      <c r="F1361" t="s">
        <v>358</v>
      </c>
      <c r="G1361" t="s">
        <v>32</v>
      </c>
      <c r="H1361" t="s">
        <v>3796</v>
      </c>
      <c r="I1361" s="2">
        <v>34000</v>
      </c>
      <c r="J1361" t="s">
        <v>206</v>
      </c>
      <c r="K1361" t="s">
        <v>2500</v>
      </c>
    </row>
    <row r="1362" spans="1:11" x14ac:dyDescent="0.25">
      <c r="A1362" t="s">
        <v>2057</v>
      </c>
      <c r="B1362" s="3">
        <v>46304</v>
      </c>
      <c r="C1362" t="s">
        <v>281</v>
      </c>
      <c r="D1362" t="s">
        <v>216</v>
      </c>
      <c r="E1362">
        <v>68</v>
      </c>
      <c r="F1362" t="s">
        <v>2</v>
      </c>
      <c r="G1362" t="s">
        <v>85</v>
      </c>
      <c r="H1362" t="s">
        <v>3797</v>
      </c>
      <c r="I1362" s="2">
        <v>646000</v>
      </c>
      <c r="J1362" t="s">
        <v>166</v>
      </c>
      <c r="K1362" t="s">
        <v>2509</v>
      </c>
    </row>
    <row r="1363" spans="1:11" x14ac:dyDescent="0.25">
      <c r="A1363" t="s">
        <v>2058</v>
      </c>
      <c r="B1363" s="3">
        <v>46304</v>
      </c>
      <c r="C1363" t="s">
        <v>619</v>
      </c>
      <c r="D1363" t="s">
        <v>594</v>
      </c>
      <c r="E1363">
        <v>34</v>
      </c>
      <c r="F1363" t="s">
        <v>595</v>
      </c>
      <c r="G1363" t="s">
        <v>85</v>
      </c>
      <c r="H1363" t="s">
        <v>3798</v>
      </c>
      <c r="I1363" s="2">
        <v>10000</v>
      </c>
      <c r="J1363" t="s">
        <v>206</v>
      </c>
      <c r="K1363" t="s">
        <v>2500</v>
      </c>
    </row>
    <row r="1364" spans="1:11" x14ac:dyDescent="0.25">
      <c r="A1364" t="s">
        <v>2059</v>
      </c>
      <c r="B1364" s="3">
        <v>46304</v>
      </c>
      <c r="C1364" t="s">
        <v>275</v>
      </c>
      <c r="D1364" t="s">
        <v>218</v>
      </c>
      <c r="E1364">
        <v>28</v>
      </c>
      <c r="F1364" t="s">
        <v>2</v>
      </c>
      <c r="G1364" t="s">
        <v>55</v>
      </c>
      <c r="H1364" t="s">
        <v>3799</v>
      </c>
      <c r="I1364" s="2">
        <v>1530000</v>
      </c>
      <c r="J1364" t="s">
        <v>259</v>
      </c>
      <c r="K1364" t="s">
        <v>2513</v>
      </c>
    </row>
    <row r="1365" spans="1:11" x14ac:dyDescent="0.25">
      <c r="A1365" t="s">
        <v>2060</v>
      </c>
      <c r="B1365" s="3">
        <v>46304</v>
      </c>
      <c r="C1365" t="s">
        <v>496</v>
      </c>
      <c r="D1365" t="s">
        <v>490</v>
      </c>
      <c r="E1365">
        <v>18</v>
      </c>
      <c r="F1365" t="s">
        <v>355</v>
      </c>
      <c r="G1365" t="s">
        <v>81</v>
      </c>
      <c r="H1365" t="s">
        <v>3800</v>
      </c>
      <c r="I1365" s="2">
        <v>33000</v>
      </c>
      <c r="J1365" t="s">
        <v>42</v>
      </c>
      <c r="K1365" t="s">
        <v>2500</v>
      </c>
    </row>
    <row r="1366" spans="1:11" x14ac:dyDescent="0.25">
      <c r="A1366" t="s">
        <v>2061</v>
      </c>
      <c r="B1366" s="3">
        <v>46304</v>
      </c>
      <c r="C1366" t="s">
        <v>254</v>
      </c>
      <c r="D1366" t="s">
        <v>213</v>
      </c>
      <c r="E1366">
        <v>40</v>
      </c>
      <c r="F1366" t="s">
        <v>2</v>
      </c>
      <c r="G1366" t="s">
        <v>85</v>
      </c>
      <c r="H1366" t="s">
        <v>3801</v>
      </c>
      <c r="I1366" s="2">
        <v>3840000</v>
      </c>
      <c r="J1366" t="s">
        <v>59</v>
      </c>
      <c r="K1366" t="s">
        <v>2509</v>
      </c>
    </row>
    <row r="1367" spans="1:11" x14ac:dyDescent="0.25">
      <c r="A1367" t="s">
        <v>2062</v>
      </c>
      <c r="B1367" s="3">
        <v>46304</v>
      </c>
      <c r="C1367" t="s">
        <v>509</v>
      </c>
      <c r="D1367" t="s">
        <v>471</v>
      </c>
      <c r="E1367">
        <v>5</v>
      </c>
      <c r="F1367" t="s">
        <v>355</v>
      </c>
      <c r="G1367" t="s">
        <v>36</v>
      </c>
      <c r="H1367" t="s">
        <v>3802</v>
      </c>
      <c r="I1367" s="2">
        <v>38000</v>
      </c>
      <c r="J1367" t="s">
        <v>287</v>
      </c>
      <c r="K1367" t="s">
        <v>2513</v>
      </c>
    </row>
    <row r="1368" spans="1:11" x14ac:dyDescent="0.25">
      <c r="A1368" t="s">
        <v>2063</v>
      </c>
      <c r="B1368" s="3">
        <v>46304</v>
      </c>
      <c r="C1368" t="s">
        <v>631</v>
      </c>
      <c r="D1368" t="s">
        <v>582</v>
      </c>
      <c r="E1368">
        <v>17</v>
      </c>
      <c r="F1368" t="s">
        <v>2</v>
      </c>
      <c r="G1368" t="s">
        <v>40</v>
      </c>
      <c r="H1368" t="s">
        <v>3803</v>
      </c>
      <c r="I1368" s="2">
        <v>113000</v>
      </c>
      <c r="J1368" t="s">
        <v>110</v>
      </c>
      <c r="K1368" t="s">
        <v>2513</v>
      </c>
    </row>
    <row r="1369" spans="1:11" x14ac:dyDescent="0.25">
      <c r="A1369" t="s">
        <v>2064</v>
      </c>
      <c r="B1369" s="3">
        <v>46304</v>
      </c>
      <c r="C1369" t="s">
        <v>291</v>
      </c>
      <c r="D1369" t="s">
        <v>240</v>
      </c>
      <c r="E1369">
        <v>44</v>
      </c>
      <c r="F1369" t="s">
        <v>2</v>
      </c>
      <c r="G1369" t="s">
        <v>40</v>
      </c>
      <c r="H1369" t="s">
        <v>3804</v>
      </c>
      <c r="I1369" s="2">
        <v>588000</v>
      </c>
      <c r="J1369" t="s">
        <v>292</v>
      </c>
      <c r="K1369" t="s">
        <v>2503</v>
      </c>
    </row>
    <row r="1370" spans="1:11" x14ac:dyDescent="0.25">
      <c r="A1370" t="s">
        <v>2065</v>
      </c>
      <c r="B1370" s="3">
        <v>46304</v>
      </c>
      <c r="C1370" t="s">
        <v>664</v>
      </c>
      <c r="D1370" t="s">
        <v>612</v>
      </c>
      <c r="E1370">
        <v>60</v>
      </c>
      <c r="F1370" t="s">
        <v>2</v>
      </c>
      <c r="G1370" t="s">
        <v>36</v>
      </c>
      <c r="H1370" t="s">
        <v>3805</v>
      </c>
      <c r="I1370" s="2">
        <v>15000</v>
      </c>
      <c r="J1370" t="s">
        <v>265</v>
      </c>
      <c r="K1370" t="s">
        <v>2503</v>
      </c>
    </row>
    <row r="1371" spans="1:11" x14ac:dyDescent="0.25">
      <c r="A1371" t="s">
        <v>2066</v>
      </c>
      <c r="B1371" s="3">
        <v>46304</v>
      </c>
      <c r="C1371" t="s">
        <v>233</v>
      </c>
      <c r="D1371" t="s">
        <v>234</v>
      </c>
      <c r="E1371">
        <v>10</v>
      </c>
      <c r="F1371" t="s">
        <v>2</v>
      </c>
      <c r="G1371" t="s">
        <v>17</v>
      </c>
      <c r="H1371" t="s">
        <v>3806</v>
      </c>
      <c r="I1371" s="2">
        <v>929000</v>
      </c>
      <c r="J1371" t="s">
        <v>87</v>
      </c>
      <c r="K1371" t="s">
        <v>2513</v>
      </c>
    </row>
    <row r="1372" spans="1:11" x14ac:dyDescent="0.25">
      <c r="A1372" t="s">
        <v>2067</v>
      </c>
      <c r="B1372" s="3">
        <v>46304</v>
      </c>
      <c r="C1372" t="s">
        <v>544</v>
      </c>
      <c r="D1372" t="s">
        <v>488</v>
      </c>
      <c r="E1372">
        <v>8</v>
      </c>
      <c r="F1372" t="s">
        <v>469</v>
      </c>
      <c r="G1372" t="s">
        <v>22</v>
      </c>
      <c r="H1372" t="s">
        <v>3807</v>
      </c>
      <c r="I1372" s="2">
        <v>152000</v>
      </c>
      <c r="J1372" t="s">
        <v>219</v>
      </c>
      <c r="K1372" t="s">
        <v>2509</v>
      </c>
    </row>
    <row r="1373" spans="1:11" x14ac:dyDescent="0.25">
      <c r="A1373" t="s">
        <v>2068</v>
      </c>
      <c r="B1373" s="3">
        <v>46304</v>
      </c>
      <c r="C1373" t="s">
        <v>451</v>
      </c>
      <c r="D1373" t="s">
        <v>351</v>
      </c>
      <c r="E1373">
        <v>62</v>
      </c>
      <c r="F1373" t="s">
        <v>2</v>
      </c>
      <c r="G1373" t="s">
        <v>61</v>
      </c>
      <c r="H1373" t="s">
        <v>3808</v>
      </c>
      <c r="I1373" s="2">
        <v>451000</v>
      </c>
      <c r="J1373" t="s">
        <v>185</v>
      </c>
      <c r="K1373" t="s">
        <v>2503</v>
      </c>
    </row>
    <row r="1374" spans="1:11" x14ac:dyDescent="0.25">
      <c r="A1374" t="s">
        <v>2069</v>
      </c>
      <c r="B1374" s="3">
        <v>46304</v>
      </c>
      <c r="C1374" t="s">
        <v>402</v>
      </c>
      <c r="D1374" t="s">
        <v>344</v>
      </c>
      <c r="E1374">
        <v>56</v>
      </c>
      <c r="F1374" t="s">
        <v>346</v>
      </c>
      <c r="G1374" t="s">
        <v>85</v>
      </c>
      <c r="H1374" t="s">
        <v>3809</v>
      </c>
      <c r="I1374" s="2">
        <v>70000</v>
      </c>
      <c r="J1374" t="s">
        <v>27</v>
      </c>
      <c r="K1374" t="s">
        <v>2500</v>
      </c>
    </row>
    <row r="1375" spans="1:11" x14ac:dyDescent="0.25">
      <c r="A1375" t="s">
        <v>2070</v>
      </c>
      <c r="B1375" s="3">
        <v>46304</v>
      </c>
      <c r="C1375" t="s">
        <v>260</v>
      </c>
      <c r="D1375" t="s">
        <v>261</v>
      </c>
      <c r="E1375">
        <v>59</v>
      </c>
      <c r="F1375" t="s">
        <v>2</v>
      </c>
      <c r="G1375" t="s">
        <v>36</v>
      </c>
      <c r="H1375" t="s">
        <v>3810</v>
      </c>
      <c r="I1375" s="2">
        <v>418000</v>
      </c>
      <c r="J1375" t="s">
        <v>45</v>
      </c>
      <c r="K1375" t="s">
        <v>2503</v>
      </c>
    </row>
    <row r="1376" spans="1:11" x14ac:dyDescent="0.25">
      <c r="A1376" t="s">
        <v>2071</v>
      </c>
      <c r="B1376" s="3">
        <v>46304</v>
      </c>
      <c r="C1376" t="s">
        <v>251</v>
      </c>
      <c r="D1376" t="s">
        <v>216</v>
      </c>
      <c r="E1376">
        <v>21</v>
      </c>
      <c r="F1376" t="s">
        <v>2</v>
      </c>
      <c r="G1376" t="s">
        <v>36</v>
      </c>
      <c r="H1376" t="s">
        <v>3811</v>
      </c>
      <c r="I1376" s="2">
        <v>445000</v>
      </c>
      <c r="J1376" t="s">
        <v>71</v>
      </c>
      <c r="K1376" t="s">
        <v>2500</v>
      </c>
    </row>
    <row r="1377" spans="1:11" x14ac:dyDescent="0.25">
      <c r="A1377" t="s">
        <v>2072</v>
      </c>
      <c r="B1377" s="3">
        <v>46304</v>
      </c>
      <c r="C1377" t="s">
        <v>680</v>
      </c>
      <c r="D1377" t="s">
        <v>582</v>
      </c>
      <c r="E1377">
        <v>16</v>
      </c>
      <c r="F1377" t="s">
        <v>2</v>
      </c>
      <c r="G1377" t="s">
        <v>17</v>
      </c>
      <c r="H1377" t="s">
        <v>3812</v>
      </c>
      <c r="I1377" s="2">
        <v>173000</v>
      </c>
      <c r="J1377" t="s">
        <v>93</v>
      </c>
      <c r="K1377" t="s">
        <v>2500</v>
      </c>
    </row>
    <row r="1378" spans="1:11" x14ac:dyDescent="0.25">
      <c r="A1378" t="s">
        <v>2073</v>
      </c>
      <c r="B1378" s="3">
        <v>46304</v>
      </c>
      <c r="C1378" t="s">
        <v>452</v>
      </c>
      <c r="D1378" t="s">
        <v>344</v>
      </c>
      <c r="E1378">
        <v>55</v>
      </c>
      <c r="F1378" t="s">
        <v>346</v>
      </c>
      <c r="G1378" t="s">
        <v>36</v>
      </c>
      <c r="H1378" t="s">
        <v>3813</v>
      </c>
      <c r="I1378" s="2">
        <v>71000</v>
      </c>
      <c r="J1378" t="s">
        <v>250</v>
      </c>
      <c r="K1378" t="s">
        <v>2509</v>
      </c>
    </row>
    <row r="1379" spans="1:11" x14ac:dyDescent="0.25">
      <c r="A1379" t="s">
        <v>2074</v>
      </c>
      <c r="B1379" s="3">
        <v>46304</v>
      </c>
      <c r="C1379" t="s">
        <v>241</v>
      </c>
      <c r="D1379" t="s">
        <v>223</v>
      </c>
      <c r="E1379">
        <v>63</v>
      </c>
      <c r="F1379" t="s">
        <v>2</v>
      </c>
      <c r="G1379" t="s">
        <v>61</v>
      </c>
      <c r="H1379" t="s">
        <v>3814</v>
      </c>
      <c r="I1379" s="2">
        <v>962000</v>
      </c>
      <c r="J1379" t="s">
        <v>242</v>
      </c>
      <c r="K1379" t="s">
        <v>2500</v>
      </c>
    </row>
    <row r="1380" spans="1:11" x14ac:dyDescent="0.25">
      <c r="A1380" t="s">
        <v>2075</v>
      </c>
      <c r="B1380" s="3">
        <v>46304</v>
      </c>
      <c r="C1380" t="s">
        <v>281</v>
      </c>
      <c r="D1380" t="s">
        <v>216</v>
      </c>
      <c r="E1380">
        <v>25</v>
      </c>
      <c r="F1380" t="s">
        <v>2</v>
      </c>
      <c r="G1380" t="s">
        <v>85</v>
      </c>
      <c r="H1380" t="s">
        <v>3815</v>
      </c>
      <c r="I1380" s="2">
        <v>646000</v>
      </c>
      <c r="J1380" t="s">
        <v>166</v>
      </c>
      <c r="K1380" t="s">
        <v>2500</v>
      </c>
    </row>
    <row r="1381" spans="1:11" x14ac:dyDescent="0.25">
      <c r="A1381" t="s">
        <v>2076</v>
      </c>
      <c r="B1381" s="3">
        <v>46304</v>
      </c>
      <c r="C1381" t="s">
        <v>636</v>
      </c>
      <c r="D1381" t="s">
        <v>602</v>
      </c>
      <c r="E1381">
        <v>69</v>
      </c>
      <c r="F1381" t="s">
        <v>2</v>
      </c>
      <c r="G1381" t="s">
        <v>32</v>
      </c>
      <c r="H1381" t="s">
        <v>3816</v>
      </c>
      <c r="I1381" s="2">
        <v>116000</v>
      </c>
      <c r="J1381" t="s">
        <v>183</v>
      </c>
      <c r="K1381" t="s">
        <v>2513</v>
      </c>
    </row>
    <row r="1382" spans="1:11" x14ac:dyDescent="0.25">
      <c r="A1382" t="s">
        <v>2077</v>
      </c>
      <c r="B1382" s="3">
        <v>46304</v>
      </c>
      <c r="C1382" t="s">
        <v>241</v>
      </c>
      <c r="D1382" t="s">
        <v>223</v>
      </c>
      <c r="E1382">
        <v>2</v>
      </c>
      <c r="F1382" t="s">
        <v>2</v>
      </c>
      <c r="G1382" t="s">
        <v>61</v>
      </c>
      <c r="H1382" t="s">
        <v>3817</v>
      </c>
      <c r="I1382" s="2">
        <v>962000</v>
      </c>
      <c r="J1382" t="s">
        <v>242</v>
      </c>
      <c r="K1382" t="s">
        <v>2509</v>
      </c>
    </row>
    <row r="1383" spans="1:11" x14ac:dyDescent="0.25">
      <c r="A1383" t="s">
        <v>2078</v>
      </c>
      <c r="B1383" s="3">
        <v>46304</v>
      </c>
      <c r="C1383" t="s">
        <v>200</v>
      </c>
      <c r="D1383" t="s">
        <v>66</v>
      </c>
      <c r="E1383">
        <v>15</v>
      </c>
      <c r="F1383" t="s">
        <v>2</v>
      </c>
      <c r="G1383" t="s">
        <v>81</v>
      </c>
      <c r="H1383" t="s">
        <v>3818</v>
      </c>
      <c r="I1383" s="2">
        <v>225000</v>
      </c>
      <c r="J1383" t="s">
        <v>201</v>
      </c>
      <c r="K1383" t="s">
        <v>2503</v>
      </c>
    </row>
    <row r="1384" spans="1:11" x14ac:dyDescent="0.25">
      <c r="A1384" t="s">
        <v>2079</v>
      </c>
      <c r="B1384" s="3">
        <v>46304</v>
      </c>
      <c r="C1384" t="s">
        <v>372</v>
      </c>
      <c r="D1384" t="s">
        <v>360</v>
      </c>
      <c r="E1384">
        <v>42</v>
      </c>
      <c r="F1384" t="s">
        <v>358</v>
      </c>
      <c r="G1384" t="s">
        <v>81</v>
      </c>
      <c r="H1384" t="s">
        <v>3819</v>
      </c>
      <c r="I1384" s="2">
        <v>15000</v>
      </c>
      <c r="J1384" t="s">
        <v>126</v>
      </c>
      <c r="K1384" t="s">
        <v>2500</v>
      </c>
    </row>
    <row r="1385" spans="1:11" x14ac:dyDescent="0.25">
      <c r="A1385" t="s">
        <v>2080</v>
      </c>
      <c r="B1385" s="3">
        <v>46304</v>
      </c>
      <c r="C1385" t="s">
        <v>395</v>
      </c>
      <c r="D1385" t="s">
        <v>382</v>
      </c>
      <c r="E1385">
        <v>43</v>
      </c>
      <c r="F1385" t="s">
        <v>383</v>
      </c>
      <c r="G1385" t="s">
        <v>61</v>
      </c>
      <c r="H1385" t="s">
        <v>3820</v>
      </c>
      <c r="I1385" s="2">
        <v>59000</v>
      </c>
      <c r="J1385" t="s">
        <v>330</v>
      </c>
      <c r="K1385" t="s">
        <v>2513</v>
      </c>
    </row>
    <row r="1386" spans="1:11" x14ac:dyDescent="0.25">
      <c r="A1386" t="s">
        <v>2081</v>
      </c>
      <c r="B1386" s="3">
        <v>46304</v>
      </c>
      <c r="C1386" t="s">
        <v>371</v>
      </c>
      <c r="D1386" t="s">
        <v>364</v>
      </c>
      <c r="E1386">
        <v>32</v>
      </c>
      <c r="F1386" t="s">
        <v>358</v>
      </c>
      <c r="G1386" t="s">
        <v>40</v>
      </c>
      <c r="H1386" t="s">
        <v>3821</v>
      </c>
      <c r="I1386" s="2">
        <v>25000</v>
      </c>
      <c r="J1386" t="s">
        <v>121</v>
      </c>
      <c r="K1386" t="s">
        <v>2509</v>
      </c>
    </row>
    <row r="1387" spans="1:11" x14ac:dyDescent="0.25">
      <c r="A1387" t="s">
        <v>2082</v>
      </c>
      <c r="B1387" s="3">
        <v>46304</v>
      </c>
      <c r="C1387" t="s">
        <v>562</v>
      </c>
      <c r="D1387" t="s">
        <v>502</v>
      </c>
      <c r="E1387">
        <v>34</v>
      </c>
      <c r="F1387" t="s">
        <v>469</v>
      </c>
      <c r="G1387" t="s">
        <v>55</v>
      </c>
      <c r="H1387" t="s">
        <v>3822</v>
      </c>
      <c r="I1387" s="2">
        <v>76000</v>
      </c>
      <c r="J1387" t="s">
        <v>104</v>
      </c>
      <c r="K1387" t="s">
        <v>2509</v>
      </c>
    </row>
    <row r="1388" spans="1:11" x14ac:dyDescent="0.25">
      <c r="A1388" t="s">
        <v>2083</v>
      </c>
      <c r="B1388" s="3">
        <v>46304</v>
      </c>
      <c r="C1388" t="s">
        <v>180</v>
      </c>
      <c r="D1388" t="s">
        <v>15</v>
      </c>
      <c r="E1388">
        <v>40</v>
      </c>
      <c r="F1388" t="s">
        <v>2</v>
      </c>
      <c r="G1388" t="s">
        <v>32</v>
      </c>
      <c r="H1388" t="s">
        <v>3823</v>
      </c>
      <c r="I1388" s="2">
        <v>267000</v>
      </c>
      <c r="J1388" t="s">
        <v>181</v>
      </c>
      <c r="K1388" t="s">
        <v>2509</v>
      </c>
    </row>
    <row r="1389" spans="1:11" x14ac:dyDescent="0.25">
      <c r="A1389" t="s">
        <v>2084</v>
      </c>
      <c r="B1389" s="3">
        <v>46305</v>
      </c>
      <c r="C1389" t="s">
        <v>657</v>
      </c>
      <c r="D1389" t="s">
        <v>585</v>
      </c>
      <c r="E1389">
        <v>6</v>
      </c>
      <c r="F1389" t="s">
        <v>355</v>
      </c>
      <c r="G1389" t="s">
        <v>36</v>
      </c>
      <c r="H1389" t="s">
        <v>3824</v>
      </c>
      <c r="I1389" s="2">
        <v>21000</v>
      </c>
      <c r="J1389" t="s">
        <v>250</v>
      </c>
      <c r="K1389" t="s">
        <v>2513</v>
      </c>
    </row>
    <row r="1390" spans="1:11" x14ac:dyDescent="0.25">
      <c r="A1390" t="s">
        <v>2085</v>
      </c>
      <c r="B1390" s="3">
        <v>46305</v>
      </c>
      <c r="C1390" t="s">
        <v>393</v>
      </c>
      <c r="D1390" t="s">
        <v>382</v>
      </c>
      <c r="E1390">
        <v>22</v>
      </c>
      <c r="F1390" t="s">
        <v>383</v>
      </c>
      <c r="G1390" t="s">
        <v>81</v>
      </c>
      <c r="H1390" t="s">
        <v>3825</v>
      </c>
      <c r="I1390" s="2">
        <v>142000</v>
      </c>
      <c r="J1390" t="s">
        <v>219</v>
      </c>
      <c r="K1390" t="s">
        <v>2500</v>
      </c>
    </row>
    <row r="1391" spans="1:11" x14ac:dyDescent="0.25">
      <c r="A1391" t="s">
        <v>2086</v>
      </c>
      <c r="B1391" s="3">
        <v>46305</v>
      </c>
      <c r="C1391" t="s">
        <v>353</v>
      </c>
      <c r="D1391" t="s">
        <v>354</v>
      </c>
      <c r="E1391">
        <v>29</v>
      </c>
      <c r="F1391" t="s">
        <v>355</v>
      </c>
      <c r="G1391" t="s">
        <v>40</v>
      </c>
      <c r="H1391" t="s">
        <v>3652</v>
      </c>
      <c r="I1391" s="2">
        <v>21000</v>
      </c>
      <c r="J1391" t="s">
        <v>312</v>
      </c>
      <c r="K1391" t="s">
        <v>2503</v>
      </c>
    </row>
    <row r="1392" spans="1:11" x14ac:dyDescent="0.25">
      <c r="A1392" t="s">
        <v>2087</v>
      </c>
      <c r="B1392" s="3">
        <v>46305</v>
      </c>
      <c r="C1392" t="s">
        <v>236</v>
      </c>
      <c r="D1392" t="s">
        <v>223</v>
      </c>
      <c r="E1392">
        <v>52</v>
      </c>
      <c r="F1392" t="s">
        <v>2</v>
      </c>
      <c r="G1392" t="s">
        <v>55</v>
      </c>
      <c r="H1392" t="s">
        <v>3826</v>
      </c>
      <c r="I1392" s="2">
        <v>479000</v>
      </c>
      <c r="J1392" t="s">
        <v>34</v>
      </c>
      <c r="K1392" t="s">
        <v>2509</v>
      </c>
    </row>
    <row r="1393" spans="1:11" x14ac:dyDescent="0.25">
      <c r="A1393" t="s">
        <v>2088</v>
      </c>
      <c r="B1393" s="3">
        <v>46305</v>
      </c>
      <c r="C1393" t="s">
        <v>414</v>
      </c>
      <c r="D1393" t="s">
        <v>378</v>
      </c>
      <c r="E1393">
        <v>7</v>
      </c>
      <c r="F1393" t="s">
        <v>2</v>
      </c>
      <c r="G1393" t="s">
        <v>32</v>
      </c>
      <c r="H1393" t="s">
        <v>3827</v>
      </c>
      <c r="I1393" s="2">
        <v>29000</v>
      </c>
      <c r="J1393" t="s">
        <v>147</v>
      </c>
      <c r="K1393" t="s">
        <v>2503</v>
      </c>
    </row>
    <row r="1394" spans="1:11" x14ac:dyDescent="0.25">
      <c r="A1394" t="s">
        <v>2089</v>
      </c>
      <c r="B1394" s="3">
        <v>46305</v>
      </c>
      <c r="C1394" t="s">
        <v>654</v>
      </c>
      <c r="D1394" t="s">
        <v>582</v>
      </c>
      <c r="E1394">
        <v>5</v>
      </c>
      <c r="F1394" t="s">
        <v>2</v>
      </c>
      <c r="G1394" t="s">
        <v>81</v>
      </c>
      <c r="H1394" t="s">
        <v>3828</v>
      </c>
      <c r="I1394" s="2">
        <v>180000</v>
      </c>
      <c r="J1394" t="s">
        <v>108</v>
      </c>
      <c r="K1394" t="s">
        <v>2500</v>
      </c>
    </row>
    <row r="1395" spans="1:11" x14ac:dyDescent="0.25">
      <c r="A1395" t="s">
        <v>2090</v>
      </c>
      <c r="B1395" s="3">
        <v>46305</v>
      </c>
      <c r="C1395" t="s">
        <v>101</v>
      </c>
      <c r="D1395" t="s">
        <v>29</v>
      </c>
      <c r="E1395">
        <v>33</v>
      </c>
      <c r="F1395" t="s">
        <v>2</v>
      </c>
      <c r="G1395" t="s">
        <v>48</v>
      </c>
      <c r="H1395" t="s">
        <v>3829</v>
      </c>
      <c r="I1395" s="2">
        <v>177000</v>
      </c>
      <c r="J1395" t="s">
        <v>102</v>
      </c>
      <c r="K1395" t="s">
        <v>2500</v>
      </c>
    </row>
    <row r="1396" spans="1:11" x14ac:dyDescent="0.25">
      <c r="A1396" t="s">
        <v>2091</v>
      </c>
      <c r="B1396" s="3">
        <v>46305</v>
      </c>
      <c r="C1396" t="s">
        <v>399</v>
      </c>
      <c r="D1396" t="s">
        <v>360</v>
      </c>
      <c r="E1396">
        <v>28</v>
      </c>
      <c r="F1396" t="s">
        <v>358</v>
      </c>
      <c r="G1396" t="s">
        <v>36</v>
      </c>
      <c r="H1396" t="s">
        <v>3830</v>
      </c>
      <c r="I1396" s="2">
        <v>19000</v>
      </c>
      <c r="J1396" t="s">
        <v>164</v>
      </c>
      <c r="K1396" t="s">
        <v>2509</v>
      </c>
    </row>
    <row r="1397" spans="1:11" x14ac:dyDescent="0.25">
      <c r="A1397" t="s">
        <v>2092</v>
      </c>
      <c r="B1397" s="3">
        <v>46305</v>
      </c>
      <c r="C1397" t="s">
        <v>281</v>
      </c>
      <c r="D1397" t="s">
        <v>216</v>
      </c>
      <c r="E1397">
        <v>7</v>
      </c>
      <c r="F1397" t="s">
        <v>2</v>
      </c>
      <c r="G1397" t="s">
        <v>85</v>
      </c>
      <c r="H1397" t="s">
        <v>3831</v>
      </c>
      <c r="I1397" s="2">
        <v>646000</v>
      </c>
      <c r="J1397" t="s">
        <v>166</v>
      </c>
      <c r="K1397" t="s">
        <v>2513</v>
      </c>
    </row>
    <row r="1398" spans="1:11" x14ac:dyDescent="0.25">
      <c r="A1398" t="s">
        <v>2093</v>
      </c>
      <c r="B1398" s="3">
        <v>46305</v>
      </c>
      <c r="C1398" t="s">
        <v>649</v>
      </c>
      <c r="D1398" t="s">
        <v>597</v>
      </c>
      <c r="E1398">
        <v>63</v>
      </c>
      <c r="F1398" t="s">
        <v>355</v>
      </c>
      <c r="G1398" t="s">
        <v>85</v>
      </c>
      <c r="H1398" t="s">
        <v>3832</v>
      </c>
      <c r="I1398" s="2">
        <v>42000</v>
      </c>
      <c r="J1398" t="s">
        <v>361</v>
      </c>
      <c r="K1398" t="s">
        <v>2503</v>
      </c>
    </row>
    <row r="1399" spans="1:11" x14ac:dyDescent="0.25">
      <c r="A1399" t="s">
        <v>2094</v>
      </c>
      <c r="B1399" s="3">
        <v>46305</v>
      </c>
      <c r="C1399" t="s">
        <v>28</v>
      </c>
      <c r="D1399" t="s">
        <v>29</v>
      </c>
      <c r="E1399">
        <v>59</v>
      </c>
      <c r="F1399" t="s">
        <v>2</v>
      </c>
      <c r="G1399" t="s">
        <v>22</v>
      </c>
      <c r="H1399" t="s">
        <v>3833</v>
      </c>
      <c r="I1399" s="2">
        <v>192000</v>
      </c>
      <c r="J1399" t="s">
        <v>30</v>
      </c>
      <c r="K1399" t="s">
        <v>2503</v>
      </c>
    </row>
    <row r="1400" spans="1:11" x14ac:dyDescent="0.25">
      <c r="A1400" t="s">
        <v>2095</v>
      </c>
      <c r="B1400" s="3">
        <v>46305</v>
      </c>
      <c r="C1400" t="s">
        <v>613</v>
      </c>
      <c r="D1400" t="s">
        <v>597</v>
      </c>
      <c r="E1400">
        <v>35</v>
      </c>
      <c r="F1400" t="s">
        <v>355</v>
      </c>
      <c r="G1400" t="s">
        <v>32</v>
      </c>
      <c r="H1400" t="s">
        <v>3834</v>
      </c>
      <c r="I1400" s="2">
        <v>48000</v>
      </c>
      <c r="J1400" t="s">
        <v>221</v>
      </c>
      <c r="K1400" t="s">
        <v>2500</v>
      </c>
    </row>
    <row r="1401" spans="1:11" x14ac:dyDescent="0.25">
      <c r="A1401" t="s">
        <v>2096</v>
      </c>
      <c r="B1401" s="3">
        <v>46305</v>
      </c>
      <c r="C1401" t="s">
        <v>432</v>
      </c>
      <c r="D1401" t="s">
        <v>351</v>
      </c>
      <c r="E1401">
        <v>33</v>
      </c>
      <c r="F1401" t="s">
        <v>2</v>
      </c>
      <c r="G1401" t="s">
        <v>55</v>
      </c>
      <c r="H1401" t="s">
        <v>3835</v>
      </c>
      <c r="I1401" s="2">
        <v>213000</v>
      </c>
      <c r="J1401" t="s">
        <v>314</v>
      </c>
      <c r="K1401" t="s">
        <v>2503</v>
      </c>
    </row>
    <row r="1402" spans="1:11" x14ac:dyDescent="0.25">
      <c r="A1402" t="s">
        <v>2097</v>
      </c>
      <c r="B1402" s="3">
        <v>46305</v>
      </c>
      <c r="C1402" t="s">
        <v>673</v>
      </c>
      <c r="D1402" t="s">
        <v>594</v>
      </c>
      <c r="E1402">
        <v>14</v>
      </c>
      <c r="F1402" t="s">
        <v>595</v>
      </c>
      <c r="G1402" t="s">
        <v>40</v>
      </c>
      <c r="H1402" t="s">
        <v>3836</v>
      </c>
      <c r="I1402" s="2">
        <v>14000</v>
      </c>
      <c r="J1402" t="s">
        <v>87</v>
      </c>
      <c r="K1402" t="s">
        <v>2513</v>
      </c>
    </row>
    <row r="1403" spans="1:11" x14ac:dyDescent="0.25">
      <c r="A1403" t="s">
        <v>2098</v>
      </c>
      <c r="B1403" s="3">
        <v>46305</v>
      </c>
      <c r="C1403" t="s">
        <v>451</v>
      </c>
      <c r="D1403" t="s">
        <v>351</v>
      </c>
      <c r="E1403">
        <v>68</v>
      </c>
      <c r="F1403" t="s">
        <v>2</v>
      </c>
      <c r="G1403" t="s">
        <v>61</v>
      </c>
      <c r="H1403" t="s">
        <v>3837</v>
      </c>
      <c r="I1403" s="2">
        <v>451000</v>
      </c>
      <c r="J1403" t="s">
        <v>185</v>
      </c>
      <c r="K1403" t="s">
        <v>2513</v>
      </c>
    </row>
    <row r="1404" spans="1:11" x14ac:dyDescent="0.25">
      <c r="A1404" t="s">
        <v>2099</v>
      </c>
      <c r="B1404" s="3">
        <v>46305</v>
      </c>
      <c r="C1404" t="s">
        <v>515</v>
      </c>
      <c r="D1404" t="s">
        <v>488</v>
      </c>
      <c r="E1404">
        <v>58</v>
      </c>
      <c r="F1404" t="s">
        <v>469</v>
      </c>
      <c r="G1404" t="s">
        <v>36</v>
      </c>
      <c r="H1404" t="s">
        <v>3838</v>
      </c>
      <c r="I1404" s="2">
        <v>45000</v>
      </c>
      <c r="J1404" t="s">
        <v>292</v>
      </c>
      <c r="K1404" t="s">
        <v>2513</v>
      </c>
    </row>
    <row r="1405" spans="1:11" x14ac:dyDescent="0.25">
      <c r="A1405" t="s">
        <v>2100</v>
      </c>
      <c r="B1405" s="3">
        <v>46305</v>
      </c>
      <c r="C1405" t="s">
        <v>154</v>
      </c>
      <c r="D1405" t="s">
        <v>26</v>
      </c>
      <c r="E1405">
        <v>70</v>
      </c>
      <c r="F1405" t="s">
        <v>2</v>
      </c>
      <c r="G1405" t="s">
        <v>32</v>
      </c>
      <c r="H1405" t="s">
        <v>3839</v>
      </c>
      <c r="I1405" s="2">
        <v>366000</v>
      </c>
      <c r="J1405" t="s">
        <v>155</v>
      </c>
      <c r="K1405" t="s">
        <v>2500</v>
      </c>
    </row>
    <row r="1406" spans="1:11" x14ac:dyDescent="0.25">
      <c r="A1406" t="s">
        <v>2101</v>
      </c>
      <c r="B1406" s="3">
        <v>46305</v>
      </c>
      <c r="C1406" t="s">
        <v>205</v>
      </c>
      <c r="D1406" t="s">
        <v>54</v>
      </c>
      <c r="E1406">
        <v>51</v>
      </c>
      <c r="F1406" t="s">
        <v>2</v>
      </c>
      <c r="G1406" t="s">
        <v>22</v>
      </c>
      <c r="H1406" t="s">
        <v>3536</v>
      </c>
      <c r="I1406" s="2">
        <v>55000</v>
      </c>
      <c r="J1406" t="s">
        <v>206</v>
      </c>
      <c r="K1406" t="s">
        <v>2509</v>
      </c>
    </row>
    <row r="1407" spans="1:11" x14ac:dyDescent="0.25">
      <c r="A1407" t="s">
        <v>2102</v>
      </c>
      <c r="B1407" s="3">
        <v>46305</v>
      </c>
      <c r="C1407" t="s">
        <v>652</v>
      </c>
      <c r="D1407" t="s">
        <v>587</v>
      </c>
      <c r="E1407">
        <v>38</v>
      </c>
      <c r="F1407" t="s">
        <v>2</v>
      </c>
      <c r="G1407" t="s">
        <v>85</v>
      </c>
      <c r="H1407" t="s">
        <v>3840</v>
      </c>
      <c r="I1407" s="2">
        <v>14000</v>
      </c>
      <c r="J1407" t="s">
        <v>34</v>
      </c>
      <c r="K1407" t="s">
        <v>2500</v>
      </c>
    </row>
    <row r="1408" spans="1:11" x14ac:dyDescent="0.25">
      <c r="A1408" t="s">
        <v>2103</v>
      </c>
      <c r="B1408" s="3">
        <v>46305</v>
      </c>
      <c r="C1408" t="s">
        <v>645</v>
      </c>
      <c r="D1408" t="s">
        <v>612</v>
      </c>
      <c r="E1408">
        <v>30</v>
      </c>
      <c r="F1408" t="s">
        <v>2</v>
      </c>
      <c r="G1408" t="s">
        <v>55</v>
      </c>
      <c r="H1408" t="s">
        <v>3841</v>
      </c>
      <c r="I1408" s="2">
        <v>14000</v>
      </c>
      <c r="J1408" t="s">
        <v>297</v>
      </c>
      <c r="K1408" t="s">
        <v>2513</v>
      </c>
    </row>
    <row r="1409" spans="1:11" x14ac:dyDescent="0.25">
      <c r="A1409" t="s">
        <v>2104</v>
      </c>
      <c r="B1409" s="3">
        <v>46305</v>
      </c>
      <c r="C1409" t="s">
        <v>538</v>
      </c>
      <c r="D1409" t="s">
        <v>490</v>
      </c>
      <c r="E1409">
        <v>63</v>
      </c>
      <c r="F1409" t="s">
        <v>355</v>
      </c>
      <c r="G1409" t="s">
        <v>81</v>
      </c>
      <c r="H1409" t="s">
        <v>3842</v>
      </c>
      <c r="I1409" s="2">
        <v>28000</v>
      </c>
      <c r="J1409" t="s">
        <v>327</v>
      </c>
      <c r="K1409" t="s">
        <v>2503</v>
      </c>
    </row>
    <row r="1410" spans="1:11" x14ac:dyDescent="0.25">
      <c r="A1410" t="s">
        <v>2105</v>
      </c>
      <c r="B1410" s="3">
        <v>46305</v>
      </c>
      <c r="C1410" t="s">
        <v>222</v>
      </c>
      <c r="D1410" t="s">
        <v>223</v>
      </c>
      <c r="E1410">
        <v>10</v>
      </c>
      <c r="F1410" t="s">
        <v>2</v>
      </c>
      <c r="G1410" t="s">
        <v>48</v>
      </c>
      <c r="H1410" t="s">
        <v>3843</v>
      </c>
      <c r="I1410" s="2">
        <v>1150000</v>
      </c>
      <c r="J1410" t="s">
        <v>189</v>
      </c>
      <c r="K1410" t="s">
        <v>2509</v>
      </c>
    </row>
    <row r="1411" spans="1:11" x14ac:dyDescent="0.25">
      <c r="A1411" t="s">
        <v>2106</v>
      </c>
      <c r="B1411" s="3">
        <v>46305</v>
      </c>
      <c r="C1411" t="s">
        <v>156</v>
      </c>
      <c r="D1411" t="s">
        <v>15</v>
      </c>
      <c r="E1411">
        <v>56</v>
      </c>
      <c r="F1411" t="s">
        <v>2</v>
      </c>
      <c r="G1411" t="s">
        <v>36</v>
      </c>
      <c r="H1411" t="s">
        <v>3844</v>
      </c>
      <c r="I1411" s="2">
        <v>269000</v>
      </c>
      <c r="J1411" t="s">
        <v>98</v>
      </c>
      <c r="K1411" t="s">
        <v>2509</v>
      </c>
    </row>
    <row r="1412" spans="1:11" x14ac:dyDescent="0.25">
      <c r="A1412" t="s">
        <v>2107</v>
      </c>
      <c r="B1412" s="3">
        <v>46305</v>
      </c>
      <c r="C1412" t="s">
        <v>127</v>
      </c>
      <c r="D1412" t="s">
        <v>26</v>
      </c>
      <c r="E1412">
        <v>39</v>
      </c>
      <c r="F1412" t="s">
        <v>2</v>
      </c>
      <c r="G1412" t="s">
        <v>85</v>
      </c>
      <c r="H1412" t="s">
        <v>3845</v>
      </c>
      <c r="I1412" s="2">
        <v>439000</v>
      </c>
      <c r="J1412" t="s">
        <v>100</v>
      </c>
      <c r="K1412" t="s">
        <v>2513</v>
      </c>
    </row>
    <row r="1413" spans="1:11" x14ac:dyDescent="0.25">
      <c r="A1413" t="s">
        <v>2108</v>
      </c>
      <c r="B1413" s="3">
        <v>46305</v>
      </c>
      <c r="C1413" t="s">
        <v>43</v>
      </c>
      <c r="D1413" t="s">
        <v>44</v>
      </c>
      <c r="E1413">
        <v>25</v>
      </c>
      <c r="F1413" t="s">
        <v>2</v>
      </c>
      <c r="G1413" t="s">
        <v>22</v>
      </c>
      <c r="H1413" t="s">
        <v>3846</v>
      </c>
      <c r="I1413" s="2">
        <v>88000</v>
      </c>
      <c r="J1413" t="s">
        <v>45</v>
      </c>
      <c r="K1413" t="s">
        <v>2509</v>
      </c>
    </row>
    <row r="1414" spans="1:11" x14ac:dyDescent="0.25">
      <c r="A1414" t="s">
        <v>2109</v>
      </c>
      <c r="B1414" s="3">
        <v>46305</v>
      </c>
      <c r="C1414" t="s">
        <v>511</v>
      </c>
      <c r="D1414" t="s">
        <v>502</v>
      </c>
      <c r="E1414">
        <v>48</v>
      </c>
      <c r="F1414" t="s">
        <v>469</v>
      </c>
      <c r="G1414" t="s">
        <v>81</v>
      </c>
      <c r="H1414" t="s">
        <v>3699</v>
      </c>
      <c r="I1414" s="2">
        <v>76000</v>
      </c>
      <c r="J1414" t="s">
        <v>512</v>
      </c>
      <c r="K1414" t="s">
        <v>2500</v>
      </c>
    </row>
    <row r="1415" spans="1:11" x14ac:dyDescent="0.25">
      <c r="A1415" t="s">
        <v>2110</v>
      </c>
      <c r="B1415" s="3">
        <v>46305</v>
      </c>
      <c r="C1415" t="s">
        <v>333</v>
      </c>
      <c r="D1415" t="s">
        <v>223</v>
      </c>
      <c r="E1415">
        <v>41</v>
      </c>
      <c r="F1415" t="s">
        <v>2</v>
      </c>
      <c r="G1415" t="s">
        <v>55</v>
      </c>
      <c r="H1415" t="s">
        <v>3847</v>
      </c>
      <c r="I1415" s="2">
        <v>918000</v>
      </c>
      <c r="J1415" t="s">
        <v>59</v>
      </c>
      <c r="K1415" t="s">
        <v>2503</v>
      </c>
    </row>
    <row r="1416" spans="1:11" x14ac:dyDescent="0.25">
      <c r="A1416" t="s">
        <v>2111</v>
      </c>
      <c r="B1416" s="3">
        <v>46306</v>
      </c>
      <c r="C1416" t="s">
        <v>420</v>
      </c>
      <c r="D1416" t="s">
        <v>344</v>
      </c>
      <c r="E1416">
        <v>59</v>
      </c>
      <c r="F1416" t="s">
        <v>346</v>
      </c>
      <c r="G1416" t="s">
        <v>17</v>
      </c>
      <c r="H1416" t="s">
        <v>3848</v>
      </c>
      <c r="I1416" s="2">
        <v>58000</v>
      </c>
      <c r="J1416" t="s">
        <v>38</v>
      </c>
      <c r="K1416" t="s">
        <v>2509</v>
      </c>
    </row>
    <row r="1417" spans="1:11" x14ac:dyDescent="0.25">
      <c r="A1417" t="s">
        <v>2112</v>
      </c>
      <c r="B1417" s="3">
        <v>46306</v>
      </c>
      <c r="C1417" t="s">
        <v>334</v>
      </c>
      <c r="D1417" t="s">
        <v>218</v>
      </c>
      <c r="E1417">
        <v>9</v>
      </c>
      <c r="F1417" t="s">
        <v>2</v>
      </c>
      <c r="G1417" t="s">
        <v>85</v>
      </c>
      <c r="H1417" t="s">
        <v>3849</v>
      </c>
      <c r="I1417" s="2">
        <v>2544000</v>
      </c>
      <c r="J1417" t="s">
        <v>181</v>
      </c>
      <c r="K1417" t="s">
        <v>2513</v>
      </c>
    </row>
    <row r="1418" spans="1:11" x14ac:dyDescent="0.25">
      <c r="A1418" t="s">
        <v>2113</v>
      </c>
      <c r="B1418" s="3">
        <v>46306</v>
      </c>
      <c r="C1418" t="s">
        <v>685</v>
      </c>
      <c r="D1418" t="s">
        <v>597</v>
      </c>
      <c r="E1418">
        <v>10</v>
      </c>
      <c r="F1418" t="s">
        <v>355</v>
      </c>
      <c r="G1418" t="s">
        <v>22</v>
      </c>
      <c r="H1418" t="s">
        <v>3850</v>
      </c>
      <c r="I1418" s="2">
        <v>49000</v>
      </c>
      <c r="J1418" t="s">
        <v>166</v>
      </c>
      <c r="K1418" t="s">
        <v>2509</v>
      </c>
    </row>
    <row r="1419" spans="1:11" x14ac:dyDescent="0.25">
      <c r="A1419" t="s">
        <v>2114</v>
      </c>
      <c r="B1419" s="3">
        <v>46306</v>
      </c>
      <c r="C1419" t="s">
        <v>685</v>
      </c>
      <c r="D1419" t="s">
        <v>597</v>
      </c>
      <c r="E1419">
        <v>19</v>
      </c>
      <c r="F1419" t="s">
        <v>355</v>
      </c>
      <c r="G1419" t="s">
        <v>22</v>
      </c>
      <c r="H1419" t="s">
        <v>3851</v>
      </c>
      <c r="I1419" s="2">
        <v>49000</v>
      </c>
      <c r="J1419" t="s">
        <v>166</v>
      </c>
      <c r="K1419" t="s">
        <v>2503</v>
      </c>
    </row>
    <row r="1420" spans="1:11" x14ac:dyDescent="0.25">
      <c r="A1420" t="s">
        <v>2115</v>
      </c>
      <c r="B1420" s="3">
        <v>46306</v>
      </c>
      <c r="C1420" t="s">
        <v>363</v>
      </c>
      <c r="D1420" t="s">
        <v>364</v>
      </c>
      <c r="E1420">
        <v>35</v>
      </c>
      <c r="F1420" t="s">
        <v>358</v>
      </c>
      <c r="G1420" t="s">
        <v>81</v>
      </c>
      <c r="H1420" t="s">
        <v>3852</v>
      </c>
      <c r="I1420" s="2">
        <v>18000</v>
      </c>
      <c r="J1420" t="s">
        <v>57</v>
      </c>
      <c r="K1420" t="s">
        <v>2513</v>
      </c>
    </row>
    <row r="1421" spans="1:11" x14ac:dyDescent="0.25">
      <c r="A1421" t="s">
        <v>2116</v>
      </c>
      <c r="B1421" s="3">
        <v>46306</v>
      </c>
      <c r="C1421" t="s">
        <v>307</v>
      </c>
      <c r="D1421" t="s">
        <v>210</v>
      </c>
      <c r="E1421">
        <v>23</v>
      </c>
      <c r="F1421" t="s">
        <v>2</v>
      </c>
      <c r="G1421" t="s">
        <v>61</v>
      </c>
      <c r="H1421" t="s">
        <v>3853</v>
      </c>
      <c r="I1421" s="2">
        <v>8538000</v>
      </c>
      <c r="J1421" t="s">
        <v>57</v>
      </c>
      <c r="K1421" t="s">
        <v>2500</v>
      </c>
    </row>
    <row r="1422" spans="1:11" x14ac:dyDescent="0.25">
      <c r="A1422" t="s">
        <v>2117</v>
      </c>
      <c r="B1422" s="3">
        <v>46306</v>
      </c>
      <c r="C1422" t="s">
        <v>284</v>
      </c>
      <c r="D1422" t="s">
        <v>213</v>
      </c>
      <c r="E1422">
        <v>61</v>
      </c>
      <c r="F1422" t="s">
        <v>2</v>
      </c>
      <c r="G1422" t="s">
        <v>85</v>
      </c>
      <c r="H1422" t="s">
        <v>3854</v>
      </c>
      <c r="I1422" s="2">
        <v>2006000</v>
      </c>
      <c r="J1422" t="s">
        <v>108</v>
      </c>
      <c r="K1422" t="s">
        <v>2503</v>
      </c>
    </row>
    <row r="1423" spans="1:11" x14ac:dyDescent="0.25">
      <c r="A1423" t="s">
        <v>2118</v>
      </c>
      <c r="B1423" s="3">
        <v>46306</v>
      </c>
      <c r="C1423" t="s">
        <v>644</v>
      </c>
      <c r="D1423" t="s">
        <v>629</v>
      </c>
      <c r="E1423">
        <v>69</v>
      </c>
      <c r="F1423" t="s">
        <v>355</v>
      </c>
      <c r="G1423" t="s">
        <v>61</v>
      </c>
      <c r="H1423" t="s">
        <v>3855</v>
      </c>
      <c r="I1423" s="2">
        <v>36000</v>
      </c>
      <c r="J1423" t="s">
        <v>189</v>
      </c>
      <c r="K1423" t="s">
        <v>2500</v>
      </c>
    </row>
    <row r="1424" spans="1:11" x14ac:dyDescent="0.25">
      <c r="A1424" t="s">
        <v>2119</v>
      </c>
      <c r="B1424" s="3">
        <v>46306</v>
      </c>
      <c r="C1424" t="s">
        <v>567</v>
      </c>
      <c r="D1424" t="s">
        <v>502</v>
      </c>
      <c r="E1424">
        <v>21</v>
      </c>
      <c r="F1424" t="s">
        <v>469</v>
      </c>
      <c r="G1424" t="s">
        <v>61</v>
      </c>
      <c r="H1424" t="s">
        <v>3856</v>
      </c>
      <c r="I1424" s="2">
        <v>63000</v>
      </c>
      <c r="J1424" t="s">
        <v>152</v>
      </c>
      <c r="K1424" t="s">
        <v>2500</v>
      </c>
    </row>
    <row r="1425" spans="1:11" x14ac:dyDescent="0.25">
      <c r="A1425" t="s">
        <v>2120</v>
      </c>
      <c r="B1425" s="3">
        <v>46306</v>
      </c>
      <c r="C1425" t="s">
        <v>451</v>
      </c>
      <c r="D1425" t="s">
        <v>351</v>
      </c>
      <c r="E1425">
        <v>25</v>
      </c>
      <c r="F1425" t="s">
        <v>2</v>
      </c>
      <c r="G1425" t="s">
        <v>61</v>
      </c>
      <c r="H1425" t="s">
        <v>3857</v>
      </c>
      <c r="I1425" s="2">
        <v>451000</v>
      </c>
      <c r="J1425" t="s">
        <v>185</v>
      </c>
      <c r="K1425" t="s">
        <v>2509</v>
      </c>
    </row>
    <row r="1426" spans="1:11" x14ac:dyDescent="0.25">
      <c r="A1426" t="s">
        <v>2121</v>
      </c>
      <c r="B1426" s="3">
        <v>46306</v>
      </c>
      <c r="C1426" t="s">
        <v>154</v>
      </c>
      <c r="D1426" t="s">
        <v>26</v>
      </c>
      <c r="E1426">
        <v>50</v>
      </c>
      <c r="F1426" t="s">
        <v>2</v>
      </c>
      <c r="G1426" t="s">
        <v>32</v>
      </c>
      <c r="H1426" t="s">
        <v>3626</v>
      </c>
      <c r="I1426" s="2">
        <v>366000</v>
      </c>
      <c r="J1426" t="s">
        <v>155</v>
      </c>
      <c r="K1426" t="s">
        <v>2509</v>
      </c>
    </row>
    <row r="1427" spans="1:11" x14ac:dyDescent="0.25">
      <c r="A1427" t="s">
        <v>2122</v>
      </c>
      <c r="B1427" s="3">
        <v>46306</v>
      </c>
      <c r="C1427" t="s">
        <v>538</v>
      </c>
      <c r="D1427" t="s">
        <v>490</v>
      </c>
      <c r="E1427">
        <v>30</v>
      </c>
      <c r="F1427" t="s">
        <v>355</v>
      </c>
      <c r="G1427" t="s">
        <v>81</v>
      </c>
      <c r="H1427" t="s">
        <v>3858</v>
      </c>
      <c r="I1427" s="2">
        <v>28000</v>
      </c>
      <c r="J1427" t="s">
        <v>327</v>
      </c>
      <c r="K1427" t="s">
        <v>2503</v>
      </c>
    </row>
    <row r="1428" spans="1:11" x14ac:dyDescent="0.25">
      <c r="A1428" t="s">
        <v>2123</v>
      </c>
      <c r="B1428" s="3">
        <v>46306</v>
      </c>
      <c r="C1428" t="s">
        <v>672</v>
      </c>
      <c r="D1428" t="s">
        <v>612</v>
      </c>
      <c r="E1428">
        <v>69</v>
      </c>
      <c r="F1428" t="s">
        <v>2</v>
      </c>
      <c r="G1428" t="s">
        <v>40</v>
      </c>
      <c r="H1428" t="s">
        <v>3859</v>
      </c>
      <c r="I1428" s="2">
        <v>33000</v>
      </c>
      <c r="J1428" t="s">
        <v>147</v>
      </c>
      <c r="K1428" t="s">
        <v>2500</v>
      </c>
    </row>
    <row r="1429" spans="1:11" x14ac:dyDescent="0.25">
      <c r="A1429" t="s">
        <v>2124</v>
      </c>
      <c r="B1429" s="3">
        <v>46306</v>
      </c>
      <c r="C1429" t="s">
        <v>572</v>
      </c>
      <c r="D1429" t="s">
        <v>490</v>
      </c>
      <c r="E1429">
        <v>46</v>
      </c>
      <c r="F1429" t="s">
        <v>355</v>
      </c>
      <c r="G1429" t="s">
        <v>17</v>
      </c>
      <c r="H1429" t="s">
        <v>3860</v>
      </c>
      <c r="I1429" s="2">
        <v>13000</v>
      </c>
      <c r="J1429" t="s">
        <v>27</v>
      </c>
      <c r="K1429" t="s">
        <v>2509</v>
      </c>
    </row>
    <row r="1430" spans="1:11" x14ac:dyDescent="0.25">
      <c r="A1430" t="s">
        <v>2125</v>
      </c>
      <c r="B1430" s="3">
        <v>46306</v>
      </c>
      <c r="C1430" t="s">
        <v>659</v>
      </c>
      <c r="D1430" t="s">
        <v>629</v>
      </c>
      <c r="E1430">
        <v>48</v>
      </c>
      <c r="F1430" t="s">
        <v>355</v>
      </c>
      <c r="G1430" t="s">
        <v>17</v>
      </c>
      <c r="H1430" t="s">
        <v>3861</v>
      </c>
      <c r="I1430" s="2">
        <v>28000</v>
      </c>
      <c r="J1430" t="s">
        <v>67</v>
      </c>
      <c r="K1430" t="s">
        <v>2513</v>
      </c>
    </row>
    <row r="1431" spans="1:11" x14ac:dyDescent="0.25">
      <c r="A1431" t="s">
        <v>2126</v>
      </c>
      <c r="B1431" s="3">
        <v>46306</v>
      </c>
      <c r="C1431" t="s">
        <v>135</v>
      </c>
      <c r="D1431" t="s">
        <v>44</v>
      </c>
      <c r="E1431">
        <v>56</v>
      </c>
      <c r="F1431" t="s">
        <v>2</v>
      </c>
      <c r="G1431" t="s">
        <v>55</v>
      </c>
      <c r="H1431" t="s">
        <v>3862</v>
      </c>
      <c r="I1431" s="2">
        <v>31000</v>
      </c>
      <c r="J1431" t="s">
        <v>73</v>
      </c>
      <c r="K1431" t="s">
        <v>2509</v>
      </c>
    </row>
    <row r="1432" spans="1:11" x14ac:dyDescent="0.25">
      <c r="A1432" t="s">
        <v>2127</v>
      </c>
      <c r="B1432" s="3">
        <v>46306</v>
      </c>
      <c r="C1432" t="s">
        <v>486</v>
      </c>
      <c r="D1432" t="s">
        <v>479</v>
      </c>
      <c r="E1432">
        <v>4</v>
      </c>
      <c r="F1432" t="s">
        <v>469</v>
      </c>
      <c r="G1432" t="s">
        <v>61</v>
      </c>
      <c r="H1432" t="s">
        <v>3863</v>
      </c>
      <c r="I1432" s="2">
        <v>34000</v>
      </c>
      <c r="J1432" t="s">
        <v>52</v>
      </c>
      <c r="K1432" t="s">
        <v>2503</v>
      </c>
    </row>
    <row r="1433" spans="1:11" x14ac:dyDescent="0.25">
      <c r="A1433" t="s">
        <v>2128</v>
      </c>
      <c r="B1433" s="3">
        <v>46306</v>
      </c>
      <c r="C1433" t="s">
        <v>623</v>
      </c>
      <c r="D1433" t="s">
        <v>594</v>
      </c>
      <c r="E1433">
        <v>69</v>
      </c>
      <c r="F1433" t="s">
        <v>595</v>
      </c>
      <c r="G1433" t="s">
        <v>40</v>
      </c>
      <c r="H1433" t="s">
        <v>3864</v>
      </c>
      <c r="I1433" s="2">
        <v>10000</v>
      </c>
      <c r="J1433" t="s">
        <v>294</v>
      </c>
      <c r="K1433" t="s">
        <v>2500</v>
      </c>
    </row>
    <row r="1434" spans="1:11" x14ac:dyDescent="0.25">
      <c r="A1434" t="s">
        <v>2129</v>
      </c>
      <c r="B1434" s="3">
        <v>46306</v>
      </c>
      <c r="C1434" t="s">
        <v>321</v>
      </c>
      <c r="D1434" t="s">
        <v>234</v>
      </c>
      <c r="E1434">
        <v>38</v>
      </c>
      <c r="F1434" t="s">
        <v>2</v>
      </c>
      <c r="G1434" t="s">
        <v>40</v>
      </c>
      <c r="H1434" t="s">
        <v>3865</v>
      </c>
      <c r="I1434" s="2">
        <v>355000</v>
      </c>
      <c r="J1434" t="s">
        <v>230</v>
      </c>
      <c r="K1434" t="s">
        <v>2503</v>
      </c>
    </row>
    <row r="1435" spans="1:11" x14ac:dyDescent="0.25">
      <c r="A1435" t="s">
        <v>2130</v>
      </c>
      <c r="B1435" s="3">
        <v>46306</v>
      </c>
      <c r="C1435" t="s">
        <v>335</v>
      </c>
      <c r="D1435" t="s">
        <v>218</v>
      </c>
      <c r="E1435">
        <v>69</v>
      </c>
      <c r="F1435" t="s">
        <v>2</v>
      </c>
      <c r="G1435" t="s">
        <v>55</v>
      </c>
      <c r="H1435" t="s">
        <v>3866</v>
      </c>
      <c r="I1435" s="2">
        <v>2212000</v>
      </c>
      <c r="J1435" t="s">
        <v>147</v>
      </c>
      <c r="K1435" t="s">
        <v>2509</v>
      </c>
    </row>
    <row r="1436" spans="1:11" x14ac:dyDescent="0.25">
      <c r="A1436" t="s">
        <v>2131</v>
      </c>
      <c r="B1436" s="3">
        <v>46306</v>
      </c>
      <c r="C1436" t="s">
        <v>319</v>
      </c>
      <c r="D1436" t="s">
        <v>234</v>
      </c>
      <c r="E1436">
        <v>28</v>
      </c>
      <c r="F1436" t="s">
        <v>2</v>
      </c>
      <c r="G1436" t="s">
        <v>81</v>
      </c>
      <c r="H1436" t="s">
        <v>3867</v>
      </c>
      <c r="I1436" s="2">
        <v>393000</v>
      </c>
      <c r="J1436" t="s">
        <v>287</v>
      </c>
      <c r="K1436" t="s">
        <v>2503</v>
      </c>
    </row>
    <row r="1437" spans="1:11" x14ac:dyDescent="0.25">
      <c r="A1437" t="s">
        <v>2132</v>
      </c>
      <c r="B1437" s="3">
        <v>46306</v>
      </c>
      <c r="C1437" t="s">
        <v>111</v>
      </c>
      <c r="D1437" t="s">
        <v>66</v>
      </c>
      <c r="E1437">
        <v>35</v>
      </c>
      <c r="F1437" t="s">
        <v>2</v>
      </c>
      <c r="G1437" t="s">
        <v>48</v>
      </c>
      <c r="H1437" t="s">
        <v>3868</v>
      </c>
      <c r="I1437" s="2">
        <v>174000</v>
      </c>
      <c r="J1437" t="s">
        <v>104</v>
      </c>
      <c r="K1437" t="s">
        <v>2503</v>
      </c>
    </row>
    <row r="1438" spans="1:11" x14ac:dyDescent="0.25">
      <c r="A1438" t="s">
        <v>2133</v>
      </c>
      <c r="B1438" s="3">
        <v>46306</v>
      </c>
      <c r="C1438" t="s">
        <v>159</v>
      </c>
      <c r="D1438" t="s">
        <v>29</v>
      </c>
      <c r="E1438">
        <v>67</v>
      </c>
      <c r="F1438" t="s">
        <v>2</v>
      </c>
      <c r="G1438" t="s">
        <v>48</v>
      </c>
      <c r="H1438" t="s">
        <v>3869</v>
      </c>
      <c r="I1438" s="2">
        <v>169000</v>
      </c>
      <c r="J1438" t="s">
        <v>73</v>
      </c>
      <c r="K1438" t="s">
        <v>2503</v>
      </c>
    </row>
    <row r="1439" spans="1:11" x14ac:dyDescent="0.25">
      <c r="A1439" t="s">
        <v>2134</v>
      </c>
      <c r="B1439" s="3">
        <v>46306</v>
      </c>
      <c r="C1439" t="s">
        <v>483</v>
      </c>
      <c r="D1439" t="s">
        <v>484</v>
      </c>
      <c r="E1439">
        <v>43</v>
      </c>
      <c r="F1439" t="s">
        <v>469</v>
      </c>
      <c r="G1439" t="s">
        <v>61</v>
      </c>
      <c r="H1439" t="s">
        <v>3870</v>
      </c>
      <c r="I1439" s="2">
        <v>80000</v>
      </c>
      <c r="J1439" t="s">
        <v>368</v>
      </c>
      <c r="K1439" t="s">
        <v>2513</v>
      </c>
    </row>
    <row r="1440" spans="1:11" x14ac:dyDescent="0.25">
      <c r="A1440" t="s">
        <v>2135</v>
      </c>
      <c r="B1440" s="3">
        <v>46306</v>
      </c>
      <c r="C1440" t="s">
        <v>456</v>
      </c>
      <c r="D1440" t="s">
        <v>351</v>
      </c>
      <c r="E1440">
        <v>23</v>
      </c>
      <c r="F1440" t="s">
        <v>2</v>
      </c>
      <c r="G1440" t="s">
        <v>32</v>
      </c>
      <c r="H1440" t="s">
        <v>3871</v>
      </c>
      <c r="I1440" s="2">
        <v>327000</v>
      </c>
      <c r="J1440" t="s">
        <v>119</v>
      </c>
      <c r="K1440" t="s">
        <v>2500</v>
      </c>
    </row>
    <row r="1441" spans="1:11" x14ac:dyDescent="0.25">
      <c r="A1441" t="s">
        <v>2136</v>
      </c>
      <c r="B1441" s="3">
        <v>46306</v>
      </c>
      <c r="C1441" t="s">
        <v>646</v>
      </c>
      <c r="D1441" t="s">
        <v>599</v>
      </c>
      <c r="E1441">
        <v>12</v>
      </c>
      <c r="F1441" t="s">
        <v>2</v>
      </c>
      <c r="G1441" t="s">
        <v>17</v>
      </c>
      <c r="H1441" t="s">
        <v>3872</v>
      </c>
      <c r="I1441" s="2">
        <v>91000</v>
      </c>
      <c r="J1441" t="s">
        <v>294</v>
      </c>
      <c r="K1441" t="s">
        <v>2513</v>
      </c>
    </row>
    <row r="1442" spans="1:11" x14ac:dyDescent="0.25">
      <c r="A1442" t="s">
        <v>2137</v>
      </c>
      <c r="B1442" s="3">
        <v>46306</v>
      </c>
      <c r="C1442" t="s">
        <v>187</v>
      </c>
      <c r="D1442" t="s">
        <v>54</v>
      </c>
      <c r="E1442">
        <v>16</v>
      </c>
      <c r="F1442" t="s">
        <v>2</v>
      </c>
      <c r="G1442" t="s">
        <v>36</v>
      </c>
      <c r="H1442" t="s">
        <v>3873</v>
      </c>
      <c r="I1442" s="2">
        <v>122000</v>
      </c>
      <c r="J1442" t="s">
        <v>110</v>
      </c>
      <c r="K1442" t="s">
        <v>2503</v>
      </c>
    </row>
    <row r="1443" spans="1:11" x14ac:dyDescent="0.25">
      <c r="A1443" t="s">
        <v>2138</v>
      </c>
      <c r="B1443" s="3">
        <v>46306</v>
      </c>
      <c r="C1443" t="s">
        <v>591</v>
      </c>
      <c r="D1443" t="s">
        <v>585</v>
      </c>
      <c r="E1443">
        <v>49</v>
      </c>
      <c r="F1443" t="s">
        <v>355</v>
      </c>
      <c r="G1443" t="s">
        <v>55</v>
      </c>
      <c r="H1443" t="s">
        <v>3874</v>
      </c>
      <c r="I1443" s="2">
        <v>17000</v>
      </c>
      <c r="J1443" t="s">
        <v>368</v>
      </c>
      <c r="K1443" t="s">
        <v>2500</v>
      </c>
    </row>
    <row r="1444" spans="1:11" x14ac:dyDescent="0.25">
      <c r="A1444" t="s">
        <v>2139</v>
      </c>
      <c r="B1444" s="3">
        <v>46306</v>
      </c>
      <c r="C1444" t="s">
        <v>139</v>
      </c>
      <c r="D1444" t="s">
        <v>44</v>
      </c>
      <c r="E1444">
        <v>59</v>
      </c>
      <c r="F1444" t="s">
        <v>2</v>
      </c>
      <c r="G1444" t="s">
        <v>81</v>
      </c>
      <c r="H1444" t="s">
        <v>3875</v>
      </c>
      <c r="I1444" s="2">
        <v>86000</v>
      </c>
      <c r="J1444" t="s">
        <v>140</v>
      </c>
      <c r="K1444" t="s">
        <v>2503</v>
      </c>
    </row>
    <row r="1445" spans="1:11" x14ac:dyDescent="0.25">
      <c r="A1445" t="s">
        <v>2140</v>
      </c>
      <c r="B1445" s="3">
        <v>46306</v>
      </c>
      <c r="C1445" t="s">
        <v>689</v>
      </c>
      <c r="D1445" t="s">
        <v>589</v>
      </c>
      <c r="E1445">
        <v>26</v>
      </c>
      <c r="F1445" t="s">
        <v>469</v>
      </c>
      <c r="G1445" t="s">
        <v>48</v>
      </c>
      <c r="H1445" t="s">
        <v>3876</v>
      </c>
      <c r="I1445" s="2">
        <v>7000</v>
      </c>
      <c r="J1445" t="s">
        <v>45</v>
      </c>
      <c r="K1445" t="s">
        <v>2509</v>
      </c>
    </row>
    <row r="1446" spans="1:11" x14ac:dyDescent="0.25">
      <c r="A1446" t="s">
        <v>2141</v>
      </c>
      <c r="B1446" s="3">
        <v>46306</v>
      </c>
      <c r="C1446" t="s">
        <v>673</v>
      </c>
      <c r="D1446" t="s">
        <v>594</v>
      </c>
      <c r="E1446">
        <v>2</v>
      </c>
      <c r="F1446" t="s">
        <v>595</v>
      </c>
      <c r="G1446" t="s">
        <v>40</v>
      </c>
      <c r="H1446" t="s">
        <v>3877</v>
      </c>
      <c r="I1446" s="2">
        <v>14000</v>
      </c>
      <c r="J1446" t="s">
        <v>87</v>
      </c>
      <c r="K1446" t="s">
        <v>2500</v>
      </c>
    </row>
    <row r="1447" spans="1:11" x14ac:dyDescent="0.25">
      <c r="A1447" t="s">
        <v>2142</v>
      </c>
      <c r="B1447" s="3">
        <v>46306</v>
      </c>
      <c r="C1447" t="s">
        <v>590</v>
      </c>
      <c r="D1447" t="s">
        <v>585</v>
      </c>
      <c r="E1447">
        <v>22</v>
      </c>
      <c r="F1447" t="s">
        <v>355</v>
      </c>
      <c r="G1447" t="s">
        <v>32</v>
      </c>
      <c r="H1447" t="s">
        <v>3878</v>
      </c>
      <c r="I1447" s="2">
        <v>27000</v>
      </c>
      <c r="J1447" t="s">
        <v>246</v>
      </c>
      <c r="K1447" t="s">
        <v>2500</v>
      </c>
    </row>
    <row r="1448" spans="1:11" x14ac:dyDescent="0.25">
      <c r="A1448" t="s">
        <v>2143</v>
      </c>
      <c r="B1448" s="3">
        <v>46306</v>
      </c>
      <c r="C1448" t="s">
        <v>555</v>
      </c>
      <c r="D1448" t="s">
        <v>502</v>
      </c>
      <c r="E1448">
        <v>10</v>
      </c>
      <c r="F1448" t="s">
        <v>469</v>
      </c>
      <c r="G1448" t="s">
        <v>40</v>
      </c>
      <c r="H1448" t="s">
        <v>3879</v>
      </c>
      <c r="I1448" s="2">
        <v>115000</v>
      </c>
      <c r="J1448" t="s">
        <v>124</v>
      </c>
      <c r="K1448" t="s">
        <v>2500</v>
      </c>
    </row>
    <row r="1449" spans="1:11" x14ac:dyDescent="0.25">
      <c r="A1449" t="s">
        <v>2144</v>
      </c>
      <c r="B1449" s="3">
        <v>46306</v>
      </c>
      <c r="C1449" t="s">
        <v>611</v>
      </c>
      <c r="D1449" t="s">
        <v>612</v>
      </c>
      <c r="E1449">
        <v>51</v>
      </c>
      <c r="F1449" t="s">
        <v>2</v>
      </c>
      <c r="G1449" t="s">
        <v>85</v>
      </c>
      <c r="H1449" t="s">
        <v>3774</v>
      </c>
      <c r="I1449" s="2">
        <v>57000</v>
      </c>
      <c r="J1449" t="s">
        <v>305</v>
      </c>
      <c r="K1449" t="s">
        <v>2503</v>
      </c>
    </row>
    <row r="1450" spans="1:11" x14ac:dyDescent="0.25">
      <c r="A1450" t="s">
        <v>2145</v>
      </c>
      <c r="B1450" s="3">
        <v>46306</v>
      </c>
      <c r="C1450" t="s">
        <v>557</v>
      </c>
      <c r="D1450" t="s">
        <v>474</v>
      </c>
      <c r="E1450">
        <v>51</v>
      </c>
      <c r="F1450" t="s">
        <v>2</v>
      </c>
      <c r="G1450" t="s">
        <v>22</v>
      </c>
      <c r="H1450" t="s">
        <v>3880</v>
      </c>
      <c r="I1450" s="2">
        <v>2000</v>
      </c>
      <c r="J1450" t="s">
        <v>297</v>
      </c>
      <c r="K1450" t="s">
        <v>2503</v>
      </c>
    </row>
    <row r="1451" spans="1:11" x14ac:dyDescent="0.25">
      <c r="A1451" t="s">
        <v>2146</v>
      </c>
      <c r="B1451" s="3">
        <v>46306</v>
      </c>
      <c r="C1451" t="s">
        <v>122</v>
      </c>
      <c r="D1451" t="s">
        <v>54</v>
      </c>
      <c r="E1451">
        <v>57</v>
      </c>
      <c r="F1451" t="s">
        <v>2</v>
      </c>
      <c r="G1451" t="s">
        <v>17</v>
      </c>
      <c r="H1451" t="s">
        <v>3881</v>
      </c>
      <c r="I1451" s="2">
        <v>169000</v>
      </c>
      <c r="J1451" t="s">
        <v>98</v>
      </c>
      <c r="K1451" t="s">
        <v>2513</v>
      </c>
    </row>
    <row r="1452" spans="1:11" x14ac:dyDescent="0.25">
      <c r="A1452" t="s">
        <v>2147</v>
      </c>
      <c r="B1452" s="3">
        <v>46307</v>
      </c>
      <c r="C1452" t="s">
        <v>298</v>
      </c>
      <c r="D1452" t="s">
        <v>216</v>
      </c>
      <c r="E1452">
        <v>38</v>
      </c>
      <c r="F1452" t="s">
        <v>2</v>
      </c>
      <c r="G1452" t="s">
        <v>22</v>
      </c>
      <c r="H1452" t="s">
        <v>3882</v>
      </c>
      <c r="I1452" s="2">
        <v>308000</v>
      </c>
      <c r="J1452" t="s">
        <v>161</v>
      </c>
      <c r="K1452" t="s">
        <v>2509</v>
      </c>
    </row>
    <row r="1453" spans="1:11" x14ac:dyDescent="0.25">
      <c r="A1453" t="s">
        <v>2148</v>
      </c>
      <c r="B1453" s="3">
        <v>46307</v>
      </c>
      <c r="C1453" t="s">
        <v>451</v>
      </c>
      <c r="D1453" t="s">
        <v>351</v>
      </c>
      <c r="E1453">
        <v>37</v>
      </c>
      <c r="F1453" t="s">
        <v>2</v>
      </c>
      <c r="G1453" t="s">
        <v>61</v>
      </c>
      <c r="H1453" t="s">
        <v>3883</v>
      </c>
      <c r="I1453" s="2">
        <v>451000</v>
      </c>
      <c r="J1453" t="s">
        <v>185</v>
      </c>
      <c r="K1453" t="s">
        <v>2500</v>
      </c>
    </row>
    <row r="1454" spans="1:11" x14ac:dyDescent="0.25">
      <c r="A1454" t="s">
        <v>2149</v>
      </c>
      <c r="B1454" s="3">
        <v>46307</v>
      </c>
      <c r="C1454" t="s">
        <v>367</v>
      </c>
      <c r="D1454" t="s">
        <v>344</v>
      </c>
      <c r="E1454">
        <v>51</v>
      </c>
      <c r="F1454" t="s">
        <v>346</v>
      </c>
      <c r="G1454" t="s">
        <v>32</v>
      </c>
      <c r="H1454" t="s">
        <v>3884</v>
      </c>
      <c r="I1454" s="2">
        <v>67000</v>
      </c>
      <c r="J1454" t="s">
        <v>368</v>
      </c>
      <c r="K1454" t="s">
        <v>2503</v>
      </c>
    </row>
    <row r="1455" spans="1:11" x14ac:dyDescent="0.25">
      <c r="A1455" t="s">
        <v>2150</v>
      </c>
      <c r="B1455" s="3">
        <v>46307</v>
      </c>
      <c r="C1455" t="s">
        <v>407</v>
      </c>
      <c r="D1455" t="s">
        <v>344</v>
      </c>
      <c r="E1455">
        <v>19</v>
      </c>
      <c r="F1455" t="s">
        <v>346</v>
      </c>
      <c r="G1455" t="s">
        <v>81</v>
      </c>
      <c r="H1455" t="s">
        <v>3885</v>
      </c>
      <c r="I1455" s="2">
        <v>58000</v>
      </c>
      <c r="J1455" t="s">
        <v>30</v>
      </c>
      <c r="K1455" t="s">
        <v>2509</v>
      </c>
    </row>
    <row r="1456" spans="1:11" x14ac:dyDescent="0.25">
      <c r="A1456" t="s">
        <v>2151</v>
      </c>
      <c r="B1456" s="3">
        <v>46307</v>
      </c>
      <c r="C1456" t="s">
        <v>244</v>
      </c>
      <c r="D1456" t="s">
        <v>234</v>
      </c>
      <c r="E1456">
        <v>36</v>
      </c>
      <c r="F1456" t="s">
        <v>2</v>
      </c>
      <c r="G1456" t="s">
        <v>85</v>
      </c>
      <c r="H1456" t="s">
        <v>3886</v>
      </c>
      <c r="I1456" s="2">
        <v>1621000</v>
      </c>
      <c r="J1456" t="s">
        <v>30</v>
      </c>
      <c r="K1456" t="s">
        <v>2509</v>
      </c>
    </row>
    <row r="1457" spans="1:11" x14ac:dyDescent="0.25">
      <c r="A1457" t="s">
        <v>2152</v>
      </c>
      <c r="B1457" s="3">
        <v>46307</v>
      </c>
      <c r="C1457" t="s">
        <v>275</v>
      </c>
      <c r="D1457" t="s">
        <v>218</v>
      </c>
      <c r="E1457">
        <v>69</v>
      </c>
      <c r="F1457" t="s">
        <v>2</v>
      </c>
      <c r="G1457" t="s">
        <v>55</v>
      </c>
      <c r="H1457" t="s">
        <v>3887</v>
      </c>
      <c r="I1457" s="2">
        <v>1530000</v>
      </c>
      <c r="J1457" t="s">
        <v>259</v>
      </c>
      <c r="K1457" t="s">
        <v>2509</v>
      </c>
    </row>
    <row r="1458" spans="1:11" x14ac:dyDescent="0.25">
      <c r="A1458" t="s">
        <v>2153</v>
      </c>
      <c r="B1458" s="3">
        <v>46307</v>
      </c>
      <c r="C1458" t="s">
        <v>466</v>
      </c>
      <c r="D1458" t="s">
        <v>467</v>
      </c>
      <c r="E1458">
        <v>25</v>
      </c>
      <c r="F1458" t="s">
        <v>469</v>
      </c>
      <c r="G1458" t="s">
        <v>40</v>
      </c>
      <c r="H1458" t="s">
        <v>3888</v>
      </c>
      <c r="I1458" s="2">
        <v>45000</v>
      </c>
      <c r="J1458" t="s">
        <v>106</v>
      </c>
      <c r="K1458" t="s">
        <v>2509</v>
      </c>
    </row>
    <row r="1459" spans="1:11" x14ac:dyDescent="0.25">
      <c r="A1459" t="s">
        <v>2154</v>
      </c>
      <c r="B1459" s="3">
        <v>46307</v>
      </c>
      <c r="C1459" t="s">
        <v>275</v>
      </c>
      <c r="D1459" t="s">
        <v>218</v>
      </c>
      <c r="E1459">
        <v>20</v>
      </c>
      <c r="F1459" t="s">
        <v>2</v>
      </c>
      <c r="G1459" t="s">
        <v>55</v>
      </c>
      <c r="H1459" t="s">
        <v>3889</v>
      </c>
      <c r="I1459" s="2">
        <v>1530000</v>
      </c>
      <c r="J1459" t="s">
        <v>259</v>
      </c>
      <c r="K1459" t="s">
        <v>2503</v>
      </c>
    </row>
    <row r="1460" spans="1:11" x14ac:dyDescent="0.25">
      <c r="A1460" t="s">
        <v>2155</v>
      </c>
      <c r="B1460" s="3">
        <v>46307</v>
      </c>
      <c r="C1460" t="s">
        <v>388</v>
      </c>
      <c r="D1460" t="s">
        <v>351</v>
      </c>
      <c r="E1460">
        <v>27</v>
      </c>
      <c r="F1460" t="s">
        <v>2</v>
      </c>
      <c r="G1460" t="s">
        <v>32</v>
      </c>
      <c r="H1460" t="s">
        <v>3890</v>
      </c>
      <c r="I1460" s="2">
        <v>233000</v>
      </c>
      <c r="J1460" t="s">
        <v>147</v>
      </c>
      <c r="K1460" t="s">
        <v>2509</v>
      </c>
    </row>
    <row r="1461" spans="1:11" x14ac:dyDescent="0.25">
      <c r="A1461" t="s">
        <v>2156</v>
      </c>
      <c r="B1461" s="3">
        <v>46307</v>
      </c>
      <c r="C1461" t="s">
        <v>556</v>
      </c>
      <c r="D1461" t="s">
        <v>474</v>
      </c>
      <c r="E1461">
        <v>2</v>
      </c>
      <c r="F1461" t="s">
        <v>2</v>
      </c>
      <c r="G1461" t="s">
        <v>55</v>
      </c>
      <c r="H1461" t="s">
        <v>3891</v>
      </c>
      <c r="I1461" s="2">
        <v>11000</v>
      </c>
      <c r="J1461" t="s">
        <v>45</v>
      </c>
      <c r="K1461" t="s">
        <v>2500</v>
      </c>
    </row>
    <row r="1462" spans="1:11" x14ac:dyDescent="0.25">
      <c r="A1462" t="s">
        <v>2157</v>
      </c>
      <c r="B1462" s="3">
        <v>46307</v>
      </c>
      <c r="C1462" t="s">
        <v>398</v>
      </c>
      <c r="D1462" t="s">
        <v>344</v>
      </c>
      <c r="E1462">
        <v>58</v>
      </c>
      <c r="F1462" t="s">
        <v>346</v>
      </c>
      <c r="G1462" t="s">
        <v>17</v>
      </c>
      <c r="H1462" t="s">
        <v>3892</v>
      </c>
      <c r="I1462" s="2">
        <v>66000</v>
      </c>
      <c r="J1462" t="s">
        <v>108</v>
      </c>
      <c r="K1462" t="s">
        <v>2500</v>
      </c>
    </row>
    <row r="1463" spans="1:11" x14ac:dyDescent="0.25">
      <c r="A1463" t="s">
        <v>2158</v>
      </c>
      <c r="B1463" s="3">
        <v>46307</v>
      </c>
      <c r="C1463" t="s">
        <v>192</v>
      </c>
      <c r="D1463" t="s">
        <v>1</v>
      </c>
      <c r="E1463">
        <v>20</v>
      </c>
      <c r="F1463" t="s">
        <v>2</v>
      </c>
      <c r="G1463" t="s">
        <v>55</v>
      </c>
      <c r="H1463" t="s">
        <v>3893</v>
      </c>
      <c r="I1463" s="2">
        <v>55000</v>
      </c>
      <c r="J1463" t="s">
        <v>193</v>
      </c>
      <c r="K1463" t="s">
        <v>2503</v>
      </c>
    </row>
    <row r="1464" spans="1:11" x14ac:dyDescent="0.25">
      <c r="A1464" t="s">
        <v>2159</v>
      </c>
      <c r="B1464" s="3">
        <v>46307</v>
      </c>
      <c r="C1464" t="s">
        <v>655</v>
      </c>
      <c r="D1464" t="s">
        <v>597</v>
      </c>
      <c r="E1464">
        <v>57</v>
      </c>
      <c r="F1464" t="s">
        <v>355</v>
      </c>
      <c r="G1464" t="s">
        <v>61</v>
      </c>
      <c r="H1464" t="s">
        <v>3894</v>
      </c>
      <c r="I1464" s="2">
        <v>55000</v>
      </c>
      <c r="J1464" t="s">
        <v>289</v>
      </c>
      <c r="K1464" t="s">
        <v>2500</v>
      </c>
    </row>
    <row r="1465" spans="1:11" x14ac:dyDescent="0.25">
      <c r="A1465" t="s">
        <v>2160</v>
      </c>
      <c r="B1465" s="3">
        <v>46307</v>
      </c>
      <c r="C1465" t="s">
        <v>544</v>
      </c>
      <c r="D1465" t="s">
        <v>488</v>
      </c>
      <c r="E1465">
        <v>48</v>
      </c>
      <c r="F1465" t="s">
        <v>469</v>
      </c>
      <c r="G1465" t="s">
        <v>22</v>
      </c>
      <c r="H1465" t="s">
        <v>3895</v>
      </c>
      <c r="I1465" s="2">
        <v>152000</v>
      </c>
      <c r="J1465" t="s">
        <v>219</v>
      </c>
      <c r="K1465" t="s">
        <v>2509</v>
      </c>
    </row>
    <row r="1466" spans="1:11" x14ac:dyDescent="0.25">
      <c r="A1466" t="s">
        <v>2161</v>
      </c>
      <c r="B1466" s="3">
        <v>46307</v>
      </c>
      <c r="C1466" t="s">
        <v>509</v>
      </c>
      <c r="D1466" t="s">
        <v>471</v>
      </c>
      <c r="E1466">
        <v>57</v>
      </c>
      <c r="F1466" t="s">
        <v>355</v>
      </c>
      <c r="G1466" t="s">
        <v>36</v>
      </c>
      <c r="H1466" t="s">
        <v>3896</v>
      </c>
      <c r="I1466" s="2">
        <v>38000</v>
      </c>
      <c r="J1466" t="s">
        <v>287</v>
      </c>
      <c r="K1466" t="s">
        <v>2503</v>
      </c>
    </row>
    <row r="1467" spans="1:11" x14ac:dyDescent="0.25">
      <c r="A1467" t="s">
        <v>2162</v>
      </c>
      <c r="B1467" s="3">
        <v>46307</v>
      </c>
      <c r="C1467" t="s">
        <v>579</v>
      </c>
      <c r="D1467" t="s">
        <v>490</v>
      </c>
      <c r="E1467">
        <v>19</v>
      </c>
      <c r="F1467" t="s">
        <v>355</v>
      </c>
      <c r="G1467" t="s">
        <v>61</v>
      </c>
      <c r="H1467" t="s">
        <v>3897</v>
      </c>
      <c r="I1467" s="2">
        <v>13000</v>
      </c>
      <c r="J1467" t="s">
        <v>93</v>
      </c>
      <c r="K1467" t="s">
        <v>2513</v>
      </c>
    </row>
    <row r="1468" spans="1:11" x14ac:dyDescent="0.25">
      <c r="A1468" t="s">
        <v>2163</v>
      </c>
      <c r="B1468" s="3">
        <v>46307</v>
      </c>
      <c r="C1468" t="s">
        <v>543</v>
      </c>
      <c r="D1468" t="s">
        <v>484</v>
      </c>
      <c r="E1468">
        <v>23</v>
      </c>
      <c r="F1468" t="s">
        <v>469</v>
      </c>
      <c r="G1468" t="s">
        <v>61</v>
      </c>
      <c r="H1468" t="s">
        <v>3898</v>
      </c>
      <c r="I1468" s="2">
        <v>25000</v>
      </c>
      <c r="J1468" t="s">
        <v>77</v>
      </c>
      <c r="K1468" t="s">
        <v>2503</v>
      </c>
    </row>
    <row r="1469" spans="1:11" x14ac:dyDescent="0.25">
      <c r="A1469" t="s">
        <v>2164</v>
      </c>
      <c r="B1469" s="3">
        <v>46307</v>
      </c>
      <c r="C1469" t="s">
        <v>280</v>
      </c>
      <c r="D1469" t="s">
        <v>210</v>
      </c>
      <c r="E1469">
        <v>50</v>
      </c>
      <c r="F1469" t="s">
        <v>2</v>
      </c>
      <c r="G1469" t="s">
        <v>81</v>
      </c>
      <c r="H1469" t="s">
        <v>3899</v>
      </c>
      <c r="I1469" s="2">
        <v>2751000</v>
      </c>
      <c r="J1469" t="s">
        <v>126</v>
      </c>
      <c r="K1469" t="s">
        <v>2509</v>
      </c>
    </row>
    <row r="1470" spans="1:11" x14ac:dyDescent="0.25">
      <c r="A1470" t="s">
        <v>2165</v>
      </c>
      <c r="B1470" s="3">
        <v>46307</v>
      </c>
      <c r="C1470" t="s">
        <v>656</v>
      </c>
      <c r="D1470" t="s">
        <v>597</v>
      </c>
      <c r="E1470">
        <v>66</v>
      </c>
      <c r="F1470" t="s">
        <v>355</v>
      </c>
      <c r="G1470" t="s">
        <v>85</v>
      </c>
      <c r="H1470" t="s">
        <v>3900</v>
      </c>
      <c r="I1470" s="2">
        <v>20000</v>
      </c>
      <c r="J1470" t="s">
        <v>95</v>
      </c>
      <c r="K1470" t="s">
        <v>2513</v>
      </c>
    </row>
    <row r="1471" spans="1:11" x14ac:dyDescent="0.25">
      <c r="A1471" t="s">
        <v>2166</v>
      </c>
      <c r="B1471" s="3">
        <v>46307</v>
      </c>
      <c r="C1471" t="s">
        <v>111</v>
      </c>
      <c r="D1471" t="s">
        <v>66</v>
      </c>
      <c r="E1471">
        <v>3</v>
      </c>
      <c r="F1471" t="s">
        <v>2</v>
      </c>
      <c r="G1471" t="s">
        <v>48</v>
      </c>
      <c r="H1471" t="s">
        <v>3901</v>
      </c>
      <c r="I1471" s="2">
        <v>174000</v>
      </c>
      <c r="J1471" t="s">
        <v>104</v>
      </c>
      <c r="K1471" t="s">
        <v>2509</v>
      </c>
    </row>
    <row r="1472" spans="1:11" x14ac:dyDescent="0.25">
      <c r="A1472" t="s">
        <v>2167</v>
      </c>
      <c r="B1472" s="3">
        <v>46307</v>
      </c>
      <c r="C1472" t="s">
        <v>226</v>
      </c>
      <c r="D1472" t="s">
        <v>227</v>
      </c>
      <c r="E1472">
        <v>67</v>
      </c>
      <c r="F1472" t="s">
        <v>2</v>
      </c>
      <c r="G1472" t="s">
        <v>17</v>
      </c>
      <c r="H1472" t="s">
        <v>3902</v>
      </c>
      <c r="I1472" s="2">
        <v>851000</v>
      </c>
      <c r="J1472" t="s">
        <v>201</v>
      </c>
      <c r="K1472" t="s">
        <v>2513</v>
      </c>
    </row>
    <row r="1473" spans="1:11" x14ac:dyDescent="0.25">
      <c r="A1473" t="s">
        <v>2168</v>
      </c>
      <c r="B1473" s="3">
        <v>46307</v>
      </c>
      <c r="C1473" t="s">
        <v>35</v>
      </c>
      <c r="D1473" t="s">
        <v>29</v>
      </c>
      <c r="E1473">
        <v>21</v>
      </c>
      <c r="F1473" t="s">
        <v>2</v>
      </c>
      <c r="G1473" t="s">
        <v>36</v>
      </c>
      <c r="H1473" t="s">
        <v>3903</v>
      </c>
      <c r="I1473" s="2">
        <v>129000</v>
      </c>
      <c r="J1473" t="s">
        <v>38</v>
      </c>
      <c r="K1473" t="s">
        <v>2509</v>
      </c>
    </row>
    <row r="1474" spans="1:11" x14ac:dyDescent="0.25">
      <c r="A1474" t="s">
        <v>2169</v>
      </c>
      <c r="B1474" s="3">
        <v>46307</v>
      </c>
      <c r="C1474" t="s">
        <v>675</v>
      </c>
      <c r="D1474" t="s">
        <v>594</v>
      </c>
      <c r="E1474">
        <v>22</v>
      </c>
      <c r="F1474" t="s">
        <v>595</v>
      </c>
      <c r="G1474" t="s">
        <v>40</v>
      </c>
      <c r="H1474" t="s">
        <v>3904</v>
      </c>
      <c r="I1474" s="2">
        <v>14000</v>
      </c>
      <c r="J1474" t="s">
        <v>361</v>
      </c>
      <c r="K1474" t="s">
        <v>2513</v>
      </c>
    </row>
    <row r="1475" spans="1:11" x14ac:dyDescent="0.25">
      <c r="A1475" t="s">
        <v>2170</v>
      </c>
      <c r="B1475" s="3">
        <v>46307</v>
      </c>
      <c r="C1475" t="s">
        <v>668</v>
      </c>
      <c r="D1475" t="s">
        <v>597</v>
      </c>
      <c r="E1475">
        <v>66</v>
      </c>
      <c r="F1475" t="s">
        <v>355</v>
      </c>
      <c r="G1475" t="s">
        <v>85</v>
      </c>
      <c r="H1475" t="s">
        <v>3905</v>
      </c>
      <c r="I1475" s="2">
        <v>18000</v>
      </c>
      <c r="J1475" t="s">
        <v>124</v>
      </c>
      <c r="K1475" t="s">
        <v>2509</v>
      </c>
    </row>
    <row r="1476" spans="1:11" x14ac:dyDescent="0.25">
      <c r="A1476" t="s">
        <v>2171</v>
      </c>
      <c r="B1476" s="3">
        <v>46307</v>
      </c>
      <c r="C1476" t="s">
        <v>335</v>
      </c>
      <c r="D1476" t="s">
        <v>218</v>
      </c>
      <c r="E1476">
        <v>49</v>
      </c>
      <c r="F1476" t="s">
        <v>2</v>
      </c>
      <c r="G1476" t="s">
        <v>55</v>
      </c>
      <c r="H1476" t="s">
        <v>3906</v>
      </c>
      <c r="I1476" s="2">
        <v>2212000</v>
      </c>
      <c r="J1476" t="s">
        <v>147</v>
      </c>
      <c r="K1476" t="s">
        <v>2500</v>
      </c>
    </row>
    <row r="1477" spans="1:11" x14ac:dyDescent="0.25">
      <c r="A1477" t="s">
        <v>2172</v>
      </c>
      <c r="B1477" s="3">
        <v>46307</v>
      </c>
      <c r="C1477" t="s">
        <v>353</v>
      </c>
      <c r="D1477" t="s">
        <v>354</v>
      </c>
      <c r="E1477">
        <v>41</v>
      </c>
      <c r="F1477" t="s">
        <v>355</v>
      </c>
      <c r="G1477" t="s">
        <v>40</v>
      </c>
      <c r="H1477" t="s">
        <v>3907</v>
      </c>
      <c r="I1477" s="2">
        <v>21000</v>
      </c>
      <c r="J1477" t="s">
        <v>312</v>
      </c>
      <c r="K1477" t="s">
        <v>2509</v>
      </c>
    </row>
    <row r="1478" spans="1:11" x14ac:dyDescent="0.25">
      <c r="A1478" t="s">
        <v>2173</v>
      </c>
      <c r="B1478" s="3">
        <v>46307</v>
      </c>
      <c r="C1478" t="s">
        <v>392</v>
      </c>
      <c r="D1478" t="s">
        <v>349</v>
      </c>
      <c r="E1478">
        <v>52</v>
      </c>
      <c r="F1478" t="s">
        <v>2</v>
      </c>
      <c r="G1478" t="s">
        <v>40</v>
      </c>
      <c r="H1478" t="s">
        <v>3908</v>
      </c>
      <c r="I1478" s="2">
        <v>15000</v>
      </c>
      <c r="J1478" t="s">
        <v>24</v>
      </c>
      <c r="K1478" t="s">
        <v>2513</v>
      </c>
    </row>
    <row r="1479" spans="1:11" x14ac:dyDescent="0.25">
      <c r="A1479" t="s">
        <v>2174</v>
      </c>
      <c r="B1479" s="3">
        <v>46307</v>
      </c>
      <c r="C1479" t="s">
        <v>322</v>
      </c>
      <c r="D1479" t="s">
        <v>227</v>
      </c>
      <c r="E1479">
        <v>20</v>
      </c>
      <c r="F1479" t="s">
        <v>2</v>
      </c>
      <c r="G1479" t="s">
        <v>17</v>
      </c>
      <c r="H1479" t="s">
        <v>3909</v>
      </c>
      <c r="I1479" s="2">
        <v>576000</v>
      </c>
      <c r="J1479" t="s">
        <v>95</v>
      </c>
      <c r="K1479" t="s">
        <v>2500</v>
      </c>
    </row>
    <row r="1480" spans="1:11" x14ac:dyDescent="0.25">
      <c r="A1480" t="s">
        <v>2175</v>
      </c>
      <c r="B1480" s="3">
        <v>46307</v>
      </c>
      <c r="C1480" t="s">
        <v>501</v>
      </c>
      <c r="D1480" t="s">
        <v>502</v>
      </c>
      <c r="E1480">
        <v>12</v>
      </c>
      <c r="F1480" t="s">
        <v>469</v>
      </c>
      <c r="G1480" t="s">
        <v>40</v>
      </c>
      <c r="H1480" t="s">
        <v>3906</v>
      </c>
      <c r="I1480" s="2">
        <v>112000</v>
      </c>
      <c r="J1480" t="s">
        <v>292</v>
      </c>
      <c r="K1480" t="s">
        <v>2503</v>
      </c>
    </row>
    <row r="1481" spans="1:11" x14ac:dyDescent="0.25">
      <c r="A1481" t="s">
        <v>2176</v>
      </c>
      <c r="B1481" s="3">
        <v>46307</v>
      </c>
      <c r="C1481" t="s">
        <v>14</v>
      </c>
      <c r="D1481" t="s">
        <v>15</v>
      </c>
      <c r="E1481">
        <v>45</v>
      </c>
      <c r="F1481" t="s">
        <v>2</v>
      </c>
      <c r="G1481" t="s">
        <v>17</v>
      </c>
      <c r="H1481" t="s">
        <v>3910</v>
      </c>
      <c r="I1481" s="2">
        <v>91000</v>
      </c>
      <c r="J1481" t="s">
        <v>19</v>
      </c>
      <c r="K1481" t="s">
        <v>2503</v>
      </c>
    </row>
    <row r="1482" spans="1:11" x14ac:dyDescent="0.25">
      <c r="A1482" t="s">
        <v>2177</v>
      </c>
      <c r="B1482" s="3">
        <v>46308</v>
      </c>
      <c r="C1482" t="s">
        <v>684</v>
      </c>
      <c r="D1482" t="s">
        <v>602</v>
      </c>
      <c r="E1482">
        <v>57</v>
      </c>
      <c r="F1482" t="s">
        <v>2</v>
      </c>
      <c r="G1482" t="s">
        <v>22</v>
      </c>
      <c r="H1482" t="s">
        <v>3911</v>
      </c>
      <c r="I1482" s="2">
        <v>239000</v>
      </c>
      <c r="J1482" t="s">
        <v>142</v>
      </c>
      <c r="K1482" t="s">
        <v>2500</v>
      </c>
    </row>
    <row r="1483" spans="1:11" x14ac:dyDescent="0.25">
      <c r="A1483" t="s">
        <v>2178</v>
      </c>
      <c r="B1483" s="3">
        <v>46308</v>
      </c>
      <c r="C1483" t="s">
        <v>658</v>
      </c>
      <c r="D1483" t="s">
        <v>597</v>
      </c>
      <c r="E1483">
        <v>47</v>
      </c>
      <c r="F1483" t="s">
        <v>355</v>
      </c>
      <c r="G1483" t="s">
        <v>61</v>
      </c>
      <c r="H1483" t="s">
        <v>3912</v>
      </c>
      <c r="I1483" s="2">
        <v>50000</v>
      </c>
      <c r="J1483" t="s">
        <v>113</v>
      </c>
      <c r="K1483" t="s">
        <v>2513</v>
      </c>
    </row>
    <row r="1484" spans="1:11" x14ac:dyDescent="0.25">
      <c r="A1484" t="s">
        <v>2179</v>
      </c>
      <c r="B1484" s="3">
        <v>46308</v>
      </c>
      <c r="C1484" t="s">
        <v>567</v>
      </c>
      <c r="D1484" t="s">
        <v>502</v>
      </c>
      <c r="E1484">
        <v>58</v>
      </c>
      <c r="F1484" t="s">
        <v>469</v>
      </c>
      <c r="G1484" t="s">
        <v>61</v>
      </c>
      <c r="H1484" t="s">
        <v>3913</v>
      </c>
      <c r="I1484" s="2">
        <v>63000</v>
      </c>
      <c r="J1484" t="s">
        <v>152</v>
      </c>
      <c r="K1484" t="s">
        <v>2503</v>
      </c>
    </row>
    <row r="1485" spans="1:11" x14ac:dyDescent="0.25">
      <c r="A1485" t="s">
        <v>2180</v>
      </c>
      <c r="B1485" s="3">
        <v>46308</v>
      </c>
      <c r="C1485" t="s">
        <v>131</v>
      </c>
      <c r="D1485" t="s">
        <v>15</v>
      </c>
      <c r="E1485">
        <v>14</v>
      </c>
      <c r="F1485" t="s">
        <v>2</v>
      </c>
      <c r="G1485" t="s">
        <v>36</v>
      </c>
      <c r="H1485" t="s">
        <v>3914</v>
      </c>
      <c r="I1485" s="2">
        <v>112000</v>
      </c>
      <c r="J1485" t="s">
        <v>113</v>
      </c>
      <c r="K1485" t="s">
        <v>2509</v>
      </c>
    </row>
    <row r="1486" spans="1:11" x14ac:dyDescent="0.25">
      <c r="A1486" t="s">
        <v>2181</v>
      </c>
      <c r="B1486" s="3">
        <v>46308</v>
      </c>
      <c r="C1486" t="s">
        <v>331</v>
      </c>
      <c r="D1486" t="s">
        <v>234</v>
      </c>
      <c r="E1486">
        <v>36</v>
      </c>
      <c r="F1486" t="s">
        <v>2</v>
      </c>
      <c r="G1486" t="s">
        <v>32</v>
      </c>
      <c r="H1486" t="s">
        <v>3915</v>
      </c>
      <c r="I1486" s="2">
        <v>1646000</v>
      </c>
      <c r="J1486" t="s">
        <v>57</v>
      </c>
      <c r="K1486" t="s">
        <v>2509</v>
      </c>
    </row>
    <row r="1487" spans="1:11" x14ac:dyDescent="0.25">
      <c r="A1487" t="s">
        <v>2182</v>
      </c>
      <c r="B1487" s="3">
        <v>46308</v>
      </c>
      <c r="C1487" t="s">
        <v>632</v>
      </c>
      <c r="D1487" t="s">
        <v>587</v>
      </c>
      <c r="E1487">
        <v>16</v>
      </c>
      <c r="F1487" t="s">
        <v>2</v>
      </c>
      <c r="G1487" t="s">
        <v>17</v>
      </c>
      <c r="H1487" t="s">
        <v>3916</v>
      </c>
      <c r="I1487" s="2">
        <v>44000</v>
      </c>
      <c r="J1487" t="s">
        <v>327</v>
      </c>
      <c r="K1487" t="s">
        <v>2513</v>
      </c>
    </row>
    <row r="1488" spans="1:11" x14ac:dyDescent="0.25">
      <c r="A1488" t="s">
        <v>2183</v>
      </c>
      <c r="B1488" s="3">
        <v>46308</v>
      </c>
      <c r="C1488" t="s">
        <v>251</v>
      </c>
      <c r="D1488" t="s">
        <v>216</v>
      </c>
      <c r="E1488">
        <v>31</v>
      </c>
      <c r="F1488" t="s">
        <v>2</v>
      </c>
      <c r="G1488" t="s">
        <v>36</v>
      </c>
      <c r="H1488" t="s">
        <v>3917</v>
      </c>
      <c r="I1488" s="2">
        <v>445000</v>
      </c>
      <c r="J1488" t="s">
        <v>71</v>
      </c>
      <c r="K1488" t="s">
        <v>2500</v>
      </c>
    </row>
    <row r="1489" spans="1:11" x14ac:dyDescent="0.25">
      <c r="A1489" t="s">
        <v>2184</v>
      </c>
      <c r="B1489" s="3">
        <v>46308</v>
      </c>
      <c r="C1489" t="s">
        <v>277</v>
      </c>
      <c r="D1489" t="s">
        <v>210</v>
      </c>
      <c r="E1489">
        <v>17</v>
      </c>
      <c r="F1489" t="s">
        <v>2</v>
      </c>
      <c r="G1489" t="s">
        <v>81</v>
      </c>
      <c r="H1489" t="s">
        <v>3918</v>
      </c>
      <c r="I1489" s="2">
        <v>8746000</v>
      </c>
      <c r="J1489" t="s">
        <v>69</v>
      </c>
      <c r="K1489" t="s">
        <v>2500</v>
      </c>
    </row>
    <row r="1490" spans="1:11" x14ac:dyDescent="0.25">
      <c r="A1490" t="s">
        <v>2185</v>
      </c>
      <c r="B1490" s="3">
        <v>46308</v>
      </c>
      <c r="C1490" t="s">
        <v>463</v>
      </c>
      <c r="D1490" t="s">
        <v>360</v>
      </c>
      <c r="E1490">
        <v>68</v>
      </c>
      <c r="F1490" t="s">
        <v>358</v>
      </c>
      <c r="G1490" t="s">
        <v>81</v>
      </c>
      <c r="H1490" t="s">
        <v>3919</v>
      </c>
      <c r="I1490" s="2">
        <v>5000</v>
      </c>
      <c r="J1490" t="s">
        <v>464</v>
      </c>
      <c r="K1490" t="s">
        <v>2503</v>
      </c>
    </row>
    <row r="1491" spans="1:11" x14ac:dyDescent="0.25">
      <c r="A1491" t="s">
        <v>2186</v>
      </c>
      <c r="B1491" s="3">
        <v>46308</v>
      </c>
      <c r="C1491" t="s">
        <v>400</v>
      </c>
      <c r="D1491" t="s">
        <v>349</v>
      </c>
      <c r="E1491">
        <v>10</v>
      </c>
      <c r="F1491" t="s">
        <v>2</v>
      </c>
      <c r="G1491" t="s">
        <v>36</v>
      </c>
      <c r="H1491" t="s">
        <v>3920</v>
      </c>
      <c r="I1491" s="2">
        <v>12000</v>
      </c>
      <c r="J1491" t="s">
        <v>171</v>
      </c>
      <c r="K1491" t="s">
        <v>2503</v>
      </c>
    </row>
    <row r="1492" spans="1:11" x14ac:dyDescent="0.25">
      <c r="A1492" t="s">
        <v>2187</v>
      </c>
      <c r="B1492" s="3">
        <v>46308</v>
      </c>
      <c r="C1492" t="s">
        <v>141</v>
      </c>
      <c r="D1492" t="s">
        <v>66</v>
      </c>
      <c r="E1492">
        <v>53</v>
      </c>
      <c r="F1492" t="s">
        <v>2</v>
      </c>
      <c r="G1492" t="s">
        <v>32</v>
      </c>
      <c r="H1492" t="s">
        <v>3921</v>
      </c>
      <c r="I1492" s="2">
        <v>175000</v>
      </c>
      <c r="J1492" t="s">
        <v>142</v>
      </c>
      <c r="K1492" t="s">
        <v>2503</v>
      </c>
    </row>
    <row r="1493" spans="1:11" x14ac:dyDescent="0.25">
      <c r="A1493" t="s">
        <v>2188</v>
      </c>
      <c r="B1493" s="3">
        <v>46308</v>
      </c>
      <c r="C1493" t="s">
        <v>404</v>
      </c>
      <c r="D1493" t="s">
        <v>357</v>
      </c>
      <c r="E1493">
        <v>68</v>
      </c>
      <c r="F1493" t="s">
        <v>358</v>
      </c>
      <c r="G1493" t="s">
        <v>32</v>
      </c>
      <c r="H1493" t="s">
        <v>3922</v>
      </c>
      <c r="I1493" s="2">
        <v>25000</v>
      </c>
      <c r="J1493" t="s">
        <v>149</v>
      </c>
      <c r="K1493" t="s">
        <v>2503</v>
      </c>
    </row>
    <row r="1494" spans="1:11" x14ac:dyDescent="0.25">
      <c r="A1494" t="s">
        <v>2189</v>
      </c>
      <c r="B1494" s="3">
        <v>46308</v>
      </c>
      <c r="C1494" t="s">
        <v>406</v>
      </c>
      <c r="D1494" t="s">
        <v>366</v>
      </c>
      <c r="E1494">
        <v>40</v>
      </c>
      <c r="F1494" t="s">
        <v>2</v>
      </c>
      <c r="G1494" t="s">
        <v>32</v>
      </c>
      <c r="H1494" t="s">
        <v>3923</v>
      </c>
      <c r="I1494" s="2">
        <v>18000</v>
      </c>
      <c r="J1494" t="s">
        <v>64</v>
      </c>
      <c r="K1494" t="s">
        <v>2509</v>
      </c>
    </row>
    <row r="1495" spans="1:11" x14ac:dyDescent="0.25">
      <c r="A1495" t="s">
        <v>2190</v>
      </c>
      <c r="B1495" s="3">
        <v>46308</v>
      </c>
      <c r="C1495" t="s">
        <v>613</v>
      </c>
      <c r="D1495" t="s">
        <v>597</v>
      </c>
      <c r="E1495">
        <v>62</v>
      </c>
      <c r="F1495" t="s">
        <v>355</v>
      </c>
      <c r="G1495" t="s">
        <v>32</v>
      </c>
      <c r="H1495" t="s">
        <v>3924</v>
      </c>
      <c r="I1495" s="2">
        <v>48000</v>
      </c>
      <c r="J1495" t="s">
        <v>221</v>
      </c>
      <c r="K1495" t="s">
        <v>2500</v>
      </c>
    </row>
    <row r="1496" spans="1:11" x14ac:dyDescent="0.25">
      <c r="A1496" t="s">
        <v>2191</v>
      </c>
      <c r="B1496" s="3">
        <v>46308</v>
      </c>
      <c r="C1496" t="s">
        <v>637</v>
      </c>
      <c r="D1496" t="s">
        <v>629</v>
      </c>
      <c r="E1496">
        <v>63</v>
      </c>
      <c r="F1496" t="s">
        <v>355</v>
      </c>
      <c r="G1496" t="s">
        <v>85</v>
      </c>
      <c r="H1496" t="s">
        <v>3925</v>
      </c>
      <c r="I1496" s="2">
        <v>51000</v>
      </c>
      <c r="J1496" t="s">
        <v>19</v>
      </c>
      <c r="K1496" t="s">
        <v>2503</v>
      </c>
    </row>
    <row r="1497" spans="1:11" x14ac:dyDescent="0.25">
      <c r="A1497" t="s">
        <v>2192</v>
      </c>
      <c r="B1497" s="3">
        <v>46308</v>
      </c>
      <c r="C1497" t="s">
        <v>412</v>
      </c>
      <c r="D1497" t="s">
        <v>351</v>
      </c>
      <c r="E1497">
        <v>34</v>
      </c>
      <c r="F1497" t="s">
        <v>2</v>
      </c>
      <c r="G1497" t="s">
        <v>61</v>
      </c>
      <c r="H1497" t="s">
        <v>3926</v>
      </c>
      <c r="I1497" s="2">
        <v>728000</v>
      </c>
      <c r="J1497" t="s">
        <v>140</v>
      </c>
      <c r="K1497" t="s">
        <v>2509</v>
      </c>
    </row>
    <row r="1498" spans="1:11" x14ac:dyDescent="0.25">
      <c r="A1498" t="s">
        <v>2193</v>
      </c>
      <c r="B1498" s="3">
        <v>46308</v>
      </c>
      <c r="C1498" t="s">
        <v>430</v>
      </c>
      <c r="D1498" t="s">
        <v>349</v>
      </c>
      <c r="E1498">
        <v>9</v>
      </c>
      <c r="F1498" t="s">
        <v>2</v>
      </c>
      <c r="G1498" t="s">
        <v>22</v>
      </c>
      <c r="H1498" t="s">
        <v>3927</v>
      </c>
      <c r="I1498" s="2">
        <v>10000</v>
      </c>
      <c r="J1498" t="s">
        <v>64</v>
      </c>
      <c r="K1498" t="s">
        <v>2513</v>
      </c>
    </row>
    <row r="1499" spans="1:11" x14ac:dyDescent="0.25">
      <c r="A1499" t="s">
        <v>2194</v>
      </c>
      <c r="B1499" s="3">
        <v>46308</v>
      </c>
      <c r="C1499" t="s">
        <v>172</v>
      </c>
      <c r="D1499" t="s">
        <v>26</v>
      </c>
      <c r="E1499">
        <v>39</v>
      </c>
      <c r="F1499" t="s">
        <v>2</v>
      </c>
      <c r="G1499" t="s">
        <v>55</v>
      </c>
      <c r="H1499" t="s">
        <v>3928</v>
      </c>
      <c r="I1499" s="2">
        <v>270000</v>
      </c>
      <c r="J1499" t="s">
        <v>173</v>
      </c>
      <c r="K1499" t="s">
        <v>2503</v>
      </c>
    </row>
    <row r="1500" spans="1:11" x14ac:dyDescent="0.25">
      <c r="A1500" t="s">
        <v>2195</v>
      </c>
      <c r="B1500" s="3">
        <v>46308</v>
      </c>
      <c r="C1500" t="s">
        <v>229</v>
      </c>
      <c r="D1500" t="s">
        <v>218</v>
      </c>
      <c r="E1500">
        <v>48</v>
      </c>
      <c r="F1500" t="s">
        <v>2</v>
      </c>
      <c r="G1500" t="s">
        <v>36</v>
      </c>
      <c r="H1500" t="s">
        <v>3929</v>
      </c>
      <c r="I1500" s="2">
        <v>1570000</v>
      </c>
      <c r="J1500" t="s">
        <v>230</v>
      </c>
      <c r="K1500" t="s">
        <v>2513</v>
      </c>
    </row>
    <row r="1501" spans="1:11" x14ac:dyDescent="0.25">
      <c r="A1501" t="s">
        <v>2196</v>
      </c>
      <c r="B1501" s="3">
        <v>46308</v>
      </c>
      <c r="C1501" t="s">
        <v>404</v>
      </c>
      <c r="D1501" t="s">
        <v>357</v>
      </c>
      <c r="E1501">
        <v>52</v>
      </c>
      <c r="F1501" t="s">
        <v>358</v>
      </c>
      <c r="G1501" t="s">
        <v>32</v>
      </c>
      <c r="H1501" t="s">
        <v>3930</v>
      </c>
      <c r="I1501" s="2">
        <v>25000</v>
      </c>
      <c r="J1501" t="s">
        <v>149</v>
      </c>
      <c r="K1501" t="s">
        <v>2503</v>
      </c>
    </row>
    <row r="1502" spans="1:11" x14ac:dyDescent="0.25">
      <c r="A1502" t="s">
        <v>2197</v>
      </c>
      <c r="B1502" s="3">
        <v>46308</v>
      </c>
      <c r="C1502" t="s">
        <v>379</v>
      </c>
      <c r="D1502" t="s">
        <v>344</v>
      </c>
      <c r="E1502">
        <v>70</v>
      </c>
      <c r="F1502" t="s">
        <v>346</v>
      </c>
      <c r="G1502" t="s">
        <v>55</v>
      </c>
      <c r="H1502" t="s">
        <v>3931</v>
      </c>
      <c r="I1502" s="2">
        <v>62000</v>
      </c>
      <c r="J1502" t="s">
        <v>106</v>
      </c>
      <c r="K1502" t="s">
        <v>2513</v>
      </c>
    </row>
    <row r="1503" spans="1:11" x14ac:dyDescent="0.25">
      <c r="A1503" t="s">
        <v>2198</v>
      </c>
      <c r="B1503" s="3">
        <v>46308</v>
      </c>
      <c r="C1503" t="s">
        <v>643</v>
      </c>
      <c r="D1503" t="s">
        <v>582</v>
      </c>
      <c r="E1503">
        <v>34</v>
      </c>
      <c r="F1503" t="s">
        <v>2</v>
      </c>
      <c r="G1503" t="s">
        <v>55</v>
      </c>
      <c r="H1503" t="s">
        <v>3932</v>
      </c>
      <c r="I1503" s="2">
        <v>146000</v>
      </c>
      <c r="J1503" t="s">
        <v>423</v>
      </c>
      <c r="K1503" t="s">
        <v>2509</v>
      </c>
    </row>
    <row r="1504" spans="1:11" x14ac:dyDescent="0.25">
      <c r="A1504" t="s">
        <v>2199</v>
      </c>
      <c r="B1504" s="3">
        <v>46308</v>
      </c>
      <c r="C1504" t="s">
        <v>523</v>
      </c>
      <c r="D1504" t="s">
        <v>481</v>
      </c>
      <c r="E1504">
        <v>12</v>
      </c>
      <c r="F1504" t="s">
        <v>2</v>
      </c>
      <c r="G1504" t="s">
        <v>40</v>
      </c>
      <c r="H1504" t="s">
        <v>3933</v>
      </c>
      <c r="I1504" s="2">
        <v>292000</v>
      </c>
      <c r="J1504" t="s">
        <v>175</v>
      </c>
      <c r="K1504" t="s">
        <v>2513</v>
      </c>
    </row>
    <row r="1505" spans="1:11" x14ac:dyDescent="0.25">
      <c r="A1505" t="s">
        <v>2200</v>
      </c>
      <c r="B1505" s="3">
        <v>46308</v>
      </c>
      <c r="C1505" t="s">
        <v>348</v>
      </c>
      <c r="D1505" t="s">
        <v>349</v>
      </c>
      <c r="E1505">
        <v>48</v>
      </c>
      <c r="F1505" t="s">
        <v>2</v>
      </c>
      <c r="G1505" t="s">
        <v>32</v>
      </c>
      <c r="H1505" t="s">
        <v>3934</v>
      </c>
      <c r="I1505" s="2">
        <v>4000</v>
      </c>
      <c r="J1505" t="s">
        <v>171</v>
      </c>
      <c r="K1505" t="s">
        <v>2500</v>
      </c>
    </row>
    <row r="1506" spans="1:11" x14ac:dyDescent="0.25">
      <c r="A1506" t="s">
        <v>2201</v>
      </c>
      <c r="B1506" s="3">
        <v>46308</v>
      </c>
      <c r="C1506" t="s">
        <v>301</v>
      </c>
      <c r="D1506" t="s">
        <v>240</v>
      </c>
      <c r="E1506">
        <v>41</v>
      </c>
      <c r="F1506" t="s">
        <v>2</v>
      </c>
      <c r="G1506" t="s">
        <v>36</v>
      </c>
      <c r="H1506" t="s">
        <v>3935</v>
      </c>
      <c r="I1506" s="2">
        <v>646000</v>
      </c>
      <c r="J1506" t="s">
        <v>259</v>
      </c>
      <c r="K1506" t="s">
        <v>2513</v>
      </c>
    </row>
    <row r="1507" spans="1:11" x14ac:dyDescent="0.25">
      <c r="A1507" t="s">
        <v>2202</v>
      </c>
      <c r="B1507" s="3">
        <v>46308</v>
      </c>
      <c r="C1507" t="s">
        <v>448</v>
      </c>
      <c r="D1507" t="s">
        <v>360</v>
      </c>
      <c r="E1507">
        <v>57</v>
      </c>
      <c r="F1507" t="s">
        <v>358</v>
      </c>
      <c r="G1507" t="s">
        <v>40</v>
      </c>
      <c r="H1507" t="s">
        <v>3772</v>
      </c>
      <c r="I1507" s="2">
        <v>9000</v>
      </c>
      <c r="J1507" t="s">
        <v>24</v>
      </c>
      <c r="K1507" t="s">
        <v>2513</v>
      </c>
    </row>
    <row r="1508" spans="1:11" x14ac:dyDescent="0.25">
      <c r="A1508" t="s">
        <v>2203</v>
      </c>
      <c r="B1508" s="3">
        <v>46308</v>
      </c>
      <c r="C1508" t="s">
        <v>475</v>
      </c>
      <c r="D1508" t="s">
        <v>476</v>
      </c>
      <c r="E1508">
        <v>1</v>
      </c>
      <c r="F1508" t="s">
        <v>477</v>
      </c>
      <c r="G1508" t="s">
        <v>32</v>
      </c>
      <c r="H1508" t="s">
        <v>3936</v>
      </c>
      <c r="I1508" s="2">
        <v>7000</v>
      </c>
      <c r="J1508" t="s">
        <v>129</v>
      </c>
      <c r="K1508" t="s">
        <v>2500</v>
      </c>
    </row>
    <row r="1509" spans="1:11" x14ac:dyDescent="0.25">
      <c r="A1509" t="s">
        <v>2204</v>
      </c>
      <c r="B1509" s="3">
        <v>46308</v>
      </c>
      <c r="C1509" t="s">
        <v>473</v>
      </c>
      <c r="D1509" t="s">
        <v>474</v>
      </c>
      <c r="E1509">
        <v>68</v>
      </c>
      <c r="F1509" t="s">
        <v>2</v>
      </c>
      <c r="G1509" t="s">
        <v>32</v>
      </c>
      <c r="H1509" t="s">
        <v>3937</v>
      </c>
      <c r="I1509" s="2">
        <v>2000</v>
      </c>
      <c r="J1509" t="s">
        <v>164</v>
      </c>
      <c r="K1509" t="s">
        <v>2509</v>
      </c>
    </row>
    <row r="1510" spans="1:11" x14ac:dyDescent="0.25">
      <c r="A1510" t="s">
        <v>2205</v>
      </c>
      <c r="B1510" s="3">
        <v>46308</v>
      </c>
      <c r="C1510" t="s">
        <v>649</v>
      </c>
      <c r="D1510" t="s">
        <v>597</v>
      </c>
      <c r="E1510">
        <v>57</v>
      </c>
      <c r="F1510" t="s">
        <v>355</v>
      </c>
      <c r="G1510" t="s">
        <v>85</v>
      </c>
      <c r="H1510" t="s">
        <v>3938</v>
      </c>
      <c r="I1510" s="2">
        <v>42000</v>
      </c>
      <c r="J1510" t="s">
        <v>361</v>
      </c>
      <c r="K1510" t="s">
        <v>2503</v>
      </c>
    </row>
    <row r="1511" spans="1:11" x14ac:dyDescent="0.25">
      <c r="A1511" t="s">
        <v>2206</v>
      </c>
      <c r="B1511" s="3">
        <v>46308</v>
      </c>
      <c r="C1511" t="s">
        <v>394</v>
      </c>
      <c r="D1511" t="s">
        <v>354</v>
      </c>
      <c r="E1511">
        <v>65</v>
      </c>
      <c r="F1511" t="s">
        <v>355</v>
      </c>
      <c r="G1511" t="s">
        <v>85</v>
      </c>
      <c r="H1511" t="s">
        <v>3939</v>
      </c>
      <c r="I1511" s="2">
        <v>14000</v>
      </c>
      <c r="J1511" t="s">
        <v>42</v>
      </c>
      <c r="K1511" t="s">
        <v>2509</v>
      </c>
    </row>
    <row r="1512" spans="1:11" x14ac:dyDescent="0.25">
      <c r="A1512" t="s">
        <v>2207</v>
      </c>
      <c r="B1512" s="3">
        <v>46308</v>
      </c>
      <c r="C1512" t="s">
        <v>303</v>
      </c>
      <c r="D1512" t="s">
        <v>261</v>
      </c>
      <c r="E1512">
        <v>60</v>
      </c>
      <c r="F1512" t="s">
        <v>2</v>
      </c>
      <c r="G1512" t="s">
        <v>36</v>
      </c>
      <c r="H1512" t="s">
        <v>3940</v>
      </c>
      <c r="I1512" s="2">
        <v>381000</v>
      </c>
      <c r="J1512" t="s">
        <v>67</v>
      </c>
      <c r="K1512" t="s">
        <v>2509</v>
      </c>
    </row>
    <row r="1513" spans="1:11" x14ac:dyDescent="0.25">
      <c r="A1513" t="s">
        <v>2208</v>
      </c>
      <c r="B1513" s="3">
        <v>46308</v>
      </c>
      <c r="C1513" t="s">
        <v>384</v>
      </c>
      <c r="D1513" t="s">
        <v>366</v>
      </c>
      <c r="E1513">
        <v>57</v>
      </c>
      <c r="F1513" t="s">
        <v>2</v>
      </c>
      <c r="G1513" t="s">
        <v>81</v>
      </c>
      <c r="H1513" t="s">
        <v>3941</v>
      </c>
      <c r="I1513" s="2">
        <v>56000</v>
      </c>
      <c r="J1513" t="s">
        <v>104</v>
      </c>
      <c r="K1513" t="s">
        <v>2513</v>
      </c>
    </row>
    <row r="1514" spans="1:11" x14ac:dyDescent="0.25">
      <c r="A1514" t="s">
        <v>2209</v>
      </c>
      <c r="B1514" s="3">
        <v>46308</v>
      </c>
      <c r="C1514" t="s">
        <v>528</v>
      </c>
      <c r="D1514" t="s">
        <v>479</v>
      </c>
      <c r="E1514">
        <v>9</v>
      </c>
      <c r="F1514" t="s">
        <v>469</v>
      </c>
      <c r="G1514" t="s">
        <v>81</v>
      </c>
      <c r="H1514" t="s">
        <v>3942</v>
      </c>
      <c r="I1514" s="2">
        <v>28000</v>
      </c>
      <c r="J1514" t="s">
        <v>274</v>
      </c>
      <c r="K1514" t="s">
        <v>2500</v>
      </c>
    </row>
    <row r="1515" spans="1:11" x14ac:dyDescent="0.25">
      <c r="A1515" t="s">
        <v>2210</v>
      </c>
      <c r="B1515" s="3">
        <v>46308</v>
      </c>
      <c r="C1515" t="s">
        <v>573</v>
      </c>
      <c r="D1515" t="s">
        <v>502</v>
      </c>
      <c r="E1515">
        <v>33</v>
      </c>
      <c r="F1515" t="s">
        <v>469</v>
      </c>
      <c r="G1515" t="s">
        <v>81</v>
      </c>
      <c r="H1515" t="s">
        <v>3943</v>
      </c>
      <c r="I1515" s="2">
        <v>59000</v>
      </c>
      <c r="J1515" t="s">
        <v>574</v>
      </c>
      <c r="K1515" t="s">
        <v>2509</v>
      </c>
    </row>
    <row r="1516" spans="1:11" x14ac:dyDescent="0.25">
      <c r="A1516" t="s">
        <v>2211</v>
      </c>
      <c r="B1516" s="3">
        <v>46308</v>
      </c>
      <c r="C1516" t="s">
        <v>202</v>
      </c>
      <c r="D1516" t="s">
        <v>54</v>
      </c>
      <c r="E1516">
        <v>61</v>
      </c>
      <c r="F1516" t="s">
        <v>2</v>
      </c>
      <c r="G1516" t="s">
        <v>48</v>
      </c>
      <c r="H1516" t="s">
        <v>3944</v>
      </c>
      <c r="I1516" s="2">
        <v>31000</v>
      </c>
      <c r="J1516" t="s">
        <v>203</v>
      </c>
      <c r="K1516" t="s">
        <v>2503</v>
      </c>
    </row>
    <row r="1517" spans="1:11" x14ac:dyDescent="0.25">
      <c r="A1517" t="s">
        <v>2212</v>
      </c>
      <c r="B1517" s="3">
        <v>46308</v>
      </c>
      <c r="C1517" t="s">
        <v>348</v>
      </c>
      <c r="D1517" t="s">
        <v>349</v>
      </c>
      <c r="E1517">
        <v>4</v>
      </c>
      <c r="F1517" t="s">
        <v>2</v>
      </c>
      <c r="G1517" t="s">
        <v>32</v>
      </c>
      <c r="H1517" t="s">
        <v>3945</v>
      </c>
      <c r="I1517" s="2">
        <v>4000</v>
      </c>
      <c r="J1517" t="s">
        <v>171</v>
      </c>
      <c r="K1517" t="s">
        <v>2513</v>
      </c>
    </row>
    <row r="1518" spans="1:11" x14ac:dyDescent="0.25">
      <c r="A1518" t="s">
        <v>2213</v>
      </c>
      <c r="B1518" s="3">
        <v>46308</v>
      </c>
      <c r="C1518" t="s">
        <v>688</v>
      </c>
      <c r="D1518" t="s">
        <v>589</v>
      </c>
      <c r="E1518">
        <v>16</v>
      </c>
      <c r="F1518" t="s">
        <v>469</v>
      </c>
      <c r="G1518" t="s">
        <v>85</v>
      </c>
      <c r="H1518" t="s">
        <v>3946</v>
      </c>
      <c r="I1518" s="2">
        <v>16000</v>
      </c>
      <c r="J1518" t="s">
        <v>133</v>
      </c>
      <c r="K1518" t="s">
        <v>2513</v>
      </c>
    </row>
    <row r="1519" spans="1:11" x14ac:dyDescent="0.25">
      <c r="A1519" t="s">
        <v>2214</v>
      </c>
      <c r="B1519" s="3">
        <v>46308</v>
      </c>
      <c r="C1519" t="s">
        <v>596</v>
      </c>
      <c r="D1519" t="s">
        <v>597</v>
      </c>
      <c r="E1519">
        <v>22</v>
      </c>
      <c r="F1519" t="s">
        <v>355</v>
      </c>
      <c r="G1519" t="s">
        <v>85</v>
      </c>
      <c r="H1519" t="s">
        <v>3947</v>
      </c>
      <c r="I1519" s="2">
        <v>43000</v>
      </c>
      <c r="J1519" t="s">
        <v>142</v>
      </c>
      <c r="K1519" t="s">
        <v>2500</v>
      </c>
    </row>
    <row r="1520" spans="1:11" x14ac:dyDescent="0.25">
      <c r="A1520" t="s">
        <v>2215</v>
      </c>
      <c r="B1520" s="3">
        <v>46308</v>
      </c>
      <c r="C1520" t="s">
        <v>657</v>
      </c>
      <c r="D1520" t="s">
        <v>585</v>
      </c>
      <c r="E1520">
        <v>32</v>
      </c>
      <c r="F1520" t="s">
        <v>355</v>
      </c>
      <c r="G1520" t="s">
        <v>36</v>
      </c>
      <c r="H1520" t="s">
        <v>3948</v>
      </c>
      <c r="I1520" s="2">
        <v>21000</v>
      </c>
      <c r="J1520" t="s">
        <v>250</v>
      </c>
      <c r="K1520" t="s">
        <v>2509</v>
      </c>
    </row>
    <row r="1521" spans="1:11" x14ac:dyDescent="0.25">
      <c r="A1521" t="s">
        <v>2216</v>
      </c>
      <c r="B1521" s="3">
        <v>46308</v>
      </c>
      <c r="C1521" t="s">
        <v>339</v>
      </c>
      <c r="D1521" t="s">
        <v>223</v>
      </c>
      <c r="E1521">
        <v>24</v>
      </c>
      <c r="F1521" t="s">
        <v>2</v>
      </c>
      <c r="G1521" t="s">
        <v>17</v>
      </c>
      <c r="H1521" t="s">
        <v>3949</v>
      </c>
      <c r="I1521" s="2">
        <v>397000</v>
      </c>
      <c r="J1521" t="s">
        <v>34</v>
      </c>
      <c r="K1521" t="s">
        <v>2509</v>
      </c>
    </row>
    <row r="1522" spans="1:11" x14ac:dyDescent="0.25">
      <c r="A1522" t="s">
        <v>2217</v>
      </c>
      <c r="B1522" s="3">
        <v>46308</v>
      </c>
      <c r="C1522" t="s">
        <v>92</v>
      </c>
      <c r="D1522" t="s">
        <v>47</v>
      </c>
      <c r="E1522">
        <v>42</v>
      </c>
      <c r="F1522" t="s">
        <v>2</v>
      </c>
      <c r="G1522" t="s">
        <v>55</v>
      </c>
      <c r="H1522" t="s">
        <v>3950</v>
      </c>
      <c r="I1522" s="2">
        <v>294000</v>
      </c>
      <c r="J1522" t="s">
        <v>93</v>
      </c>
      <c r="K1522" t="s">
        <v>2503</v>
      </c>
    </row>
    <row r="1523" spans="1:11" x14ac:dyDescent="0.25">
      <c r="A1523" t="s">
        <v>2218</v>
      </c>
      <c r="B1523" s="3">
        <v>46308</v>
      </c>
      <c r="C1523" t="s">
        <v>197</v>
      </c>
      <c r="D1523" t="s">
        <v>21</v>
      </c>
      <c r="E1523">
        <v>7</v>
      </c>
      <c r="F1523" t="s">
        <v>2</v>
      </c>
      <c r="G1523" t="s">
        <v>85</v>
      </c>
      <c r="H1523" t="s">
        <v>3951</v>
      </c>
      <c r="I1523" s="2">
        <v>26000</v>
      </c>
      <c r="J1523" t="s">
        <v>171</v>
      </c>
      <c r="K1523" t="s">
        <v>2509</v>
      </c>
    </row>
    <row r="1524" spans="1:11" x14ac:dyDescent="0.25">
      <c r="A1524" t="s">
        <v>2219</v>
      </c>
      <c r="B1524" s="3">
        <v>46308</v>
      </c>
      <c r="C1524" t="s">
        <v>562</v>
      </c>
      <c r="D1524" t="s">
        <v>502</v>
      </c>
      <c r="E1524">
        <v>5</v>
      </c>
      <c r="F1524" t="s">
        <v>469</v>
      </c>
      <c r="G1524" t="s">
        <v>55</v>
      </c>
      <c r="H1524" t="s">
        <v>3952</v>
      </c>
      <c r="I1524" s="2">
        <v>76000</v>
      </c>
      <c r="J1524" t="s">
        <v>104</v>
      </c>
      <c r="K1524" t="s">
        <v>2503</v>
      </c>
    </row>
    <row r="1525" spans="1:11" x14ac:dyDescent="0.25">
      <c r="A1525" t="s">
        <v>2220</v>
      </c>
      <c r="B1525" s="3">
        <v>46308</v>
      </c>
      <c r="C1525" t="s">
        <v>605</v>
      </c>
      <c r="D1525" t="s">
        <v>589</v>
      </c>
      <c r="E1525">
        <v>46</v>
      </c>
      <c r="F1525" t="s">
        <v>469</v>
      </c>
      <c r="G1525" t="s">
        <v>17</v>
      </c>
      <c r="H1525" t="s">
        <v>3953</v>
      </c>
      <c r="I1525" s="2">
        <v>8000</v>
      </c>
      <c r="J1525" t="s">
        <v>117</v>
      </c>
      <c r="K1525" t="s">
        <v>2513</v>
      </c>
    </row>
    <row r="1526" spans="1:11" x14ac:dyDescent="0.25">
      <c r="A1526" t="s">
        <v>2221</v>
      </c>
      <c r="B1526" s="3">
        <v>46308</v>
      </c>
      <c r="C1526" t="s">
        <v>373</v>
      </c>
      <c r="D1526" t="s">
        <v>364</v>
      </c>
      <c r="E1526">
        <v>1</v>
      </c>
      <c r="F1526" t="s">
        <v>358</v>
      </c>
      <c r="G1526" t="s">
        <v>32</v>
      </c>
      <c r="H1526" t="s">
        <v>3954</v>
      </c>
      <c r="I1526" s="2">
        <v>34000</v>
      </c>
      <c r="J1526" t="s">
        <v>206</v>
      </c>
      <c r="K1526" t="s">
        <v>2503</v>
      </c>
    </row>
    <row r="1527" spans="1:11" x14ac:dyDescent="0.25">
      <c r="A1527" t="s">
        <v>2222</v>
      </c>
      <c r="B1527" s="3">
        <v>46308</v>
      </c>
      <c r="C1527" t="s">
        <v>452</v>
      </c>
      <c r="D1527" t="s">
        <v>344</v>
      </c>
      <c r="E1527">
        <v>66</v>
      </c>
      <c r="F1527" t="s">
        <v>346</v>
      </c>
      <c r="G1527" t="s">
        <v>36</v>
      </c>
      <c r="H1527" t="s">
        <v>3955</v>
      </c>
      <c r="I1527" s="2">
        <v>71000</v>
      </c>
      <c r="J1527" t="s">
        <v>250</v>
      </c>
      <c r="K1527" t="s">
        <v>2509</v>
      </c>
    </row>
    <row r="1528" spans="1:11" x14ac:dyDescent="0.25">
      <c r="A1528" t="s">
        <v>2223</v>
      </c>
      <c r="B1528" s="3">
        <v>46308</v>
      </c>
      <c r="C1528" t="s">
        <v>80</v>
      </c>
      <c r="D1528" t="s">
        <v>54</v>
      </c>
      <c r="E1528">
        <v>27</v>
      </c>
      <c r="F1528" t="s">
        <v>2</v>
      </c>
      <c r="G1528" t="s">
        <v>81</v>
      </c>
      <c r="H1528" t="s">
        <v>3956</v>
      </c>
      <c r="I1528" s="2">
        <v>75000</v>
      </c>
      <c r="J1528" t="s">
        <v>83</v>
      </c>
      <c r="K1528" t="s">
        <v>2503</v>
      </c>
    </row>
    <row r="1529" spans="1:11" x14ac:dyDescent="0.25">
      <c r="A1529" t="s">
        <v>2224</v>
      </c>
      <c r="B1529" s="3">
        <v>46309</v>
      </c>
      <c r="C1529" t="s">
        <v>539</v>
      </c>
      <c r="D1529" t="s">
        <v>479</v>
      </c>
      <c r="E1529">
        <v>13</v>
      </c>
      <c r="F1529" t="s">
        <v>469</v>
      </c>
      <c r="G1529" t="s">
        <v>17</v>
      </c>
      <c r="H1529" t="s">
        <v>3957</v>
      </c>
      <c r="I1529" s="2">
        <v>32000</v>
      </c>
      <c r="J1529" t="s">
        <v>327</v>
      </c>
      <c r="K1529" t="s">
        <v>2509</v>
      </c>
    </row>
    <row r="1530" spans="1:11" x14ac:dyDescent="0.25">
      <c r="A1530" t="s">
        <v>2225</v>
      </c>
      <c r="B1530" s="3">
        <v>46309</v>
      </c>
      <c r="C1530" t="s">
        <v>239</v>
      </c>
      <c r="D1530" t="s">
        <v>240</v>
      </c>
      <c r="E1530">
        <v>4</v>
      </c>
      <c r="F1530" t="s">
        <v>2</v>
      </c>
      <c r="G1530" t="s">
        <v>85</v>
      </c>
      <c r="H1530" t="s">
        <v>3958</v>
      </c>
      <c r="I1530" s="2">
        <v>427000</v>
      </c>
      <c r="J1530" t="s">
        <v>100</v>
      </c>
      <c r="K1530" t="s">
        <v>2500</v>
      </c>
    </row>
    <row r="1531" spans="1:11" x14ac:dyDescent="0.25">
      <c r="A1531" t="s">
        <v>2226</v>
      </c>
      <c r="B1531" s="3">
        <v>46309</v>
      </c>
      <c r="C1531" t="s">
        <v>337</v>
      </c>
      <c r="D1531" t="s">
        <v>240</v>
      </c>
      <c r="E1531">
        <v>50</v>
      </c>
      <c r="F1531" t="s">
        <v>2</v>
      </c>
      <c r="G1531" t="s">
        <v>85</v>
      </c>
      <c r="H1531" t="s">
        <v>3959</v>
      </c>
      <c r="I1531" s="2">
        <v>650000</v>
      </c>
      <c r="J1531" t="s">
        <v>142</v>
      </c>
      <c r="K1531" t="s">
        <v>2503</v>
      </c>
    </row>
    <row r="1532" spans="1:11" x14ac:dyDescent="0.25">
      <c r="A1532" t="s">
        <v>2227</v>
      </c>
      <c r="B1532" s="3">
        <v>46309</v>
      </c>
      <c r="C1532" t="s">
        <v>263</v>
      </c>
      <c r="D1532" t="s">
        <v>213</v>
      </c>
      <c r="E1532">
        <v>45</v>
      </c>
      <c r="F1532" t="s">
        <v>2</v>
      </c>
      <c r="G1532" t="s">
        <v>40</v>
      </c>
      <c r="H1532" t="s">
        <v>3960</v>
      </c>
      <c r="I1532" s="2">
        <v>5415000</v>
      </c>
      <c r="J1532" t="s">
        <v>175</v>
      </c>
      <c r="K1532" t="s">
        <v>2509</v>
      </c>
    </row>
    <row r="1533" spans="1:11" x14ac:dyDescent="0.25">
      <c r="A1533" t="s">
        <v>2228</v>
      </c>
      <c r="B1533" s="3">
        <v>46309</v>
      </c>
      <c r="C1533" t="s">
        <v>127</v>
      </c>
      <c r="D1533" t="s">
        <v>26</v>
      </c>
      <c r="E1533">
        <v>44</v>
      </c>
      <c r="F1533" t="s">
        <v>2</v>
      </c>
      <c r="G1533" t="s">
        <v>85</v>
      </c>
      <c r="H1533" t="s">
        <v>3961</v>
      </c>
      <c r="I1533" s="2">
        <v>439000</v>
      </c>
      <c r="J1533" t="s">
        <v>100</v>
      </c>
      <c r="K1533" t="s">
        <v>2500</v>
      </c>
    </row>
    <row r="1534" spans="1:11" x14ac:dyDescent="0.25">
      <c r="A1534" t="s">
        <v>2229</v>
      </c>
      <c r="B1534" s="3">
        <v>46309</v>
      </c>
      <c r="C1534" t="s">
        <v>555</v>
      </c>
      <c r="D1534" t="s">
        <v>502</v>
      </c>
      <c r="E1534">
        <v>25</v>
      </c>
      <c r="F1534" t="s">
        <v>469</v>
      </c>
      <c r="G1534" t="s">
        <v>40</v>
      </c>
      <c r="H1534" t="s">
        <v>3962</v>
      </c>
      <c r="I1534" s="2">
        <v>115000</v>
      </c>
      <c r="J1534" t="s">
        <v>124</v>
      </c>
      <c r="K1534" t="s">
        <v>2503</v>
      </c>
    </row>
    <row r="1535" spans="1:11" x14ac:dyDescent="0.25">
      <c r="A1535" t="s">
        <v>2230</v>
      </c>
      <c r="B1535" s="3">
        <v>46309</v>
      </c>
      <c r="C1535" t="s">
        <v>604</v>
      </c>
      <c r="D1535" t="s">
        <v>599</v>
      </c>
      <c r="E1535">
        <v>19</v>
      </c>
      <c r="F1535" t="s">
        <v>2</v>
      </c>
      <c r="G1535" t="s">
        <v>48</v>
      </c>
      <c r="H1535" t="s">
        <v>3963</v>
      </c>
      <c r="I1535" s="2">
        <v>117000</v>
      </c>
      <c r="J1535" t="s">
        <v>110</v>
      </c>
      <c r="K1535" t="s">
        <v>2503</v>
      </c>
    </row>
    <row r="1536" spans="1:11" x14ac:dyDescent="0.25">
      <c r="A1536" t="s">
        <v>2231</v>
      </c>
      <c r="B1536" s="3">
        <v>46309</v>
      </c>
      <c r="C1536" t="s">
        <v>252</v>
      </c>
      <c r="D1536" t="s">
        <v>216</v>
      </c>
      <c r="E1536">
        <v>50</v>
      </c>
      <c r="F1536" t="s">
        <v>2</v>
      </c>
      <c r="G1536" t="s">
        <v>36</v>
      </c>
      <c r="H1536" t="s">
        <v>3964</v>
      </c>
      <c r="I1536" s="2">
        <v>749000</v>
      </c>
      <c r="J1536" t="s">
        <v>52</v>
      </c>
      <c r="K1536" t="s">
        <v>2509</v>
      </c>
    </row>
    <row r="1537" spans="1:11" x14ac:dyDescent="0.25">
      <c r="A1537" t="s">
        <v>2232</v>
      </c>
      <c r="B1537" s="3">
        <v>46309</v>
      </c>
      <c r="C1537" t="s">
        <v>665</v>
      </c>
      <c r="D1537" t="s">
        <v>589</v>
      </c>
      <c r="E1537">
        <v>62</v>
      </c>
      <c r="F1537" t="s">
        <v>469</v>
      </c>
      <c r="G1537" t="s">
        <v>40</v>
      </c>
      <c r="H1537" t="s">
        <v>3965</v>
      </c>
      <c r="I1537" s="2">
        <v>18000</v>
      </c>
      <c r="J1537" t="s">
        <v>274</v>
      </c>
      <c r="K1537" t="s">
        <v>2500</v>
      </c>
    </row>
    <row r="1538" spans="1:11" x14ac:dyDescent="0.25">
      <c r="A1538" t="s">
        <v>2233</v>
      </c>
      <c r="B1538" s="3">
        <v>46309</v>
      </c>
      <c r="C1538" t="s">
        <v>39</v>
      </c>
      <c r="D1538" t="s">
        <v>21</v>
      </c>
      <c r="E1538">
        <v>63</v>
      </c>
      <c r="F1538" t="s">
        <v>2</v>
      </c>
      <c r="G1538" t="s">
        <v>40</v>
      </c>
      <c r="H1538" t="s">
        <v>3966</v>
      </c>
      <c r="I1538" s="2">
        <v>35000</v>
      </c>
      <c r="J1538" t="s">
        <v>42</v>
      </c>
      <c r="K1538" t="s">
        <v>2509</v>
      </c>
    </row>
    <row r="1539" spans="1:11" x14ac:dyDescent="0.25">
      <c r="A1539" t="s">
        <v>2234</v>
      </c>
      <c r="B1539" s="3">
        <v>46309</v>
      </c>
      <c r="C1539" t="s">
        <v>347</v>
      </c>
      <c r="D1539" t="s">
        <v>344</v>
      </c>
      <c r="E1539">
        <v>23</v>
      </c>
      <c r="F1539" t="s">
        <v>346</v>
      </c>
      <c r="G1539" t="s">
        <v>48</v>
      </c>
      <c r="H1539" t="s">
        <v>3967</v>
      </c>
      <c r="I1539" s="2">
        <v>45000</v>
      </c>
      <c r="J1539" t="s">
        <v>185</v>
      </c>
      <c r="K1539" t="s">
        <v>2500</v>
      </c>
    </row>
    <row r="1540" spans="1:11" x14ac:dyDescent="0.25">
      <c r="A1540" t="s">
        <v>2235</v>
      </c>
      <c r="B1540" s="3">
        <v>46309</v>
      </c>
      <c r="C1540" t="s">
        <v>617</v>
      </c>
      <c r="D1540" t="s">
        <v>594</v>
      </c>
      <c r="E1540">
        <v>18</v>
      </c>
      <c r="F1540" t="s">
        <v>595</v>
      </c>
      <c r="G1540" t="s">
        <v>32</v>
      </c>
      <c r="H1540" t="s">
        <v>3968</v>
      </c>
      <c r="I1540" s="2">
        <v>5000</v>
      </c>
      <c r="J1540" t="s">
        <v>259</v>
      </c>
      <c r="K1540" t="s">
        <v>2500</v>
      </c>
    </row>
    <row r="1541" spans="1:11" x14ac:dyDescent="0.25">
      <c r="A1541" t="s">
        <v>2236</v>
      </c>
      <c r="B1541" s="3">
        <v>46309</v>
      </c>
      <c r="C1541" t="s">
        <v>533</v>
      </c>
      <c r="D1541" t="s">
        <v>474</v>
      </c>
      <c r="E1541">
        <v>51</v>
      </c>
      <c r="F1541" t="s">
        <v>2</v>
      </c>
      <c r="G1541" t="s">
        <v>55</v>
      </c>
      <c r="H1541" t="s">
        <v>3969</v>
      </c>
      <c r="I1541" s="2">
        <v>5000</v>
      </c>
      <c r="J1541" t="s">
        <v>59</v>
      </c>
      <c r="K1541" t="s">
        <v>2500</v>
      </c>
    </row>
    <row r="1542" spans="1:11" x14ac:dyDescent="0.25">
      <c r="A1542" t="s">
        <v>2237</v>
      </c>
      <c r="B1542" s="3">
        <v>46309</v>
      </c>
      <c r="C1542" t="s">
        <v>120</v>
      </c>
      <c r="D1542" t="s">
        <v>54</v>
      </c>
      <c r="E1542">
        <v>53</v>
      </c>
      <c r="F1542" t="s">
        <v>2</v>
      </c>
      <c r="G1542" t="s">
        <v>61</v>
      </c>
      <c r="H1542" t="s">
        <v>3970</v>
      </c>
      <c r="I1542" s="2">
        <v>88000</v>
      </c>
      <c r="J1542" t="s">
        <v>121</v>
      </c>
      <c r="K1542" t="s">
        <v>2509</v>
      </c>
    </row>
    <row r="1543" spans="1:11" x14ac:dyDescent="0.25">
      <c r="A1543" t="s">
        <v>2238</v>
      </c>
      <c r="B1543" s="3">
        <v>46309</v>
      </c>
      <c r="C1543" t="s">
        <v>262</v>
      </c>
      <c r="D1543" t="s">
        <v>223</v>
      </c>
      <c r="E1543">
        <v>6</v>
      </c>
      <c r="F1543" t="s">
        <v>2</v>
      </c>
      <c r="G1543" t="s">
        <v>36</v>
      </c>
      <c r="H1543" t="s">
        <v>3971</v>
      </c>
      <c r="I1543" s="2">
        <v>217000</v>
      </c>
      <c r="J1543" t="s">
        <v>259</v>
      </c>
      <c r="K1543" t="s">
        <v>2513</v>
      </c>
    </row>
    <row r="1544" spans="1:11" x14ac:dyDescent="0.25">
      <c r="A1544" t="s">
        <v>2239</v>
      </c>
      <c r="B1544" s="3">
        <v>46309</v>
      </c>
      <c r="C1544" t="s">
        <v>415</v>
      </c>
      <c r="D1544" t="s">
        <v>382</v>
      </c>
      <c r="E1544">
        <v>69</v>
      </c>
      <c r="F1544" t="s">
        <v>383</v>
      </c>
      <c r="G1544" t="s">
        <v>22</v>
      </c>
      <c r="H1544" t="s">
        <v>3972</v>
      </c>
      <c r="I1544" s="2">
        <v>179000</v>
      </c>
      <c r="J1544" t="s">
        <v>152</v>
      </c>
      <c r="K1544" t="s">
        <v>2500</v>
      </c>
    </row>
    <row r="1545" spans="1:11" x14ac:dyDescent="0.25">
      <c r="A1545" t="s">
        <v>2240</v>
      </c>
      <c r="B1545" s="3">
        <v>46309</v>
      </c>
      <c r="C1545" t="s">
        <v>404</v>
      </c>
      <c r="D1545" t="s">
        <v>357</v>
      </c>
      <c r="E1545">
        <v>32</v>
      </c>
      <c r="F1545" t="s">
        <v>358</v>
      </c>
      <c r="G1545" t="s">
        <v>32</v>
      </c>
      <c r="H1545" t="s">
        <v>3973</v>
      </c>
      <c r="I1545" s="2">
        <v>25000</v>
      </c>
      <c r="J1545" t="s">
        <v>149</v>
      </c>
      <c r="K1545" t="s">
        <v>2513</v>
      </c>
    </row>
    <row r="1546" spans="1:11" x14ac:dyDescent="0.25">
      <c r="A1546" t="s">
        <v>2241</v>
      </c>
      <c r="B1546" s="3">
        <v>46309</v>
      </c>
      <c r="C1546" t="s">
        <v>138</v>
      </c>
      <c r="D1546" t="s">
        <v>44</v>
      </c>
      <c r="E1546">
        <v>7</v>
      </c>
      <c r="F1546" t="s">
        <v>2</v>
      </c>
      <c r="G1546" t="s">
        <v>17</v>
      </c>
      <c r="H1546" t="s">
        <v>3974</v>
      </c>
      <c r="I1546" s="2">
        <v>20000</v>
      </c>
      <c r="J1546" t="s">
        <v>98</v>
      </c>
      <c r="K1546" t="s">
        <v>2500</v>
      </c>
    </row>
    <row r="1547" spans="1:11" x14ac:dyDescent="0.25">
      <c r="A1547" t="s">
        <v>2242</v>
      </c>
      <c r="B1547" s="3">
        <v>46309</v>
      </c>
      <c r="C1547" t="s">
        <v>655</v>
      </c>
      <c r="D1547" t="s">
        <v>597</v>
      </c>
      <c r="E1547">
        <v>16</v>
      </c>
      <c r="F1547" t="s">
        <v>355</v>
      </c>
      <c r="G1547" t="s">
        <v>61</v>
      </c>
      <c r="H1547" t="s">
        <v>3975</v>
      </c>
      <c r="I1547" s="2">
        <v>55000</v>
      </c>
      <c r="J1547" t="s">
        <v>289</v>
      </c>
      <c r="K1547" t="s">
        <v>2513</v>
      </c>
    </row>
    <row r="1548" spans="1:11" x14ac:dyDescent="0.25">
      <c r="A1548" t="s">
        <v>2243</v>
      </c>
      <c r="B1548" s="3">
        <v>46309</v>
      </c>
      <c r="C1548" t="s">
        <v>429</v>
      </c>
      <c r="D1548" t="s">
        <v>351</v>
      </c>
      <c r="E1548">
        <v>30</v>
      </c>
      <c r="F1548" t="s">
        <v>2</v>
      </c>
      <c r="G1548" t="s">
        <v>22</v>
      </c>
      <c r="H1548" t="s">
        <v>3976</v>
      </c>
      <c r="I1548" s="2">
        <v>625000</v>
      </c>
      <c r="J1548" t="s">
        <v>126</v>
      </c>
      <c r="K1548" t="s">
        <v>2513</v>
      </c>
    </row>
    <row r="1549" spans="1:11" x14ac:dyDescent="0.25">
      <c r="A1549" t="s">
        <v>2244</v>
      </c>
      <c r="B1549" s="3">
        <v>46309</v>
      </c>
      <c r="C1549" t="s">
        <v>342</v>
      </c>
      <c r="D1549" t="s">
        <v>240</v>
      </c>
      <c r="E1549">
        <v>16</v>
      </c>
      <c r="F1549" t="s">
        <v>2</v>
      </c>
      <c r="G1549" t="s">
        <v>36</v>
      </c>
      <c r="H1549" t="s">
        <v>3977</v>
      </c>
      <c r="I1549" s="2">
        <v>442000</v>
      </c>
      <c r="J1549" t="s">
        <v>195</v>
      </c>
      <c r="K1549" t="s">
        <v>2500</v>
      </c>
    </row>
    <row r="1550" spans="1:11" x14ac:dyDescent="0.25">
      <c r="A1550" t="s">
        <v>2245</v>
      </c>
      <c r="B1550" s="3">
        <v>46309</v>
      </c>
      <c r="C1550" t="s">
        <v>39</v>
      </c>
      <c r="D1550" t="s">
        <v>21</v>
      </c>
      <c r="E1550">
        <v>27</v>
      </c>
      <c r="F1550" t="s">
        <v>2</v>
      </c>
      <c r="G1550" t="s">
        <v>40</v>
      </c>
      <c r="H1550" t="s">
        <v>3978</v>
      </c>
      <c r="I1550" s="2">
        <v>35000</v>
      </c>
      <c r="J1550" t="s">
        <v>42</v>
      </c>
      <c r="K1550" t="s">
        <v>2500</v>
      </c>
    </row>
    <row r="1551" spans="1:11" x14ac:dyDescent="0.25">
      <c r="A1551" t="s">
        <v>2246</v>
      </c>
      <c r="B1551" s="3">
        <v>46309</v>
      </c>
      <c r="C1551" t="s">
        <v>143</v>
      </c>
      <c r="D1551" t="s">
        <v>47</v>
      </c>
      <c r="E1551">
        <v>53</v>
      </c>
      <c r="F1551" t="s">
        <v>2</v>
      </c>
      <c r="G1551" t="s">
        <v>48</v>
      </c>
      <c r="H1551" t="s">
        <v>3979</v>
      </c>
      <c r="I1551" s="2">
        <v>171000</v>
      </c>
      <c r="J1551" t="s">
        <v>144</v>
      </c>
      <c r="K1551" t="s">
        <v>2500</v>
      </c>
    </row>
    <row r="1552" spans="1:11" x14ac:dyDescent="0.25">
      <c r="A1552" t="s">
        <v>2247</v>
      </c>
      <c r="B1552" s="3">
        <v>46309</v>
      </c>
      <c r="C1552" t="s">
        <v>194</v>
      </c>
      <c r="D1552" t="s">
        <v>47</v>
      </c>
      <c r="E1552">
        <v>10</v>
      </c>
      <c r="F1552" t="s">
        <v>2</v>
      </c>
      <c r="G1552" t="s">
        <v>32</v>
      </c>
      <c r="H1552" t="s">
        <v>3980</v>
      </c>
      <c r="I1552" s="2">
        <v>284000</v>
      </c>
      <c r="J1552" t="s">
        <v>195</v>
      </c>
      <c r="K1552" t="s">
        <v>2513</v>
      </c>
    </row>
    <row r="1553" spans="1:11" x14ac:dyDescent="0.25">
      <c r="A1553" t="s">
        <v>2248</v>
      </c>
      <c r="B1553" s="3">
        <v>46309</v>
      </c>
      <c r="C1553" t="s">
        <v>588</v>
      </c>
      <c r="D1553" t="s">
        <v>589</v>
      </c>
      <c r="E1553">
        <v>11</v>
      </c>
      <c r="F1553" t="s">
        <v>469</v>
      </c>
      <c r="G1553" t="s">
        <v>61</v>
      </c>
      <c r="H1553" t="s">
        <v>3981</v>
      </c>
      <c r="I1553" s="2">
        <v>15000</v>
      </c>
      <c r="J1553" t="s">
        <v>19</v>
      </c>
      <c r="K1553" t="s">
        <v>2500</v>
      </c>
    </row>
    <row r="1554" spans="1:11" x14ac:dyDescent="0.25">
      <c r="A1554" t="s">
        <v>2249</v>
      </c>
      <c r="B1554" s="3">
        <v>46309</v>
      </c>
      <c r="C1554" t="s">
        <v>426</v>
      </c>
      <c r="D1554" t="s">
        <v>357</v>
      </c>
      <c r="E1554">
        <v>47</v>
      </c>
      <c r="F1554" t="s">
        <v>358</v>
      </c>
      <c r="G1554" t="s">
        <v>40</v>
      </c>
      <c r="H1554" t="s">
        <v>3982</v>
      </c>
      <c r="I1554" s="2">
        <v>25000</v>
      </c>
      <c r="J1554" t="s">
        <v>42</v>
      </c>
      <c r="K1554" t="s">
        <v>2500</v>
      </c>
    </row>
    <row r="1555" spans="1:11" x14ac:dyDescent="0.25">
      <c r="A1555" t="s">
        <v>2250</v>
      </c>
      <c r="B1555" s="3">
        <v>46309</v>
      </c>
      <c r="C1555" t="s">
        <v>693</v>
      </c>
      <c r="D1555" t="s">
        <v>582</v>
      </c>
      <c r="E1555">
        <v>70</v>
      </c>
      <c r="F1555" t="s">
        <v>2</v>
      </c>
      <c r="G1555" t="s">
        <v>36</v>
      </c>
      <c r="H1555" t="s">
        <v>3983</v>
      </c>
      <c r="I1555" s="2">
        <v>136000</v>
      </c>
      <c r="J1555" t="s">
        <v>175</v>
      </c>
      <c r="K1555" t="s">
        <v>2503</v>
      </c>
    </row>
    <row r="1556" spans="1:11" x14ac:dyDescent="0.25">
      <c r="A1556" t="s">
        <v>2251</v>
      </c>
      <c r="B1556" s="3">
        <v>46309</v>
      </c>
      <c r="C1556" t="s">
        <v>426</v>
      </c>
      <c r="D1556" t="s">
        <v>357</v>
      </c>
      <c r="E1556">
        <v>69</v>
      </c>
      <c r="F1556" t="s">
        <v>358</v>
      </c>
      <c r="G1556" t="s">
        <v>40</v>
      </c>
      <c r="H1556" t="s">
        <v>3984</v>
      </c>
      <c r="I1556" s="2">
        <v>25000</v>
      </c>
      <c r="J1556" t="s">
        <v>42</v>
      </c>
      <c r="K1556" t="s">
        <v>2509</v>
      </c>
    </row>
    <row r="1557" spans="1:11" x14ac:dyDescent="0.25">
      <c r="A1557" t="s">
        <v>2252</v>
      </c>
      <c r="B1557" s="3">
        <v>46309</v>
      </c>
      <c r="C1557" t="s">
        <v>370</v>
      </c>
      <c r="D1557" t="s">
        <v>344</v>
      </c>
      <c r="E1557">
        <v>70</v>
      </c>
      <c r="F1557" t="s">
        <v>346</v>
      </c>
      <c r="G1557" t="s">
        <v>32</v>
      </c>
      <c r="H1557" t="s">
        <v>3985</v>
      </c>
      <c r="I1557" s="2">
        <v>60000</v>
      </c>
      <c r="J1557" t="s">
        <v>24</v>
      </c>
      <c r="K1557" t="s">
        <v>2509</v>
      </c>
    </row>
    <row r="1558" spans="1:11" x14ac:dyDescent="0.25">
      <c r="A1558" t="s">
        <v>2253</v>
      </c>
      <c r="B1558" s="3">
        <v>46309</v>
      </c>
      <c r="C1558" t="s">
        <v>645</v>
      </c>
      <c r="D1558" t="s">
        <v>612</v>
      </c>
      <c r="E1558">
        <v>44</v>
      </c>
      <c r="F1558" t="s">
        <v>2</v>
      </c>
      <c r="G1558" t="s">
        <v>55</v>
      </c>
      <c r="H1558" t="s">
        <v>3986</v>
      </c>
      <c r="I1558" s="2">
        <v>14000</v>
      </c>
      <c r="J1558" t="s">
        <v>297</v>
      </c>
      <c r="K1558" t="s">
        <v>2509</v>
      </c>
    </row>
    <row r="1559" spans="1:11" x14ac:dyDescent="0.25">
      <c r="A1559" t="s">
        <v>2254</v>
      </c>
      <c r="B1559" s="3">
        <v>46309</v>
      </c>
      <c r="C1559" t="s">
        <v>540</v>
      </c>
      <c r="D1559" t="s">
        <v>476</v>
      </c>
      <c r="E1559">
        <v>68</v>
      </c>
      <c r="F1559" t="s">
        <v>477</v>
      </c>
      <c r="G1559" t="s">
        <v>40</v>
      </c>
      <c r="H1559" t="s">
        <v>3987</v>
      </c>
      <c r="I1559" s="2">
        <v>4000</v>
      </c>
      <c r="J1559" t="s">
        <v>324</v>
      </c>
      <c r="K1559" t="s">
        <v>2503</v>
      </c>
    </row>
    <row r="1560" spans="1:11" x14ac:dyDescent="0.25">
      <c r="A1560" t="s">
        <v>2255</v>
      </c>
      <c r="B1560" s="3">
        <v>46309</v>
      </c>
      <c r="C1560" t="s">
        <v>664</v>
      </c>
      <c r="D1560" t="s">
        <v>612</v>
      </c>
      <c r="E1560">
        <v>50</v>
      </c>
      <c r="F1560" t="s">
        <v>2</v>
      </c>
      <c r="G1560" t="s">
        <v>36</v>
      </c>
      <c r="H1560" t="s">
        <v>3988</v>
      </c>
      <c r="I1560" s="2">
        <v>15000</v>
      </c>
      <c r="J1560" t="s">
        <v>265</v>
      </c>
      <c r="K1560" t="s">
        <v>2509</v>
      </c>
    </row>
    <row r="1561" spans="1:11" x14ac:dyDescent="0.25">
      <c r="A1561" t="s">
        <v>2256</v>
      </c>
      <c r="B1561" s="3">
        <v>46309</v>
      </c>
      <c r="C1561" t="s">
        <v>380</v>
      </c>
      <c r="D1561" t="s">
        <v>344</v>
      </c>
      <c r="E1561">
        <v>18</v>
      </c>
      <c r="F1561" t="s">
        <v>346</v>
      </c>
      <c r="G1561" t="s">
        <v>85</v>
      </c>
      <c r="H1561" t="s">
        <v>3989</v>
      </c>
      <c r="I1561" s="2">
        <v>63000</v>
      </c>
      <c r="J1561" t="s">
        <v>129</v>
      </c>
      <c r="K1561" t="s">
        <v>2509</v>
      </c>
    </row>
    <row r="1562" spans="1:11" x14ac:dyDescent="0.25">
      <c r="A1562" t="s">
        <v>2257</v>
      </c>
      <c r="B1562" s="3">
        <v>46309</v>
      </c>
      <c r="C1562" t="s">
        <v>307</v>
      </c>
      <c r="D1562" t="s">
        <v>210</v>
      </c>
      <c r="E1562">
        <v>39</v>
      </c>
      <c r="F1562" t="s">
        <v>2</v>
      </c>
      <c r="G1562" t="s">
        <v>61</v>
      </c>
      <c r="H1562" t="s">
        <v>3990</v>
      </c>
      <c r="I1562" s="2">
        <v>8538000</v>
      </c>
      <c r="J1562" t="s">
        <v>57</v>
      </c>
      <c r="K1562" t="s">
        <v>2500</v>
      </c>
    </row>
    <row r="1563" spans="1:11" x14ac:dyDescent="0.25">
      <c r="A1563" t="s">
        <v>2258</v>
      </c>
      <c r="B1563" s="3">
        <v>46309</v>
      </c>
      <c r="C1563" t="s">
        <v>650</v>
      </c>
      <c r="D1563" t="s">
        <v>587</v>
      </c>
      <c r="E1563">
        <v>69</v>
      </c>
      <c r="F1563" t="s">
        <v>2</v>
      </c>
      <c r="G1563" t="s">
        <v>40</v>
      </c>
      <c r="H1563" t="s">
        <v>3991</v>
      </c>
      <c r="I1563" s="2">
        <v>14000</v>
      </c>
      <c r="J1563" t="s">
        <v>289</v>
      </c>
      <c r="K1563" t="s">
        <v>2509</v>
      </c>
    </row>
    <row r="1564" spans="1:11" x14ac:dyDescent="0.25">
      <c r="A1564" t="s">
        <v>2259</v>
      </c>
      <c r="B1564" s="3">
        <v>46309</v>
      </c>
      <c r="C1564" t="s">
        <v>352</v>
      </c>
      <c r="D1564" t="s">
        <v>344</v>
      </c>
      <c r="E1564">
        <v>44</v>
      </c>
      <c r="F1564" t="s">
        <v>346</v>
      </c>
      <c r="G1564" t="s">
        <v>48</v>
      </c>
      <c r="H1564" t="s">
        <v>3992</v>
      </c>
      <c r="I1564" s="2">
        <v>45000</v>
      </c>
      <c r="J1564" t="s">
        <v>189</v>
      </c>
      <c r="K1564" t="s">
        <v>2513</v>
      </c>
    </row>
    <row r="1565" spans="1:11" x14ac:dyDescent="0.25">
      <c r="A1565" t="s">
        <v>2260</v>
      </c>
      <c r="B1565" s="3">
        <v>46309</v>
      </c>
      <c r="C1565" t="s">
        <v>214</v>
      </c>
      <c r="D1565" t="s">
        <v>210</v>
      </c>
      <c r="E1565">
        <v>48</v>
      </c>
      <c r="F1565" t="s">
        <v>2</v>
      </c>
      <c r="G1565" t="s">
        <v>32</v>
      </c>
      <c r="H1565" t="s">
        <v>3993</v>
      </c>
      <c r="I1565" s="2">
        <v>10116000</v>
      </c>
      <c r="J1565" t="s">
        <v>100</v>
      </c>
      <c r="K1565" t="s">
        <v>2500</v>
      </c>
    </row>
    <row r="1566" spans="1:11" x14ac:dyDescent="0.25">
      <c r="A1566" t="s">
        <v>2261</v>
      </c>
      <c r="B1566" s="3">
        <v>46309</v>
      </c>
      <c r="C1566" t="s">
        <v>431</v>
      </c>
      <c r="D1566" t="s">
        <v>354</v>
      </c>
      <c r="E1566">
        <v>64</v>
      </c>
      <c r="F1566" t="s">
        <v>355</v>
      </c>
      <c r="G1566" t="s">
        <v>32</v>
      </c>
      <c r="H1566" t="s">
        <v>3994</v>
      </c>
      <c r="I1566" s="2">
        <v>9000</v>
      </c>
      <c r="J1566" t="s">
        <v>87</v>
      </c>
      <c r="K1566" t="s">
        <v>2503</v>
      </c>
    </row>
    <row r="1567" spans="1:11" x14ac:dyDescent="0.25">
      <c r="A1567" t="s">
        <v>2262</v>
      </c>
      <c r="B1567" s="3">
        <v>46309</v>
      </c>
      <c r="C1567" t="s">
        <v>92</v>
      </c>
      <c r="D1567" t="s">
        <v>47</v>
      </c>
      <c r="E1567">
        <v>44</v>
      </c>
      <c r="F1567" t="s">
        <v>2</v>
      </c>
      <c r="G1567" t="s">
        <v>55</v>
      </c>
      <c r="H1567" t="s">
        <v>3995</v>
      </c>
      <c r="I1567" s="2">
        <v>294000</v>
      </c>
      <c r="J1567" t="s">
        <v>93</v>
      </c>
      <c r="K1567" t="s">
        <v>2500</v>
      </c>
    </row>
    <row r="1568" spans="1:11" x14ac:dyDescent="0.25">
      <c r="A1568" t="s">
        <v>2263</v>
      </c>
      <c r="B1568" s="3">
        <v>46310</v>
      </c>
      <c r="C1568" t="s">
        <v>411</v>
      </c>
      <c r="D1568" t="s">
        <v>366</v>
      </c>
      <c r="E1568">
        <v>13</v>
      </c>
      <c r="F1568" t="s">
        <v>2</v>
      </c>
      <c r="G1568" t="s">
        <v>85</v>
      </c>
      <c r="H1568" t="s">
        <v>3996</v>
      </c>
      <c r="I1568" s="2">
        <v>68000</v>
      </c>
      <c r="J1568" t="s">
        <v>312</v>
      </c>
      <c r="K1568" t="s">
        <v>2500</v>
      </c>
    </row>
    <row r="1569" spans="1:11" x14ac:dyDescent="0.25">
      <c r="A1569" t="s">
        <v>2264</v>
      </c>
      <c r="B1569" s="3">
        <v>46310</v>
      </c>
      <c r="C1569" t="s">
        <v>575</v>
      </c>
      <c r="D1569" t="s">
        <v>467</v>
      </c>
      <c r="E1569">
        <v>54</v>
      </c>
      <c r="F1569" t="s">
        <v>469</v>
      </c>
      <c r="G1569" t="s">
        <v>36</v>
      </c>
      <c r="H1569" t="s">
        <v>3997</v>
      </c>
      <c r="I1569" s="2">
        <v>33000</v>
      </c>
      <c r="J1569" t="s">
        <v>108</v>
      </c>
      <c r="K1569" t="s">
        <v>2509</v>
      </c>
    </row>
    <row r="1570" spans="1:11" x14ac:dyDescent="0.25">
      <c r="A1570" t="s">
        <v>2265</v>
      </c>
      <c r="B1570" s="3">
        <v>46310</v>
      </c>
      <c r="C1570" t="s">
        <v>442</v>
      </c>
      <c r="D1570" t="s">
        <v>382</v>
      </c>
      <c r="E1570">
        <v>31</v>
      </c>
      <c r="F1570" t="s">
        <v>383</v>
      </c>
      <c r="G1570" t="s">
        <v>36</v>
      </c>
      <c r="H1570" t="s">
        <v>3998</v>
      </c>
      <c r="I1570" s="2">
        <v>83000</v>
      </c>
      <c r="J1570" t="s">
        <v>203</v>
      </c>
      <c r="K1570" t="s">
        <v>2500</v>
      </c>
    </row>
    <row r="1571" spans="1:11" x14ac:dyDescent="0.25">
      <c r="A1571" t="s">
        <v>2266</v>
      </c>
      <c r="B1571" s="3">
        <v>46310</v>
      </c>
      <c r="C1571" t="s">
        <v>188</v>
      </c>
      <c r="D1571" t="s">
        <v>29</v>
      </c>
      <c r="E1571">
        <v>48</v>
      </c>
      <c r="F1571" t="s">
        <v>2</v>
      </c>
      <c r="G1571" t="s">
        <v>48</v>
      </c>
      <c r="H1571" t="s">
        <v>3999</v>
      </c>
      <c r="I1571" s="2">
        <v>192000</v>
      </c>
      <c r="J1571" t="s">
        <v>189</v>
      </c>
      <c r="K1571" t="s">
        <v>2509</v>
      </c>
    </row>
    <row r="1572" spans="1:11" x14ac:dyDescent="0.25">
      <c r="A1572" t="s">
        <v>2267</v>
      </c>
      <c r="B1572" s="3">
        <v>46310</v>
      </c>
      <c r="C1572" t="s">
        <v>70</v>
      </c>
      <c r="D1572" t="s">
        <v>1</v>
      </c>
      <c r="E1572">
        <v>8</v>
      </c>
      <c r="F1572" t="s">
        <v>2</v>
      </c>
      <c r="G1572" t="s">
        <v>48</v>
      </c>
      <c r="H1572" t="s">
        <v>4000</v>
      </c>
      <c r="I1572" s="2">
        <v>59000</v>
      </c>
      <c r="J1572" t="s">
        <v>71</v>
      </c>
      <c r="K1572" t="s">
        <v>2513</v>
      </c>
    </row>
    <row r="1573" spans="1:11" x14ac:dyDescent="0.25">
      <c r="A1573" t="s">
        <v>2268</v>
      </c>
      <c r="B1573" s="3">
        <v>46310</v>
      </c>
      <c r="C1573" t="s">
        <v>632</v>
      </c>
      <c r="D1573" t="s">
        <v>587</v>
      </c>
      <c r="E1573">
        <v>13</v>
      </c>
      <c r="F1573" t="s">
        <v>2</v>
      </c>
      <c r="G1573" t="s">
        <v>17</v>
      </c>
      <c r="H1573" t="s">
        <v>4001</v>
      </c>
      <c r="I1573" s="2">
        <v>44000</v>
      </c>
      <c r="J1573" t="s">
        <v>327</v>
      </c>
      <c r="K1573" t="s">
        <v>2513</v>
      </c>
    </row>
    <row r="1574" spans="1:11" x14ac:dyDescent="0.25">
      <c r="A1574" t="s">
        <v>2269</v>
      </c>
      <c r="B1574" s="3">
        <v>46310</v>
      </c>
      <c r="C1574" t="s">
        <v>222</v>
      </c>
      <c r="D1574" t="s">
        <v>223</v>
      </c>
      <c r="E1574">
        <v>56</v>
      </c>
      <c r="F1574" t="s">
        <v>2</v>
      </c>
      <c r="G1574" t="s">
        <v>48</v>
      </c>
      <c r="H1574" t="s">
        <v>4002</v>
      </c>
      <c r="I1574" s="2">
        <v>1150000</v>
      </c>
      <c r="J1574" t="s">
        <v>189</v>
      </c>
      <c r="K1574" t="s">
        <v>2503</v>
      </c>
    </row>
    <row r="1575" spans="1:11" x14ac:dyDescent="0.25">
      <c r="A1575" t="s">
        <v>2270</v>
      </c>
      <c r="B1575" s="3">
        <v>46310</v>
      </c>
      <c r="C1575" t="s">
        <v>160</v>
      </c>
      <c r="D1575" t="s">
        <v>47</v>
      </c>
      <c r="E1575">
        <v>70</v>
      </c>
      <c r="F1575" t="s">
        <v>2</v>
      </c>
      <c r="G1575" t="s">
        <v>61</v>
      </c>
      <c r="H1575" t="s">
        <v>4003</v>
      </c>
      <c r="I1575" s="2">
        <v>236000</v>
      </c>
      <c r="J1575" t="s">
        <v>161</v>
      </c>
      <c r="K1575" t="s">
        <v>2509</v>
      </c>
    </row>
    <row r="1576" spans="1:11" x14ac:dyDescent="0.25">
      <c r="A1576" t="s">
        <v>2271</v>
      </c>
      <c r="B1576" s="3">
        <v>46310</v>
      </c>
      <c r="C1576" t="s">
        <v>317</v>
      </c>
      <c r="D1576" t="s">
        <v>225</v>
      </c>
      <c r="E1576">
        <v>39</v>
      </c>
      <c r="F1576" t="s">
        <v>2</v>
      </c>
      <c r="G1576" t="s">
        <v>32</v>
      </c>
      <c r="H1576" t="s">
        <v>4004</v>
      </c>
      <c r="I1576" s="2">
        <v>887000</v>
      </c>
      <c r="J1576" t="s">
        <v>83</v>
      </c>
      <c r="K1576" t="s">
        <v>2513</v>
      </c>
    </row>
    <row r="1577" spans="1:11" x14ac:dyDescent="0.25">
      <c r="A1577" t="s">
        <v>2272</v>
      </c>
      <c r="B1577" s="3">
        <v>46310</v>
      </c>
      <c r="C1577" t="s">
        <v>526</v>
      </c>
      <c r="D1577" t="s">
        <v>476</v>
      </c>
      <c r="E1577">
        <v>24</v>
      </c>
      <c r="F1577" t="s">
        <v>477</v>
      </c>
      <c r="G1577" t="s">
        <v>81</v>
      </c>
      <c r="H1577" t="s">
        <v>4005</v>
      </c>
      <c r="I1577" s="2">
        <v>4000</v>
      </c>
      <c r="J1577" t="s">
        <v>75</v>
      </c>
      <c r="K1577" t="s">
        <v>2500</v>
      </c>
    </row>
    <row r="1578" spans="1:11" x14ac:dyDescent="0.25">
      <c r="A1578" t="s">
        <v>2273</v>
      </c>
      <c r="B1578" s="3">
        <v>46310</v>
      </c>
      <c r="C1578" t="s">
        <v>650</v>
      </c>
      <c r="D1578" t="s">
        <v>587</v>
      </c>
      <c r="E1578">
        <v>43</v>
      </c>
      <c r="F1578" t="s">
        <v>2</v>
      </c>
      <c r="G1578" t="s">
        <v>40</v>
      </c>
      <c r="H1578" t="s">
        <v>4006</v>
      </c>
      <c r="I1578" s="2">
        <v>14000</v>
      </c>
      <c r="J1578" t="s">
        <v>289</v>
      </c>
      <c r="K1578" t="s">
        <v>2500</v>
      </c>
    </row>
    <row r="1579" spans="1:11" x14ac:dyDescent="0.25">
      <c r="A1579" t="s">
        <v>2274</v>
      </c>
      <c r="B1579" s="3">
        <v>46310</v>
      </c>
      <c r="C1579" t="s">
        <v>642</v>
      </c>
      <c r="D1579" t="s">
        <v>585</v>
      </c>
      <c r="E1579">
        <v>18</v>
      </c>
      <c r="F1579" t="s">
        <v>355</v>
      </c>
      <c r="G1579" t="s">
        <v>55</v>
      </c>
      <c r="H1579" t="s">
        <v>4007</v>
      </c>
      <c r="I1579" s="2">
        <v>26000</v>
      </c>
      <c r="J1579" t="s">
        <v>79</v>
      </c>
      <c r="K1579" t="s">
        <v>2513</v>
      </c>
    </row>
    <row r="1580" spans="1:11" x14ac:dyDescent="0.25">
      <c r="A1580" t="s">
        <v>2275</v>
      </c>
      <c r="B1580" s="3">
        <v>46310</v>
      </c>
      <c r="C1580" t="s">
        <v>141</v>
      </c>
      <c r="D1580" t="s">
        <v>66</v>
      </c>
      <c r="E1580">
        <v>19</v>
      </c>
      <c r="F1580" t="s">
        <v>2</v>
      </c>
      <c r="G1580" t="s">
        <v>32</v>
      </c>
      <c r="H1580" t="s">
        <v>4008</v>
      </c>
      <c r="I1580" s="2">
        <v>175000</v>
      </c>
      <c r="J1580" t="s">
        <v>142</v>
      </c>
      <c r="K1580" t="s">
        <v>2513</v>
      </c>
    </row>
    <row r="1581" spans="1:11" x14ac:dyDescent="0.25">
      <c r="A1581" t="s">
        <v>2276</v>
      </c>
      <c r="B1581" s="3">
        <v>46310</v>
      </c>
      <c r="C1581" t="s">
        <v>393</v>
      </c>
      <c r="D1581" t="s">
        <v>382</v>
      </c>
      <c r="E1581">
        <v>52</v>
      </c>
      <c r="F1581" t="s">
        <v>383</v>
      </c>
      <c r="G1581" t="s">
        <v>81</v>
      </c>
      <c r="H1581" t="s">
        <v>4009</v>
      </c>
      <c r="I1581" s="2">
        <v>142000</v>
      </c>
      <c r="J1581" t="s">
        <v>219</v>
      </c>
      <c r="K1581" t="s">
        <v>2500</v>
      </c>
    </row>
    <row r="1582" spans="1:11" x14ac:dyDescent="0.25">
      <c r="A1582" t="s">
        <v>2277</v>
      </c>
      <c r="B1582" s="3">
        <v>46310</v>
      </c>
      <c r="C1582" t="s">
        <v>686</v>
      </c>
      <c r="D1582" t="s">
        <v>589</v>
      </c>
      <c r="E1582">
        <v>11</v>
      </c>
      <c r="F1582" t="s">
        <v>469</v>
      </c>
      <c r="G1582" t="s">
        <v>17</v>
      </c>
      <c r="H1582" t="s">
        <v>4010</v>
      </c>
      <c r="I1582" s="2">
        <v>14000</v>
      </c>
      <c r="J1582" t="s">
        <v>185</v>
      </c>
      <c r="K1582" t="s">
        <v>2503</v>
      </c>
    </row>
    <row r="1583" spans="1:11" x14ac:dyDescent="0.25">
      <c r="A1583" t="s">
        <v>2278</v>
      </c>
      <c r="B1583" s="3">
        <v>46310</v>
      </c>
      <c r="C1583" t="s">
        <v>74</v>
      </c>
      <c r="D1583" t="s">
        <v>15</v>
      </c>
      <c r="E1583">
        <v>39</v>
      </c>
      <c r="F1583" t="s">
        <v>2</v>
      </c>
      <c r="G1583" t="s">
        <v>36</v>
      </c>
      <c r="H1583" t="s">
        <v>4011</v>
      </c>
      <c r="I1583" s="2">
        <v>259000</v>
      </c>
      <c r="J1583" t="s">
        <v>75</v>
      </c>
      <c r="K1583" t="s">
        <v>2500</v>
      </c>
    </row>
    <row r="1584" spans="1:11" x14ac:dyDescent="0.25">
      <c r="A1584" t="s">
        <v>2279</v>
      </c>
      <c r="B1584" s="3">
        <v>46310</v>
      </c>
      <c r="C1584" t="s">
        <v>304</v>
      </c>
      <c r="D1584" t="s">
        <v>227</v>
      </c>
      <c r="E1584">
        <v>49</v>
      </c>
      <c r="F1584" t="s">
        <v>2</v>
      </c>
      <c r="G1584" t="s">
        <v>17</v>
      </c>
      <c r="H1584" t="s">
        <v>4012</v>
      </c>
      <c r="I1584" s="2">
        <v>1029000</v>
      </c>
      <c r="J1584" t="s">
        <v>305</v>
      </c>
      <c r="K1584" t="s">
        <v>2513</v>
      </c>
    </row>
    <row r="1585" spans="1:11" x14ac:dyDescent="0.25">
      <c r="A1585" t="s">
        <v>2280</v>
      </c>
      <c r="B1585" s="3">
        <v>46310</v>
      </c>
      <c r="C1585" t="s">
        <v>671</v>
      </c>
      <c r="D1585" t="s">
        <v>629</v>
      </c>
      <c r="E1585">
        <v>7</v>
      </c>
      <c r="F1585" t="s">
        <v>355</v>
      </c>
      <c r="G1585" t="s">
        <v>36</v>
      </c>
      <c r="H1585" t="s">
        <v>4013</v>
      </c>
      <c r="I1585" s="2">
        <v>25000</v>
      </c>
      <c r="J1585" t="s">
        <v>89</v>
      </c>
      <c r="K1585" t="s">
        <v>2500</v>
      </c>
    </row>
    <row r="1586" spans="1:11" x14ac:dyDescent="0.25">
      <c r="A1586" t="s">
        <v>2281</v>
      </c>
      <c r="B1586" s="3">
        <v>46310</v>
      </c>
      <c r="C1586" t="s">
        <v>634</v>
      </c>
      <c r="D1586" t="s">
        <v>597</v>
      </c>
      <c r="E1586">
        <v>56</v>
      </c>
      <c r="F1586" t="s">
        <v>355</v>
      </c>
      <c r="G1586" t="s">
        <v>61</v>
      </c>
      <c r="H1586" t="s">
        <v>4014</v>
      </c>
      <c r="I1586" s="2">
        <v>52000</v>
      </c>
      <c r="J1586" t="s">
        <v>265</v>
      </c>
      <c r="K1586" t="s">
        <v>2513</v>
      </c>
    </row>
    <row r="1587" spans="1:11" x14ac:dyDescent="0.25">
      <c r="A1587" t="s">
        <v>2282</v>
      </c>
      <c r="B1587" s="3">
        <v>46310</v>
      </c>
      <c r="C1587" t="s">
        <v>581</v>
      </c>
      <c r="D1587" t="s">
        <v>582</v>
      </c>
      <c r="E1587">
        <v>31</v>
      </c>
      <c r="F1587" t="s">
        <v>2</v>
      </c>
      <c r="G1587" t="s">
        <v>36</v>
      </c>
      <c r="H1587" t="s">
        <v>4015</v>
      </c>
      <c r="I1587" s="2">
        <v>87000</v>
      </c>
      <c r="J1587" t="s">
        <v>512</v>
      </c>
      <c r="K1587" t="s">
        <v>2513</v>
      </c>
    </row>
    <row r="1588" spans="1:11" x14ac:dyDescent="0.25">
      <c r="A1588" t="s">
        <v>2283</v>
      </c>
      <c r="B1588" s="3">
        <v>46310</v>
      </c>
      <c r="C1588" t="s">
        <v>329</v>
      </c>
      <c r="D1588" t="s">
        <v>227</v>
      </c>
      <c r="E1588">
        <v>24</v>
      </c>
      <c r="F1588" t="s">
        <v>2</v>
      </c>
      <c r="G1588" t="s">
        <v>85</v>
      </c>
      <c r="H1588" t="s">
        <v>4016</v>
      </c>
      <c r="I1588" s="2">
        <v>632000</v>
      </c>
      <c r="J1588" t="s">
        <v>330</v>
      </c>
      <c r="K1588" t="s">
        <v>2500</v>
      </c>
    </row>
    <row r="1589" spans="1:11" x14ac:dyDescent="0.25">
      <c r="A1589" t="s">
        <v>2284</v>
      </c>
      <c r="B1589" s="3">
        <v>46310</v>
      </c>
      <c r="C1589" t="s">
        <v>565</v>
      </c>
      <c r="D1589" t="s">
        <v>474</v>
      </c>
      <c r="E1589">
        <v>13</v>
      </c>
      <c r="F1589" t="s">
        <v>2</v>
      </c>
      <c r="G1589" t="s">
        <v>61</v>
      </c>
      <c r="H1589" t="s">
        <v>3777</v>
      </c>
      <c r="I1589" s="2">
        <v>3000</v>
      </c>
      <c r="J1589" t="s">
        <v>45</v>
      </c>
      <c r="K1589" t="s">
        <v>2503</v>
      </c>
    </row>
    <row r="1590" spans="1:11" x14ac:dyDescent="0.25">
      <c r="A1590" t="s">
        <v>2285</v>
      </c>
      <c r="B1590" s="3">
        <v>46310</v>
      </c>
      <c r="C1590" t="s">
        <v>254</v>
      </c>
      <c r="D1590" t="s">
        <v>213</v>
      </c>
      <c r="E1590">
        <v>39</v>
      </c>
      <c r="F1590" t="s">
        <v>2</v>
      </c>
      <c r="G1590" t="s">
        <v>85</v>
      </c>
      <c r="H1590" t="s">
        <v>4017</v>
      </c>
      <c r="I1590" s="2">
        <v>3840000</v>
      </c>
      <c r="J1590" t="s">
        <v>59</v>
      </c>
      <c r="K1590" t="s">
        <v>2509</v>
      </c>
    </row>
    <row r="1591" spans="1:11" x14ac:dyDescent="0.25">
      <c r="A1591" t="s">
        <v>2286</v>
      </c>
      <c r="B1591" s="3">
        <v>46310</v>
      </c>
      <c r="C1591" t="s">
        <v>577</v>
      </c>
      <c r="D1591" t="s">
        <v>481</v>
      </c>
      <c r="E1591">
        <v>54</v>
      </c>
      <c r="F1591" t="s">
        <v>2</v>
      </c>
      <c r="G1591" t="s">
        <v>85</v>
      </c>
      <c r="H1591" t="s">
        <v>4018</v>
      </c>
      <c r="I1591" s="2">
        <v>342000</v>
      </c>
      <c r="J1591" t="s">
        <v>102</v>
      </c>
      <c r="K1591" t="s">
        <v>2509</v>
      </c>
    </row>
    <row r="1592" spans="1:11" x14ac:dyDescent="0.25">
      <c r="A1592" t="s">
        <v>2287</v>
      </c>
      <c r="B1592" s="3">
        <v>46310</v>
      </c>
      <c r="C1592" t="s">
        <v>363</v>
      </c>
      <c r="D1592" t="s">
        <v>364</v>
      </c>
      <c r="E1592">
        <v>70</v>
      </c>
      <c r="F1592" t="s">
        <v>358</v>
      </c>
      <c r="G1592" t="s">
        <v>81</v>
      </c>
      <c r="H1592" t="s">
        <v>4019</v>
      </c>
      <c r="I1592" s="2">
        <v>18000</v>
      </c>
      <c r="J1592" t="s">
        <v>57</v>
      </c>
      <c r="K1592" t="s">
        <v>2503</v>
      </c>
    </row>
    <row r="1593" spans="1:11" x14ac:dyDescent="0.25">
      <c r="A1593" t="s">
        <v>2288</v>
      </c>
      <c r="B1593" s="3">
        <v>46310</v>
      </c>
      <c r="C1593" t="s">
        <v>530</v>
      </c>
      <c r="D1593" t="s">
        <v>481</v>
      </c>
      <c r="E1593">
        <v>47</v>
      </c>
      <c r="F1593" t="s">
        <v>2</v>
      </c>
      <c r="G1593" t="s">
        <v>17</v>
      </c>
      <c r="H1593" t="s">
        <v>4020</v>
      </c>
      <c r="I1593" s="2">
        <v>297000</v>
      </c>
      <c r="J1593" t="s">
        <v>124</v>
      </c>
      <c r="K1593" t="s">
        <v>2503</v>
      </c>
    </row>
    <row r="1594" spans="1:11" x14ac:dyDescent="0.25">
      <c r="A1594" t="s">
        <v>2289</v>
      </c>
      <c r="B1594" s="3">
        <v>46310</v>
      </c>
      <c r="C1594" t="s">
        <v>489</v>
      </c>
      <c r="D1594" t="s">
        <v>490</v>
      </c>
      <c r="E1594">
        <v>5</v>
      </c>
      <c r="F1594" t="s">
        <v>355</v>
      </c>
      <c r="G1594" t="s">
        <v>22</v>
      </c>
      <c r="H1594" t="s">
        <v>4021</v>
      </c>
      <c r="I1594" s="2">
        <v>40000</v>
      </c>
      <c r="J1594" t="s">
        <v>183</v>
      </c>
      <c r="K1594" t="s">
        <v>2509</v>
      </c>
    </row>
    <row r="1595" spans="1:11" x14ac:dyDescent="0.25">
      <c r="A1595" t="s">
        <v>2290</v>
      </c>
      <c r="B1595" s="3">
        <v>46310</v>
      </c>
      <c r="C1595" t="s">
        <v>285</v>
      </c>
      <c r="D1595" t="s">
        <v>216</v>
      </c>
      <c r="E1595">
        <v>23</v>
      </c>
      <c r="F1595" t="s">
        <v>2</v>
      </c>
      <c r="G1595" t="s">
        <v>22</v>
      </c>
      <c r="H1595" t="s">
        <v>4022</v>
      </c>
      <c r="I1595" s="2">
        <v>329000</v>
      </c>
      <c r="J1595" t="s">
        <v>42</v>
      </c>
      <c r="K1595" t="s">
        <v>2500</v>
      </c>
    </row>
    <row r="1596" spans="1:11" x14ac:dyDescent="0.25">
      <c r="A1596" t="s">
        <v>2291</v>
      </c>
      <c r="B1596" s="3">
        <v>46310</v>
      </c>
      <c r="C1596" t="s">
        <v>389</v>
      </c>
      <c r="D1596" t="s">
        <v>364</v>
      </c>
      <c r="E1596">
        <v>56</v>
      </c>
      <c r="F1596" t="s">
        <v>358</v>
      </c>
      <c r="G1596" t="s">
        <v>36</v>
      </c>
      <c r="H1596" t="s">
        <v>4023</v>
      </c>
      <c r="I1596" s="2">
        <v>35000</v>
      </c>
      <c r="J1596" t="s">
        <v>77</v>
      </c>
      <c r="K1596" t="s">
        <v>2513</v>
      </c>
    </row>
    <row r="1597" spans="1:11" x14ac:dyDescent="0.25">
      <c r="A1597" t="s">
        <v>2292</v>
      </c>
      <c r="B1597" s="3">
        <v>46310</v>
      </c>
      <c r="C1597" t="s">
        <v>403</v>
      </c>
      <c r="D1597" t="s">
        <v>364</v>
      </c>
      <c r="E1597">
        <v>20</v>
      </c>
      <c r="F1597" t="s">
        <v>358</v>
      </c>
      <c r="G1597" t="s">
        <v>55</v>
      </c>
      <c r="H1597" t="s">
        <v>4024</v>
      </c>
      <c r="I1597" s="2">
        <v>27000</v>
      </c>
      <c r="J1597" t="s">
        <v>117</v>
      </c>
      <c r="K1597" t="s">
        <v>2500</v>
      </c>
    </row>
    <row r="1598" spans="1:11" x14ac:dyDescent="0.25">
      <c r="A1598" t="s">
        <v>2293</v>
      </c>
      <c r="B1598" s="3">
        <v>46310</v>
      </c>
      <c r="C1598" t="s">
        <v>419</v>
      </c>
      <c r="D1598" t="s">
        <v>354</v>
      </c>
      <c r="E1598">
        <v>16</v>
      </c>
      <c r="F1598" t="s">
        <v>355</v>
      </c>
      <c r="G1598" t="s">
        <v>81</v>
      </c>
      <c r="H1598" t="s">
        <v>4025</v>
      </c>
      <c r="I1598" s="2">
        <v>30000</v>
      </c>
      <c r="J1598" t="s">
        <v>147</v>
      </c>
      <c r="K1598" t="s">
        <v>2509</v>
      </c>
    </row>
    <row r="1599" spans="1:11" x14ac:dyDescent="0.25">
      <c r="A1599" t="s">
        <v>2294</v>
      </c>
      <c r="B1599" s="3">
        <v>46310</v>
      </c>
      <c r="C1599" t="s">
        <v>688</v>
      </c>
      <c r="D1599" t="s">
        <v>589</v>
      </c>
      <c r="E1599">
        <v>56</v>
      </c>
      <c r="F1599" t="s">
        <v>469</v>
      </c>
      <c r="G1599" t="s">
        <v>85</v>
      </c>
      <c r="H1599" t="s">
        <v>4026</v>
      </c>
      <c r="I1599" s="2">
        <v>16000</v>
      </c>
      <c r="J1599" t="s">
        <v>133</v>
      </c>
      <c r="K1599" t="s">
        <v>2509</v>
      </c>
    </row>
    <row r="1600" spans="1:11" x14ac:dyDescent="0.25">
      <c r="A1600" t="s">
        <v>2295</v>
      </c>
      <c r="B1600" s="3">
        <v>46310</v>
      </c>
      <c r="C1600" t="s">
        <v>127</v>
      </c>
      <c r="D1600" t="s">
        <v>26</v>
      </c>
      <c r="E1600">
        <v>43</v>
      </c>
      <c r="F1600" t="s">
        <v>2</v>
      </c>
      <c r="G1600" t="s">
        <v>85</v>
      </c>
      <c r="H1600" t="s">
        <v>4027</v>
      </c>
      <c r="I1600" s="2">
        <v>439000</v>
      </c>
      <c r="J1600" t="s">
        <v>100</v>
      </c>
      <c r="K1600" t="s">
        <v>2500</v>
      </c>
    </row>
    <row r="1601" spans="1:11" x14ac:dyDescent="0.25">
      <c r="A1601" t="s">
        <v>2296</v>
      </c>
      <c r="B1601" s="3">
        <v>46310</v>
      </c>
      <c r="C1601" t="s">
        <v>690</v>
      </c>
      <c r="D1601" t="s">
        <v>597</v>
      </c>
      <c r="E1601">
        <v>69</v>
      </c>
      <c r="F1601" t="s">
        <v>355</v>
      </c>
      <c r="G1601" t="s">
        <v>48</v>
      </c>
      <c r="H1601" t="s">
        <v>4028</v>
      </c>
      <c r="I1601" s="2">
        <v>33000</v>
      </c>
      <c r="J1601" t="s">
        <v>52</v>
      </c>
      <c r="K1601" t="s">
        <v>2509</v>
      </c>
    </row>
    <row r="1602" spans="1:11" x14ac:dyDescent="0.25">
      <c r="A1602" t="s">
        <v>2297</v>
      </c>
      <c r="B1602" s="3">
        <v>46310</v>
      </c>
      <c r="C1602" t="s">
        <v>686</v>
      </c>
      <c r="D1602" t="s">
        <v>589</v>
      </c>
      <c r="E1602">
        <v>19</v>
      </c>
      <c r="F1602" t="s">
        <v>469</v>
      </c>
      <c r="G1602" t="s">
        <v>17</v>
      </c>
      <c r="H1602" t="s">
        <v>4029</v>
      </c>
      <c r="I1602" s="2">
        <v>14000</v>
      </c>
      <c r="J1602" t="s">
        <v>185</v>
      </c>
      <c r="K1602" t="s">
        <v>2500</v>
      </c>
    </row>
    <row r="1603" spans="1:11" x14ac:dyDescent="0.25">
      <c r="A1603" t="s">
        <v>2298</v>
      </c>
      <c r="B1603" s="3">
        <v>46310</v>
      </c>
      <c r="C1603" t="s">
        <v>156</v>
      </c>
      <c r="D1603" t="s">
        <v>15</v>
      </c>
      <c r="E1603">
        <v>42</v>
      </c>
      <c r="F1603" t="s">
        <v>2</v>
      </c>
      <c r="G1603" t="s">
        <v>36</v>
      </c>
      <c r="H1603" t="s">
        <v>4030</v>
      </c>
      <c r="I1603" s="2">
        <v>269000</v>
      </c>
      <c r="J1603" t="s">
        <v>98</v>
      </c>
      <c r="K1603" t="s">
        <v>2509</v>
      </c>
    </row>
    <row r="1604" spans="1:11" x14ac:dyDescent="0.25">
      <c r="A1604" t="s">
        <v>2299</v>
      </c>
      <c r="B1604" s="3">
        <v>46310</v>
      </c>
      <c r="C1604" t="s">
        <v>138</v>
      </c>
      <c r="D1604" t="s">
        <v>44</v>
      </c>
      <c r="E1604">
        <v>58</v>
      </c>
      <c r="F1604" t="s">
        <v>2</v>
      </c>
      <c r="G1604" t="s">
        <v>17</v>
      </c>
      <c r="H1604" t="s">
        <v>4031</v>
      </c>
      <c r="I1604" s="2">
        <v>20000</v>
      </c>
      <c r="J1604" t="s">
        <v>98</v>
      </c>
      <c r="K1604" t="s">
        <v>2513</v>
      </c>
    </row>
    <row r="1605" spans="1:11" x14ac:dyDescent="0.25">
      <c r="A1605" t="s">
        <v>2300</v>
      </c>
      <c r="B1605" s="3">
        <v>46310</v>
      </c>
      <c r="C1605" t="s">
        <v>558</v>
      </c>
      <c r="D1605" t="s">
        <v>471</v>
      </c>
      <c r="E1605">
        <v>57</v>
      </c>
      <c r="F1605" t="s">
        <v>355</v>
      </c>
      <c r="G1605" t="s">
        <v>48</v>
      </c>
      <c r="H1605" t="s">
        <v>4032</v>
      </c>
      <c r="I1605" s="2">
        <v>51000</v>
      </c>
      <c r="J1605" t="s">
        <v>246</v>
      </c>
      <c r="K1605" t="s">
        <v>2509</v>
      </c>
    </row>
    <row r="1606" spans="1:11" x14ac:dyDescent="0.25">
      <c r="A1606" t="s">
        <v>2301</v>
      </c>
      <c r="B1606" s="3">
        <v>46310</v>
      </c>
      <c r="C1606" t="s">
        <v>509</v>
      </c>
      <c r="D1606" t="s">
        <v>471</v>
      </c>
      <c r="E1606">
        <v>56</v>
      </c>
      <c r="F1606" t="s">
        <v>355</v>
      </c>
      <c r="G1606" t="s">
        <v>36</v>
      </c>
      <c r="H1606" t="s">
        <v>4033</v>
      </c>
      <c r="I1606" s="2">
        <v>38000</v>
      </c>
      <c r="J1606" t="s">
        <v>287</v>
      </c>
      <c r="K1606" t="s">
        <v>2513</v>
      </c>
    </row>
    <row r="1607" spans="1:11" x14ac:dyDescent="0.25">
      <c r="A1607" t="s">
        <v>2302</v>
      </c>
      <c r="B1607" s="3">
        <v>46310</v>
      </c>
      <c r="C1607" t="s">
        <v>442</v>
      </c>
      <c r="D1607" t="s">
        <v>382</v>
      </c>
      <c r="E1607">
        <v>35</v>
      </c>
      <c r="F1607" t="s">
        <v>383</v>
      </c>
      <c r="G1607" t="s">
        <v>36</v>
      </c>
      <c r="H1607" t="s">
        <v>3728</v>
      </c>
      <c r="I1607" s="2">
        <v>83000</v>
      </c>
      <c r="J1607" t="s">
        <v>203</v>
      </c>
      <c r="K1607" t="s">
        <v>2500</v>
      </c>
    </row>
    <row r="1608" spans="1:11" x14ac:dyDescent="0.25">
      <c r="A1608" t="s">
        <v>2303</v>
      </c>
      <c r="B1608" s="3">
        <v>46310</v>
      </c>
      <c r="C1608" t="s">
        <v>359</v>
      </c>
      <c r="D1608" t="s">
        <v>360</v>
      </c>
      <c r="E1608">
        <v>3</v>
      </c>
      <c r="F1608" t="s">
        <v>358</v>
      </c>
      <c r="G1608" t="s">
        <v>22</v>
      </c>
      <c r="H1608" t="s">
        <v>4034</v>
      </c>
      <c r="I1608" s="2">
        <v>6000</v>
      </c>
      <c r="J1608" t="s">
        <v>361</v>
      </c>
      <c r="K1608" t="s">
        <v>2509</v>
      </c>
    </row>
    <row r="1609" spans="1:11" x14ac:dyDescent="0.25">
      <c r="A1609" t="s">
        <v>2304</v>
      </c>
      <c r="B1609" s="3">
        <v>46310</v>
      </c>
      <c r="C1609" t="s">
        <v>540</v>
      </c>
      <c r="D1609" t="s">
        <v>476</v>
      </c>
      <c r="E1609">
        <v>46</v>
      </c>
      <c r="F1609" t="s">
        <v>477</v>
      </c>
      <c r="G1609" t="s">
        <v>40</v>
      </c>
      <c r="H1609" t="s">
        <v>4035</v>
      </c>
      <c r="I1609" s="2">
        <v>4000</v>
      </c>
      <c r="J1609" t="s">
        <v>324</v>
      </c>
      <c r="K1609" t="s">
        <v>2513</v>
      </c>
    </row>
    <row r="1610" spans="1:11" x14ac:dyDescent="0.25">
      <c r="A1610" t="s">
        <v>2305</v>
      </c>
      <c r="B1610" s="3">
        <v>46311</v>
      </c>
      <c r="C1610" t="s">
        <v>656</v>
      </c>
      <c r="D1610" t="s">
        <v>597</v>
      </c>
      <c r="E1610">
        <v>27</v>
      </c>
      <c r="F1610" t="s">
        <v>355</v>
      </c>
      <c r="G1610" t="s">
        <v>85</v>
      </c>
      <c r="H1610" t="s">
        <v>4036</v>
      </c>
      <c r="I1610" s="2">
        <v>20000</v>
      </c>
      <c r="J1610" t="s">
        <v>95</v>
      </c>
      <c r="K1610" t="s">
        <v>2513</v>
      </c>
    </row>
    <row r="1611" spans="1:11" x14ac:dyDescent="0.25">
      <c r="A1611" t="s">
        <v>2306</v>
      </c>
      <c r="B1611" s="3">
        <v>46311</v>
      </c>
      <c r="C1611" t="s">
        <v>112</v>
      </c>
      <c r="D1611" t="s">
        <v>29</v>
      </c>
      <c r="E1611">
        <v>41</v>
      </c>
      <c r="F1611" t="s">
        <v>2</v>
      </c>
      <c r="G1611" t="s">
        <v>55</v>
      </c>
      <c r="H1611" t="s">
        <v>4037</v>
      </c>
      <c r="I1611" s="2">
        <v>81000</v>
      </c>
      <c r="J1611" t="s">
        <v>113</v>
      </c>
      <c r="K1611" t="s">
        <v>2513</v>
      </c>
    </row>
    <row r="1612" spans="1:11" x14ac:dyDescent="0.25">
      <c r="A1612" t="s">
        <v>2307</v>
      </c>
      <c r="B1612" s="3">
        <v>46311</v>
      </c>
      <c r="C1612" t="s">
        <v>409</v>
      </c>
      <c r="D1612" t="s">
        <v>382</v>
      </c>
      <c r="E1612">
        <v>57</v>
      </c>
      <c r="F1612" t="s">
        <v>383</v>
      </c>
      <c r="G1612" t="s">
        <v>36</v>
      </c>
      <c r="H1612" t="s">
        <v>4038</v>
      </c>
      <c r="I1612" s="2">
        <v>158000</v>
      </c>
      <c r="J1612" t="s">
        <v>410</v>
      </c>
      <c r="K1612" t="s">
        <v>2509</v>
      </c>
    </row>
    <row r="1613" spans="1:11" x14ac:dyDescent="0.25">
      <c r="A1613" t="s">
        <v>2308</v>
      </c>
      <c r="B1613" s="3">
        <v>46311</v>
      </c>
      <c r="C1613" t="s">
        <v>318</v>
      </c>
      <c r="D1613" t="s">
        <v>240</v>
      </c>
      <c r="E1613">
        <v>38</v>
      </c>
      <c r="F1613" t="s">
        <v>2</v>
      </c>
      <c r="G1613" t="s">
        <v>55</v>
      </c>
      <c r="H1613" t="s">
        <v>4039</v>
      </c>
      <c r="I1613" s="2">
        <v>553000</v>
      </c>
      <c r="J1613" t="s">
        <v>24</v>
      </c>
      <c r="K1613" t="s">
        <v>2509</v>
      </c>
    </row>
    <row r="1614" spans="1:11" x14ac:dyDescent="0.25">
      <c r="A1614" t="s">
        <v>2309</v>
      </c>
      <c r="B1614" s="3">
        <v>46311</v>
      </c>
      <c r="C1614" t="s">
        <v>191</v>
      </c>
      <c r="D1614" t="s">
        <v>163</v>
      </c>
      <c r="E1614">
        <v>39</v>
      </c>
      <c r="F1614" t="s">
        <v>2</v>
      </c>
      <c r="G1614" t="s">
        <v>48</v>
      </c>
      <c r="H1614" t="s">
        <v>4040</v>
      </c>
      <c r="I1614" s="2">
        <v>26000</v>
      </c>
      <c r="J1614" t="s">
        <v>95</v>
      </c>
      <c r="K1614" t="s">
        <v>2500</v>
      </c>
    </row>
    <row r="1615" spans="1:11" x14ac:dyDescent="0.25">
      <c r="A1615" t="s">
        <v>2310</v>
      </c>
      <c r="B1615" s="3">
        <v>46311</v>
      </c>
      <c r="C1615" t="s">
        <v>615</v>
      </c>
      <c r="D1615" t="s">
        <v>589</v>
      </c>
      <c r="E1615">
        <v>6</v>
      </c>
      <c r="F1615" t="s">
        <v>469</v>
      </c>
      <c r="G1615" t="s">
        <v>55</v>
      </c>
      <c r="H1615" t="s">
        <v>4041</v>
      </c>
      <c r="I1615" s="2">
        <v>5000</v>
      </c>
      <c r="J1615" t="s">
        <v>95</v>
      </c>
      <c r="K1615" t="s">
        <v>2503</v>
      </c>
    </row>
    <row r="1616" spans="1:11" x14ac:dyDescent="0.25">
      <c r="A1616" t="s">
        <v>2311</v>
      </c>
      <c r="B1616" s="3">
        <v>46311</v>
      </c>
      <c r="C1616" t="s">
        <v>318</v>
      </c>
      <c r="D1616" t="s">
        <v>240</v>
      </c>
      <c r="E1616">
        <v>68</v>
      </c>
      <c r="F1616" t="s">
        <v>2</v>
      </c>
      <c r="G1616" t="s">
        <v>55</v>
      </c>
      <c r="H1616" t="s">
        <v>4042</v>
      </c>
      <c r="I1616" s="2">
        <v>553000</v>
      </c>
      <c r="J1616" t="s">
        <v>24</v>
      </c>
      <c r="K1616" t="s">
        <v>2500</v>
      </c>
    </row>
    <row r="1617" spans="1:11" x14ac:dyDescent="0.25">
      <c r="A1617" t="s">
        <v>2312</v>
      </c>
      <c r="B1617" s="3">
        <v>46311</v>
      </c>
      <c r="C1617" t="s">
        <v>285</v>
      </c>
      <c r="D1617" t="s">
        <v>216</v>
      </c>
      <c r="E1617">
        <v>43</v>
      </c>
      <c r="F1617" t="s">
        <v>2</v>
      </c>
      <c r="G1617" t="s">
        <v>22</v>
      </c>
      <c r="H1617" t="s">
        <v>4043</v>
      </c>
      <c r="I1617" s="2">
        <v>329000</v>
      </c>
      <c r="J1617" t="s">
        <v>42</v>
      </c>
      <c r="K1617" t="s">
        <v>2509</v>
      </c>
    </row>
    <row r="1618" spans="1:11" x14ac:dyDescent="0.25">
      <c r="A1618" t="s">
        <v>2313</v>
      </c>
      <c r="B1618" s="3">
        <v>46311</v>
      </c>
      <c r="C1618" t="s">
        <v>348</v>
      </c>
      <c r="D1618" t="s">
        <v>349</v>
      </c>
      <c r="E1618">
        <v>5</v>
      </c>
      <c r="F1618" t="s">
        <v>2</v>
      </c>
      <c r="G1618" t="s">
        <v>32</v>
      </c>
      <c r="H1618" t="s">
        <v>4044</v>
      </c>
      <c r="I1618" s="2">
        <v>4000</v>
      </c>
      <c r="J1618" t="s">
        <v>171</v>
      </c>
      <c r="K1618" t="s">
        <v>2513</v>
      </c>
    </row>
    <row r="1619" spans="1:11" x14ac:dyDescent="0.25">
      <c r="A1619" t="s">
        <v>2314</v>
      </c>
      <c r="B1619" s="3">
        <v>46311</v>
      </c>
      <c r="C1619" t="s">
        <v>395</v>
      </c>
      <c r="D1619" t="s">
        <v>382</v>
      </c>
      <c r="E1619">
        <v>18</v>
      </c>
      <c r="F1619" t="s">
        <v>383</v>
      </c>
      <c r="G1619" t="s">
        <v>61</v>
      </c>
      <c r="H1619" t="s">
        <v>4045</v>
      </c>
      <c r="I1619" s="2">
        <v>59000</v>
      </c>
      <c r="J1619" t="s">
        <v>330</v>
      </c>
      <c r="K1619" t="s">
        <v>2503</v>
      </c>
    </row>
    <row r="1620" spans="1:11" x14ac:dyDescent="0.25">
      <c r="A1620" t="s">
        <v>2315</v>
      </c>
      <c r="B1620" s="3">
        <v>46311</v>
      </c>
      <c r="C1620" t="s">
        <v>510</v>
      </c>
      <c r="D1620" t="s">
        <v>479</v>
      </c>
      <c r="E1620">
        <v>38</v>
      </c>
      <c r="F1620" t="s">
        <v>469</v>
      </c>
      <c r="G1620" t="s">
        <v>48</v>
      </c>
      <c r="H1620" t="s">
        <v>4046</v>
      </c>
      <c r="I1620" s="2">
        <v>27000</v>
      </c>
      <c r="J1620" t="s">
        <v>117</v>
      </c>
      <c r="K1620" t="s">
        <v>2503</v>
      </c>
    </row>
    <row r="1621" spans="1:11" x14ac:dyDescent="0.25">
      <c r="A1621" t="s">
        <v>2316</v>
      </c>
      <c r="B1621" s="3">
        <v>46311</v>
      </c>
      <c r="C1621" t="s">
        <v>645</v>
      </c>
      <c r="D1621" t="s">
        <v>612</v>
      </c>
      <c r="E1621">
        <v>26</v>
      </c>
      <c r="F1621" t="s">
        <v>2</v>
      </c>
      <c r="G1621" t="s">
        <v>55</v>
      </c>
      <c r="H1621" t="s">
        <v>4047</v>
      </c>
      <c r="I1621" s="2">
        <v>14000</v>
      </c>
      <c r="J1621" t="s">
        <v>297</v>
      </c>
      <c r="K1621" t="s">
        <v>2513</v>
      </c>
    </row>
    <row r="1622" spans="1:11" x14ac:dyDescent="0.25">
      <c r="A1622" t="s">
        <v>2317</v>
      </c>
      <c r="B1622" s="3">
        <v>46311</v>
      </c>
      <c r="C1622" t="s">
        <v>634</v>
      </c>
      <c r="D1622" t="s">
        <v>597</v>
      </c>
      <c r="E1622">
        <v>24</v>
      </c>
      <c r="F1622" t="s">
        <v>355</v>
      </c>
      <c r="G1622" t="s">
        <v>61</v>
      </c>
      <c r="H1622" t="s">
        <v>4048</v>
      </c>
      <c r="I1622" s="2">
        <v>52000</v>
      </c>
      <c r="J1622" t="s">
        <v>265</v>
      </c>
      <c r="K1622" t="s">
        <v>2509</v>
      </c>
    </row>
    <row r="1623" spans="1:11" x14ac:dyDescent="0.25">
      <c r="A1623" t="s">
        <v>2318</v>
      </c>
      <c r="B1623" s="3">
        <v>46311</v>
      </c>
      <c r="C1623" t="s">
        <v>422</v>
      </c>
      <c r="D1623" t="s">
        <v>360</v>
      </c>
      <c r="E1623">
        <v>63</v>
      </c>
      <c r="F1623" t="s">
        <v>358</v>
      </c>
      <c r="G1623" t="s">
        <v>32</v>
      </c>
      <c r="H1623" t="s">
        <v>4049</v>
      </c>
      <c r="I1623" s="2">
        <v>16000</v>
      </c>
      <c r="J1623" t="s">
        <v>423</v>
      </c>
      <c r="K1623" t="s">
        <v>2500</v>
      </c>
    </row>
    <row r="1624" spans="1:11" x14ac:dyDescent="0.25">
      <c r="A1624" t="s">
        <v>2319</v>
      </c>
      <c r="B1624" s="3">
        <v>46311</v>
      </c>
      <c r="C1624" t="s">
        <v>689</v>
      </c>
      <c r="D1624" t="s">
        <v>589</v>
      </c>
      <c r="E1624">
        <v>66</v>
      </c>
      <c r="F1624" t="s">
        <v>469</v>
      </c>
      <c r="G1624" t="s">
        <v>48</v>
      </c>
      <c r="H1624" t="s">
        <v>4050</v>
      </c>
      <c r="I1624" s="2">
        <v>7000</v>
      </c>
      <c r="J1624" t="s">
        <v>45</v>
      </c>
      <c r="K1624" t="s">
        <v>2500</v>
      </c>
    </row>
    <row r="1625" spans="1:11" x14ac:dyDescent="0.25">
      <c r="A1625" t="s">
        <v>2320</v>
      </c>
      <c r="B1625" s="3">
        <v>46311</v>
      </c>
      <c r="C1625" t="s">
        <v>143</v>
      </c>
      <c r="D1625" t="s">
        <v>47</v>
      </c>
      <c r="E1625">
        <v>58</v>
      </c>
      <c r="F1625" t="s">
        <v>2</v>
      </c>
      <c r="G1625" t="s">
        <v>48</v>
      </c>
      <c r="H1625" t="s">
        <v>4051</v>
      </c>
      <c r="I1625" s="2">
        <v>171000</v>
      </c>
      <c r="J1625" t="s">
        <v>144</v>
      </c>
      <c r="K1625" t="s">
        <v>2500</v>
      </c>
    </row>
    <row r="1626" spans="1:11" x14ac:dyDescent="0.25">
      <c r="A1626" t="s">
        <v>2321</v>
      </c>
      <c r="B1626" s="3">
        <v>46311</v>
      </c>
      <c r="C1626" t="s">
        <v>120</v>
      </c>
      <c r="D1626" t="s">
        <v>54</v>
      </c>
      <c r="E1626">
        <v>34</v>
      </c>
      <c r="F1626" t="s">
        <v>2</v>
      </c>
      <c r="G1626" t="s">
        <v>61</v>
      </c>
      <c r="H1626" t="s">
        <v>4052</v>
      </c>
      <c r="I1626" s="2">
        <v>88000</v>
      </c>
      <c r="J1626" t="s">
        <v>121</v>
      </c>
      <c r="K1626" t="s">
        <v>2509</v>
      </c>
    </row>
    <row r="1627" spans="1:11" x14ac:dyDescent="0.25">
      <c r="A1627" t="s">
        <v>2322</v>
      </c>
      <c r="B1627" s="3">
        <v>46311</v>
      </c>
      <c r="C1627" t="s">
        <v>616</v>
      </c>
      <c r="D1627" t="s">
        <v>589</v>
      </c>
      <c r="E1627">
        <v>57</v>
      </c>
      <c r="F1627" t="s">
        <v>469</v>
      </c>
      <c r="G1627" t="s">
        <v>36</v>
      </c>
      <c r="H1627" t="s">
        <v>4053</v>
      </c>
      <c r="I1627" s="2">
        <v>5000</v>
      </c>
      <c r="J1627" t="s">
        <v>110</v>
      </c>
      <c r="K1627" t="s">
        <v>2503</v>
      </c>
    </row>
    <row r="1628" spans="1:11" x14ac:dyDescent="0.25">
      <c r="A1628" t="s">
        <v>2323</v>
      </c>
      <c r="B1628" s="3">
        <v>46311</v>
      </c>
      <c r="C1628" t="s">
        <v>329</v>
      </c>
      <c r="D1628" t="s">
        <v>227</v>
      </c>
      <c r="E1628">
        <v>5</v>
      </c>
      <c r="F1628" t="s">
        <v>2</v>
      </c>
      <c r="G1628" t="s">
        <v>85</v>
      </c>
      <c r="H1628" t="s">
        <v>4054</v>
      </c>
      <c r="I1628" s="2">
        <v>632000</v>
      </c>
      <c r="J1628" t="s">
        <v>330</v>
      </c>
      <c r="K1628" t="s">
        <v>2503</v>
      </c>
    </row>
    <row r="1629" spans="1:11" x14ac:dyDescent="0.25">
      <c r="A1629" t="s">
        <v>2324</v>
      </c>
      <c r="B1629" s="3">
        <v>46311</v>
      </c>
      <c r="C1629" t="s">
        <v>165</v>
      </c>
      <c r="D1629" t="s">
        <v>15</v>
      </c>
      <c r="E1629">
        <v>53</v>
      </c>
      <c r="F1629" t="s">
        <v>2</v>
      </c>
      <c r="G1629" t="s">
        <v>61</v>
      </c>
      <c r="H1629" t="s">
        <v>4055</v>
      </c>
      <c r="I1629" s="2">
        <v>157000</v>
      </c>
      <c r="J1629" t="s">
        <v>166</v>
      </c>
      <c r="K1629" t="s">
        <v>2503</v>
      </c>
    </row>
    <row r="1630" spans="1:11" x14ac:dyDescent="0.25">
      <c r="A1630" t="s">
        <v>2325</v>
      </c>
      <c r="B1630" s="3">
        <v>46311</v>
      </c>
      <c r="C1630" t="s">
        <v>135</v>
      </c>
      <c r="D1630" t="s">
        <v>44</v>
      </c>
      <c r="E1630">
        <v>69</v>
      </c>
      <c r="F1630" t="s">
        <v>2</v>
      </c>
      <c r="G1630" t="s">
        <v>55</v>
      </c>
      <c r="H1630" t="s">
        <v>4056</v>
      </c>
      <c r="I1630" s="2">
        <v>31000</v>
      </c>
      <c r="J1630" t="s">
        <v>73</v>
      </c>
      <c r="K1630" t="s">
        <v>2503</v>
      </c>
    </row>
    <row r="1631" spans="1:11" x14ac:dyDescent="0.25">
      <c r="A1631" t="s">
        <v>2326</v>
      </c>
      <c r="B1631" s="3">
        <v>46311</v>
      </c>
      <c r="C1631" t="s">
        <v>160</v>
      </c>
      <c r="D1631" t="s">
        <v>47</v>
      </c>
      <c r="E1631">
        <v>61</v>
      </c>
      <c r="F1631" t="s">
        <v>2</v>
      </c>
      <c r="G1631" t="s">
        <v>61</v>
      </c>
      <c r="H1631" t="s">
        <v>3739</v>
      </c>
      <c r="I1631" s="2">
        <v>236000</v>
      </c>
      <c r="J1631" t="s">
        <v>161</v>
      </c>
      <c r="K1631" t="s">
        <v>2513</v>
      </c>
    </row>
    <row r="1632" spans="1:11" x14ac:dyDescent="0.25">
      <c r="A1632" t="s">
        <v>2327</v>
      </c>
      <c r="B1632" s="3">
        <v>46311</v>
      </c>
      <c r="C1632" t="s">
        <v>462</v>
      </c>
      <c r="D1632" t="s">
        <v>349</v>
      </c>
      <c r="E1632">
        <v>54</v>
      </c>
      <c r="F1632" t="s">
        <v>2</v>
      </c>
      <c r="G1632" t="s">
        <v>61</v>
      </c>
      <c r="H1632" t="s">
        <v>4057</v>
      </c>
      <c r="I1632" s="2">
        <v>2000</v>
      </c>
      <c r="J1632" t="s">
        <v>310</v>
      </c>
      <c r="K1632" t="s">
        <v>2513</v>
      </c>
    </row>
    <row r="1633" spans="1:11" x14ac:dyDescent="0.25">
      <c r="A1633" t="s">
        <v>2328</v>
      </c>
      <c r="B1633" s="3">
        <v>46311</v>
      </c>
      <c r="C1633" t="s">
        <v>431</v>
      </c>
      <c r="D1633" t="s">
        <v>354</v>
      </c>
      <c r="E1633">
        <v>50</v>
      </c>
      <c r="F1633" t="s">
        <v>355</v>
      </c>
      <c r="G1633" t="s">
        <v>32</v>
      </c>
      <c r="H1633" t="s">
        <v>4058</v>
      </c>
      <c r="I1633" s="2">
        <v>9000</v>
      </c>
      <c r="J1633" t="s">
        <v>87</v>
      </c>
      <c r="K1633" t="s">
        <v>2513</v>
      </c>
    </row>
    <row r="1634" spans="1:11" x14ac:dyDescent="0.25">
      <c r="A1634" t="s">
        <v>2329</v>
      </c>
      <c r="B1634" s="3">
        <v>46311</v>
      </c>
      <c r="C1634" t="s">
        <v>298</v>
      </c>
      <c r="D1634" t="s">
        <v>216</v>
      </c>
      <c r="E1634">
        <v>68</v>
      </c>
      <c r="F1634" t="s">
        <v>2</v>
      </c>
      <c r="G1634" t="s">
        <v>22</v>
      </c>
      <c r="H1634" t="s">
        <v>4059</v>
      </c>
      <c r="I1634" s="2">
        <v>308000</v>
      </c>
      <c r="J1634" t="s">
        <v>161</v>
      </c>
      <c r="K1634" t="s">
        <v>2513</v>
      </c>
    </row>
    <row r="1635" spans="1:11" x14ac:dyDescent="0.25">
      <c r="A1635" t="s">
        <v>2330</v>
      </c>
      <c r="B1635" s="3">
        <v>46311</v>
      </c>
      <c r="C1635" t="s">
        <v>550</v>
      </c>
      <c r="D1635" t="s">
        <v>481</v>
      </c>
      <c r="E1635">
        <v>50</v>
      </c>
      <c r="F1635" t="s">
        <v>2</v>
      </c>
      <c r="G1635" t="s">
        <v>32</v>
      </c>
      <c r="H1635" t="s">
        <v>4060</v>
      </c>
      <c r="I1635" s="2">
        <v>293000</v>
      </c>
      <c r="J1635" t="s">
        <v>59</v>
      </c>
      <c r="K1635" t="s">
        <v>2503</v>
      </c>
    </row>
    <row r="1636" spans="1:11" x14ac:dyDescent="0.25">
      <c r="A1636" t="s">
        <v>2331</v>
      </c>
      <c r="B1636" s="3">
        <v>46311</v>
      </c>
      <c r="C1636" t="s">
        <v>571</v>
      </c>
      <c r="D1636" t="s">
        <v>488</v>
      </c>
      <c r="E1636">
        <v>35</v>
      </c>
      <c r="F1636" t="s">
        <v>469</v>
      </c>
      <c r="G1636" t="s">
        <v>81</v>
      </c>
      <c r="H1636" t="s">
        <v>4061</v>
      </c>
      <c r="I1636" s="2">
        <v>121000</v>
      </c>
      <c r="J1636" t="s">
        <v>289</v>
      </c>
      <c r="K1636" t="s">
        <v>2503</v>
      </c>
    </row>
    <row r="1637" spans="1:11" x14ac:dyDescent="0.25">
      <c r="A1637" t="s">
        <v>2332</v>
      </c>
      <c r="B1637" s="3">
        <v>46311</v>
      </c>
      <c r="C1637" t="s">
        <v>184</v>
      </c>
      <c r="D1637" t="s">
        <v>15</v>
      </c>
      <c r="E1637">
        <v>50</v>
      </c>
      <c r="F1637" t="s">
        <v>2</v>
      </c>
      <c r="G1637" t="s">
        <v>55</v>
      </c>
      <c r="H1637" t="s">
        <v>4062</v>
      </c>
      <c r="I1637" s="2">
        <v>191000</v>
      </c>
      <c r="J1637" t="s">
        <v>185</v>
      </c>
      <c r="K1637" t="s">
        <v>2513</v>
      </c>
    </row>
    <row r="1638" spans="1:11" x14ac:dyDescent="0.25">
      <c r="A1638" t="s">
        <v>2333</v>
      </c>
      <c r="B1638" s="3">
        <v>46311</v>
      </c>
      <c r="C1638" t="s">
        <v>380</v>
      </c>
      <c r="D1638" t="s">
        <v>344</v>
      </c>
      <c r="E1638">
        <v>4</v>
      </c>
      <c r="F1638" t="s">
        <v>346</v>
      </c>
      <c r="G1638" t="s">
        <v>85</v>
      </c>
      <c r="H1638" t="s">
        <v>4063</v>
      </c>
      <c r="I1638" s="2">
        <v>63000</v>
      </c>
      <c r="J1638" t="s">
        <v>129</v>
      </c>
      <c r="K1638" t="s">
        <v>2503</v>
      </c>
    </row>
    <row r="1639" spans="1:11" x14ac:dyDescent="0.25">
      <c r="A1639" t="s">
        <v>2334</v>
      </c>
      <c r="B1639" s="3">
        <v>46311</v>
      </c>
      <c r="C1639" t="s">
        <v>641</v>
      </c>
      <c r="D1639" t="s">
        <v>589</v>
      </c>
      <c r="E1639">
        <v>39</v>
      </c>
      <c r="F1639" t="s">
        <v>469</v>
      </c>
      <c r="G1639" t="s">
        <v>32</v>
      </c>
      <c r="H1639" t="s">
        <v>4064</v>
      </c>
      <c r="I1639" s="2">
        <v>21000</v>
      </c>
      <c r="J1639" t="s">
        <v>124</v>
      </c>
      <c r="K1639" t="s">
        <v>2509</v>
      </c>
    </row>
    <row r="1640" spans="1:11" x14ac:dyDescent="0.25">
      <c r="A1640" t="s">
        <v>2335</v>
      </c>
      <c r="B1640" s="3">
        <v>46311</v>
      </c>
      <c r="C1640" t="s">
        <v>642</v>
      </c>
      <c r="D1640" t="s">
        <v>585</v>
      </c>
      <c r="E1640">
        <v>9</v>
      </c>
      <c r="F1640" t="s">
        <v>355</v>
      </c>
      <c r="G1640" t="s">
        <v>55</v>
      </c>
      <c r="H1640" t="s">
        <v>4065</v>
      </c>
      <c r="I1640" s="2">
        <v>26000</v>
      </c>
      <c r="J1640" t="s">
        <v>79</v>
      </c>
      <c r="K1640" t="s">
        <v>2513</v>
      </c>
    </row>
    <row r="1641" spans="1:11" x14ac:dyDescent="0.25">
      <c r="A1641" t="s">
        <v>2336</v>
      </c>
      <c r="B1641" s="3">
        <v>46311</v>
      </c>
      <c r="C1641" t="s">
        <v>422</v>
      </c>
      <c r="D1641" t="s">
        <v>360</v>
      </c>
      <c r="E1641">
        <v>13</v>
      </c>
      <c r="F1641" t="s">
        <v>358</v>
      </c>
      <c r="G1641" t="s">
        <v>32</v>
      </c>
      <c r="H1641" t="s">
        <v>4066</v>
      </c>
      <c r="I1641" s="2">
        <v>16000</v>
      </c>
      <c r="J1641" t="s">
        <v>423</v>
      </c>
      <c r="K1641" t="s">
        <v>2509</v>
      </c>
    </row>
    <row r="1642" spans="1:11" x14ac:dyDescent="0.25">
      <c r="A1642" t="s">
        <v>2337</v>
      </c>
      <c r="B1642" s="3">
        <v>46311</v>
      </c>
      <c r="C1642" t="s">
        <v>558</v>
      </c>
      <c r="D1642" t="s">
        <v>471</v>
      </c>
      <c r="E1642">
        <v>63</v>
      </c>
      <c r="F1642" t="s">
        <v>355</v>
      </c>
      <c r="G1642" t="s">
        <v>48</v>
      </c>
      <c r="H1642" t="s">
        <v>4067</v>
      </c>
      <c r="I1642" s="2">
        <v>51000</v>
      </c>
      <c r="J1642" t="s">
        <v>246</v>
      </c>
      <c r="K1642" t="s">
        <v>2509</v>
      </c>
    </row>
    <row r="1643" spans="1:11" x14ac:dyDescent="0.25">
      <c r="A1643" t="s">
        <v>2338</v>
      </c>
      <c r="B1643" s="3">
        <v>46311</v>
      </c>
      <c r="C1643" t="s">
        <v>338</v>
      </c>
      <c r="D1643" t="s">
        <v>213</v>
      </c>
      <c r="E1643">
        <v>46</v>
      </c>
      <c r="F1643" t="s">
        <v>2</v>
      </c>
      <c r="G1643" t="s">
        <v>32</v>
      </c>
      <c r="H1643" t="s">
        <v>4068</v>
      </c>
      <c r="I1643" s="2">
        <v>1621000</v>
      </c>
      <c r="J1643" t="s">
        <v>34</v>
      </c>
      <c r="K1643" t="s">
        <v>2509</v>
      </c>
    </row>
    <row r="1644" spans="1:11" x14ac:dyDescent="0.25">
      <c r="A1644" t="s">
        <v>2339</v>
      </c>
      <c r="B1644" s="3">
        <v>46311</v>
      </c>
      <c r="C1644" t="s">
        <v>494</v>
      </c>
      <c r="D1644" t="s">
        <v>471</v>
      </c>
      <c r="E1644">
        <v>70</v>
      </c>
      <c r="F1644" t="s">
        <v>355</v>
      </c>
      <c r="G1644" t="s">
        <v>55</v>
      </c>
      <c r="H1644" t="s">
        <v>4069</v>
      </c>
      <c r="I1644" s="2">
        <v>51000</v>
      </c>
      <c r="J1644" t="s">
        <v>181</v>
      </c>
      <c r="K1644" t="s">
        <v>2509</v>
      </c>
    </row>
    <row r="1645" spans="1:11" x14ac:dyDescent="0.25">
      <c r="A1645" t="s">
        <v>2340</v>
      </c>
      <c r="B1645" s="3">
        <v>46311</v>
      </c>
      <c r="C1645" t="s">
        <v>497</v>
      </c>
      <c r="D1645" t="s">
        <v>471</v>
      </c>
      <c r="E1645">
        <v>38</v>
      </c>
      <c r="F1645" t="s">
        <v>355</v>
      </c>
      <c r="G1645" t="s">
        <v>36</v>
      </c>
      <c r="H1645" t="s">
        <v>4070</v>
      </c>
      <c r="I1645" s="2">
        <v>25000</v>
      </c>
      <c r="J1645" t="s">
        <v>67</v>
      </c>
      <c r="K1645" t="s">
        <v>2513</v>
      </c>
    </row>
    <row r="1646" spans="1:11" x14ac:dyDescent="0.25">
      <c r="A1646" t="s">
        <v>2341</v>
      </c>
      <c r="B1646" s="3">
        <v>46311</v>
      </c>
      <c r="C1646" t="s">
        <v>196</v>
      </c>
      <c r="D1646" t="s">
        <v>47</v>
      </c>
      <c r="E1646">
        <v>59</v>
      </c>
      <c r="F1646" t="s">
        <v>2</v>
      </c>
      <c r="G1646" t="s">
        <v>85</v>
      </c>
      <c r="H1646" t="s">
        <v>4071</v>
      </c>
      <c r="I1646" s="2">
        <v>475000</v>
      </c>
      <c r="J1646" t="s">
        <v>164</v>
      </c>
      <c r="K1646" t="s">
        <v>2509</v>
      </c>
    </row>
    <row r="1647" spans="1:11" x14ac:dyDescent="0.25">
      <c r="A1647" t="s">
        <v>2342</v>
      </c>
      <c r="B1647" s="3">
        <v>46311</v>
      </c>
      <c r="C1647" t="s">
        <v>419</v>
      </c>
      <c r="D1647" t="s">
        <v>354</v>
      </c>
      <c r="E1647">
        <v>68</v>
      </c>
      <c r="F1647" t="s">
        <v>355</v>
      </c>
      <c r="G1647" t="s">
        <v>81</v>
      </c>
      <c r="H1647" t="s">
        <v>4072</v>
      </c>
      <c r="I1647" s="2">
        <v>30000</v>
      </c>
      <c r="J1647" t="s">
        <v>147</v>
      </c>
      <c r="K1647" t="s">
        <v>2503</v>
      </c>
    </row>
    <row r="1648" spans="1:11" x14ac:dyDescent="0.25">
      <c r="A1648" t="s">
        <v>2343</v>
      </c>
      <c r="B1648" s="3">
        <v>46311</v>
      </c>
      <c r="C1648" t="s">
        <v>500</v>
      </c>
      <c r="D1648" t="s">
        <v>488</v>
      </c>
      <c r="E1648">
        <v>16</v>
      </c>
      <c r="F1648" t="s">
        <v>469</v>
      </c>
      <c r="G1648" t="s">
        <v>32</v>
      </c>
      <c r="H1648" t="s">
        <v>4073</v>
      </c>
      <c r="I1648" s="2">
        <v>89000</v>
      </c>
      <c r="J1648" t="s">
        <v>27</v>
      </c>
      <c r="K1648" t="s">
        <v>2500</v>
      </c>
    </row>
    <row r="1649" spans="1:11" x14ac:dyDescent="0.25">
      <c r="A1649" t="s">
        <v>2344</v>
      </c>
      <c r="B1649" s="3">
        <v>46311</v>
      </c>
      <c r="C1649" t="s">
        <v>427</v>
      </c>
      <c r="D1649" t="s">
        <v>364</v>
      </c>
      <c r="E1649">
        <v>17</v>
      </c>
      <c r="F1649" t="s">
        <v>358</v>
      </c>
      <c r="G1649" t="s">
        <v>36</v>
      </c>
      <c r="H1649" t="s">
        <v>4074</v>
      </c>
      <c r="I1649" s="2">
        <v>20000</v>
      </c>
      <c r="J1649" t="s">
        <v>106</v>
      </c>
      <c r="K1649" t="s">
        <v>2503</v>
      </c>
    </row>
    <row r="1650" spans="1:11" x14ac:dyDescent="0.25">
      <c r="A1650" t="s">
        <v>2345</v>
      </c>
      <c r="B1650" s="3">
        <v>46311</v>
      </c>
      <c r="C1650" t="s">
        <v>359</v>
      </c>
      <c r="D1650" t="s">
        <v>360</v>
      </c>
      <c r="E1650">
        <v>14</v>
      </c>
      <c r="F1650" t="s">
        <v>358</v>
      </c>
      <c r="G1650" t="s">
        <v>22</v>
      </c>
      <c r="H1650" t="s">
        <v>4075</v>
      </c>
      <c r="I1650" s="2">
        <v>6000</v>
      </c>
      <c r="J1650" t="s">
        <v>361</v>
      </c>
      <c r="K1650" t="s">
        <v>2500</v>
      </c>
    </row>
    <row r="1651" spans="1:11" x14ac:dyDescent="0.25">
      <c r="A1651" t="s">
        <v>2346</v>
      </c>
      <c r="B1651" s="3">
        <v>46311</v>
      </c>
      <c r="C1651" t="s">
        <v>293</v>
      </c>
      <c r="D1651" t="s">
        <v>210</v>
      </c>
      <c r="E1651">
        <v>65</v>
      </c>
      <c r="F1651" t="s">
        <v>2</v>
      </c>
      <c r="G1651" t="s">
        <v>48</v>
      </c>
      <c r="H1651" t="s">
        <v>3673</v>
      </c>
      <c r="I1651" s="2">
        <v>8161000</v>
      </c>
      <c r="J1651" t="s">
        <v>294</v>
      </c>
      <c r="K1651" t="s">
        <v>2513</v>
      </c>
    </row>
    <row r="1652" spans="1:11" x14ac:dyDescent="0.25">
      <c r="A1652" t="s">
        <v>2347</v>
      </c>
      <c r="B1652" s="3">
        <v>46311</v>
      </c>
      <c r="C1652" t="s">
        <v>167</v>
      </c>
      <c r="D1652" t="s">
        <v>26</v>
      </c>
      <c r="E1652">
        <v>37</v>
      </c>
      <c r="F1652" t="s">
        <v>2</v>
      </c>
      <c r="G1652" t="s">
        <v>17</v>
      </c>
      <c r="H1652" t="s">
        <v>4076</v>
      </c>
      <c r="I1652" s="2">
        <v>524000</v>
      </c>
      <c r="J1652" t="s">
        <v>64</v>
      </c>
      <c r="K1652" t="s">
        <v>2513</v>
      </c>
    </row>
    <row r="1653" spans="1:11" x14ac:dyDescent="0.25">
      <c r="A1653" t="s">
        <v>2348</v>
      </c>
      <c r="B1653" s="3">
        <v>46311</v>
      </c>
      <c r="C1653" t="s">
        <v>532</v>
      </c>
      <c r="D1653" t="s">
        <v>488</v>
      </c>
      <c r="E1653">
        <v>68</v>
      </c>
      <c r="F1653" t="s">
        <v>469</v>
      </c>
      <c r="G1653" t="s">
        <v>22</v>
      </c>
      <c r="H1653" t="s">
        <v>4077</v>
      </c>
      <c r="I1653" s="2">
        <v>82000</v>
      </c>
      <c r="J1653" t="s">
        <v>106</v>
      </c>
      <c r="K1653" t="s">
        <v>2509</v>
      </c>
    </row>
    <row r="1654" spans="1:11" x14ac:dyDescent="0.25">
      <c r="A1654" t="s">
        <v>2349</v>
      </c>
      <c r="B1654" s="3">
        <v>46312</v>
      </c>
      <c r="C1654" t="s">
        <v>291</v>
      </c>
      <c r="D1654" t="s">
        <v>240</v>
      </c>
      <c r="E1654">
        <v>58</v>
      </c>
      <c r="F1654" t="s">
        <v>2</v>
      </c>
      <c r="G1654" t="s">
        <v>40</v>
      </c>
      <c r="H1654" t="s">
        <v>4078</v>
      </c>
      <c r="I1654" s="2">
        <v>588000</v>
      </c>
      <c r="J1654" t="s">
        <v>292</v>
      </c>
      <c r="K1654" t="s">
        <v>2513</v>
      </c>
    </row>
    <row r="1655" spans="1:11" x14ac:dyDescent="0.25">
      <c r="A1655" t="s">
        <v>2350</v>
      </c>
      <c r="B1655" s="3">
        <v>46312</v>
      </c>
      <c r="C1655" t="s">
        <v>424</v>
      </c>
      <c r="D1655" t="s">
        <v>349</v>
      </c>
      <c r="E1655">
        <v>16</v>
      </c>
      <c r="F1655" t="s">
        <v>2</v>
      </c>
      <c r="G1655" t="s">
        <v>55</v>
      </c>
      <c r="H1655" t="s">
        <v>4079</v>
      </c>
      <c r="I1655" s="2">
        <v>8000</v>
      </c>
      <c r="J1655" t="s">
        <v>152</v>
      </c>
      <c r="K1655" t="s">
        <v>2500</v>
      </c>
    </row>
    <row r="1656" spans="1:11" x14ac:dyDescent="0.25">
      <c r="A1656" t="s">
        <v>2351</v>
      </c>
      <c r="B1656" s="3">
        <v>46312</v>
      </c>
      <c r="C1656" t="s">
        <v>675</v>
      </c>
      <c r="D1656" t="s">
        <v>594</v>
      </c>
      <c r="E1656">
        <v>24</v>
      </c>
      <c r="F1656" t="s">
        <v>595</v>
      </c>
      <c r="G1656" t="s">
        <v>40</v>
      </c>
      <c r="H1656" t="s">
        <v>4080</v>
      </c>
      <c r="I1656" s="2">
        <v>14000</v>
      </c>
      <c r="J1656" t="s">
        <v>361</v>
      </c>
      <c r="K1656" t="s">
        <v>2500</v>
      </c>
    </row>
    <row r="1657" spans="1:11" x14ac:dyDescent="0.25">
      <c r="A1657" t="s">
        <v>2352</v>
      </c>
      <c r="B1657" s="3">
        <v>46312</v>
      </c>
      <c r="C1657" t="s">
        <v>536</v>
      </c>
      <c r="D1657" t="s">
        <v>481</v>
      </c>
      <c r="E1657">
        <v>8</v>
      </c>
      <c r="F1657" t="s">
        <v>2</v>
      </c>
      <c r="G1657" t="s">
        <v>22</v>
      </c>
      <c r="H1657" t="s">
        <v>4081</v>
      </c>
      <c r="I1657" s="2">
        <v>193000</v>
      </c>
      <c r="J1657" t="s">
        <v>221</v>
      </c>
      <c r="K1657" t="s">
        <v>2500</v>
      </c>
    </row>
    <row r="1658" spans="1:11" x14ac:dyDescent="0.25">
      <c r="A1658" t="s">
        <v>2353</v>
      </c>
      <c r="B1658" s="3">
        <v>46312</v>
      </c>
      <c r="C1658" t="s">
        <v>537</v>
      </c>
      <c r="D1658" t="s">
        <v>479</v>
      </c>
      <c r="E1658">
        <v>28</v>
      </c>
      <c r="F1658" t="s">
        <v>469</v>
      </c>
      <c r="G1658" t="s">
        <v>55</v>
      </c>
      <c r="H1658" t="s">
        <v>4082</v>
      </c>
      <c r="I1658" s="2">
        <v>28000</v>
      </c>
      <c r="J1658" t="s">
        <v>173</v>
      </c>
      <c r="K1658" t="s">
        <v>2509</v>
      </c>
    </row>
    <row r="1659" spans="1:11" x14ac:dyDescent="0.25">
      <c r="A1659" t="s">
        <v>2354</v>
      </c>
      <c r="B1659" s="3">
        <v>46312</v>
      </c>
      <c r="C1659" t="s">
        <v>224</v>
      </c>
      <c r="D1659" t="s">
        <v>225</v>
      </c>
      <c r="E1659">
        <v>11</v>
      </c>
      <c r="F1659" t="s">
        <v>2</v>
      </c>
      <c r="G1659" t="s">
        <v>55</v>
      </c>
      <c r="H1659" t="s">
        <v>4083</v>
      </c>
      <c r="I1659" s="2">
        <v>803000</v>
      </c>
      <c r="J1659" t="s">
        <v>106</v>
      </c>
      <c r="K1659" t="s">
        <v>2500</v>
      </c>
    </row>
    <row r="1660" spans="1:11" x14ac:dyDescent="0.25">
      <c r="A1660" t="s">
        <v>2355</v>
      </c>
      <c r="B1660" s="3">
        <v>46312</v>
      </c>
      <c r="C1660" t="s">
        <v>220</v>
      </c>
      <c r="D1660" t="s">
        <v>216</v>
      </c>
      <c r="E1660">
        <v>5</v>
      </c>
      <c r="F1660" t="s">
        <v>2</v>
      </c>
      <c r="G1660" t="s">
        <v>36</v>
      </c>
      <c r="H1660" t="s">
        <v>4084</v>
      </c>
      <c r="I1660" s="2">
        <v>648000</v>
      </c>
      <c r="J1660" t="s">
        <v>221</v>
      </c>
      <c r="K1660" t="s">
        <v>2509</v>
      </c>
    </row>
    <row r="1661" spans="1:11" x14ac:dyDescent="0.25">
      <c r="A1661" t="s">
        <v>2356</v>
      </c>
      <c r="B1661" s="3">
        <v>46312</v>
      </c>
      <c r="C1661" t="s">
        <v>447</v>
      </c>
      <c r="D1661" t="s">
        <v>349</v>
      </c>
      <c r="E1661">
        <v>23</v>
      </c>
      <c r="F1661" t="s">
        <v>2</v>
      </c>
      <c r="G1661" t="s">
        <v>36</v>
      </c>
      <c r="H1661" t="s">
        <v>4085</v>
      </c>
      <c r="I1661" s="2">
        <v>10000</v>
      </c>
      <c r="J1661" t="s">
        <v>440</v>
      </c>
      <c r="K1661" t="s">
        <v>2509</v>
      </c>
    </row>
    <row r="1662" spans="1:11" x14ac:dyDescent="0.25">
      <c r="A1662" t="s">
        <v>2357</v>
      </c>
      <c r="B1662" s="3">
        <v>46312</v>
      </c>
      <c r="C1662" t="s">
        <v>578</v>
      </c>
      <c r="D1662" t="s">
        <v>502</v>
      </c>
      <c r="E1662">
        <v>25</v>
      </c>
      <c r="F1662" t="s">
        <v>469</v>
      </c>
      <c r="G1662" t="s">
        <v>22</v>
      </c>
      <c r="H1662" t="s">
        <v>4086</v>
      </c>
      <c r="I1662" s="2">
        <v>101000</v>
      </c>
      <c r="J1662" t="s">
        <v>42</v>
      </c>
      <c r="K1662" t="s">
        <v>2509</v>
      </c>
    </row>
    <row r="1663" spans="1:11" x14ac:dyDescent="0.25">
      <c r="A1663" t="s">
        <v>2358</v>
      </c>
      <c r="B1663" s="3">
        <v>46312</v>
      </c>
      <c r="C1663" t="s">
        <v>665</v>
      </c>
      <c r="D1663" t="s">
        <v>589</v>
      </c>
      <c r="E1663">
        <v>57</v>
      </c>
      <c r="F1663" t="s">
        <v>469</v>
      </c>
      <c r="G1663" t="s">
        <v>40</v>
      </c>
      <c r="H1663" t="s">
        <v>4087</v>
      </c>
      <c r="I1663" s="2">
        <v>18000</v>
      </c>
      <c r="J1663" t="s">
        <v>274</v>
      </c>
      <c r="K1663" t="s">
        <v>2513</v>
      </c>
    </row>
    <row r="1664" spans="1:11" x14ac:dyDescent="0.25">
      <c r="A1664" t="s">
        <v>2359</v>
      </c>
      <c r="B1664" s="3">
        <v>46312</v>
      </c>
      <c r="C1664" t="s">
        <v>534</v>
      </c>
      <c r="D1664" t="s">
        <v>488</v>
      </c>
      <c r="E1664">
        <v>53</v>
      </c>
      <c r="F1664" t="s">
        <v>469</v>
      </c>
      <c r="G1664" t="s">
        <v>17</v>
      </c>
      <c r="H1664" t="s">
        <v>4088</v>
      </c>
      <c r="I1664" s="2">
        <v>44000</v>
      </c>
      <c r="J1664" t="s">
        <v>89</v>
      </c>
      <c r="K1664" t="s">
        <v>2513</v>
      </c>
    </row>
    <row r="1665" spans="1:11" x14ac:dyDescent="0.25">
      <c r="A1665" t="s">
        <v>2360</v>
      </c>
      <c r="B1665" s="3">
        <v>46312</v>
      </c>
      <c r="C1665" t="s">
        <v>375</v>
      </c>
      <c r="D1665" t="s">
        <v>364</v>
      </c>
      <c r="E1665">
        <v>60</v>
      </c>
      <c r="F1665" t="s">
        <v>358</v>
      </c>
      <c r="G1665" t="s">
        <v>55</v>
      </c>
      <c r="H1665" t="s">
        <v>4089</v>
      </c>
      <c r="I1665" s="2">
        <v>23000</v>
      </c>
      <c r="J1665" t="s">
        <v>110</v>
      </c>
      <c r="K1665" t="s">
        <v>2513</v>
      </c>
    </row>
    <row r="1666" spans="1:11" x14ac:dyDescent="0.25">
      <c r="A1666" t="s">
        <v>2361</v>
      </c>
      <c r="B1666" s="3">
        <v>46312</v>
      </c>
      <c r="C1666" t="s">
        <v>141</v>
      </c>
      <c r="D1666" t="s">
        <v>66</v>
      </c>
      <c r="E1666">
        <v>19</v>
      </c>
      <c r="F1666" t="s">
        <v>2</v>
      </c>
      <c r="G1666" t="s">
        <v>32</v>
      </c>
      <c r="H1666" t="s">
        <v>4090</v>
      </c>
      <c r="I1666" s="2">
        <v>175000</v>
      </c>
      <c r="J1666" t="s">
        <v>142</v>
      </c>
      <c r="K1666" t="s">
        <v>2503</v>
      </c>
    </row>
    <row r="1667" spans="1:11" x14ac:dyDescent="0.25">
      <c r="A1667" t="s">
        <v>2362</v>
      </c>
      <c r="B1667" s="3">
        <v>46312</v>
      </c>
      <c r="C1667" t="s">
        <v>285</v>
      </c>
      <c r="D1667" t="s">
        <v>216</v>
      </c>
      <c r="E1667">
        <v>61</v>
      </c>
      <c r="F1667" t="s">
        <v>2</v>
      </c>
      <c r="G1667" t="s">
        <v>22</v>
      </c>
      <c r="H1667" t="s">
        <v>4091</v>
      </c>
      <c r="I1667" s="2">
        <v>329000</v>
      </c>
      <c r="J1667" t="s">
        <v>42</v>
      </c>
      <c r="K1667" t="s">
        <v>2513</v>
      </c>
    </row>
    <row r="1668" spans="1:11" x14ac:dyDescent="0.25">
      <c r="A1668" t="s">
        <v>2363</v>
      </c>
      <c r="B1668" s="3">
        <v>46312</v>
      </c>
      <c r="C1668" t="s">
        <v>529</v>
      </c>
      <c r="D1668" t="s">
        <v>481</v>
      </c>
      <c r="E1668">
        <v>68</v>
      </c>
      <c r="F1668" t="s">
        <v>2</v>
      </c>
      <c r="G1668" t="s">
        <v>22</v>
      </c>
      <c r="H1668" t="s">
        <v>4092</v>
      </c>
      <c r="I1668" s="2">
        <v>145000</v>
      </c>
      <c r="J1668" t="s">
        <v>327</v>
      </c>
      <c r="K1668" t="s">
        <v>2513</v>
      </c>
    </row>
    <row r="1669" spans="1:11" x14ac:dyDescent="0.25">
      <c r="A1669" t="s">
        <v>2364</v>
      </c>
      <c r="B1669" s="3">
        <v>46312</v>
      </c>
      <c r="C1669" t="s">
        <v>172</v>
      </c>
      <c r="D1669" t="s">
        <v>26</v>
      </c>
      <c r="E1669">
        <v>42</v>
      </c>
      <c r="F1669" t="s">
        <v>2</v>
      </c>
      <c r="G1669" t="s">
        <v>55</v>
      </c>
      <c r="H1669" t="s">
        <v>4093</v>
      </c>
      <c r="I1669" s="2">
        <v>270000</v>
      </c>
      <c r="J1669" t="s">
        <v>173</v>
      </c>
      <c r="K1669" t="s">
        <v>2509</v>
      </c>
    </row>
    <row r="1670" spans="1:11" x14ac:dyDescent="0.25">
      <c r="A1670" t="s">
        <v>2365</v>
      </c>
      <c r="B1670" s="3">
        <v>46312</v>
      </c>
      <c r="C1670" t="s">
        <v>393</v>
      </c>
      <c r="D1670" t="s">
        <v>382</v>
      </c>
      <c r="E1670">
        <v>67</v>
      </c>
      <c r="F1670" t="s">
        <v>383</v>
      </c>
      <c r="G1670" t="s">
        <v>81</v>
      </c>
      <c r="H1670" t="s">
        <v>4094</v>
      </c>
      <c r="I1670" s="2">
        <v>142000</v>
      </c>
      <c r="J1670" t="s">
        <v>219</v>
      </c>
      <c r="K1670" t="s">
        <v>2503</v>
      </c>
    </row>
    <row r="1671" spans="1:11" x14ac:dyDescent="0.25">
      <c r="A1671" t="s">
        <v>2366</v>
      </c>
      <c r="B1671" s="3">
        <v>46312</v>
      </c>
      <c r="C1671" t="s">
        <v>551</v>
      </c>
      <c r="D1671" t="s">
        <v>484</v>
      </c>
      <c r="E1671">
        <v>17</v>
      </c>
      <c r="F1671" t="s">
        <v>469</v>
      </c>
      <c r="G1671" t="s">
        <v>32</v>
      </c>
      <c r="H1671" t="s">
        <v>4095</v>
      </c>
      <c r="I1671" s="2">
        <v>51000</v>
      </c>
      <c r="J1671" t="s">
        <v>230</v>
      </c>
      <c r="K1671" t="s">
        <v>2503</v>
      </c>
    </row>
    <row r="1672" spans="1:11" x14ac:dyDescent="0.25">
      <c r="A1672" t="s">
        <v>2367</v>
      </c>
      <c r="B1672" s="3">
        <v>46312</v>
      </c>
      <c r="C1672" t="s">
        <v>496</v>
      </c>
      <c r="D1672" t="s">
        <v>490</v>
      </c>
      <c r="E1672">
        <v>19</v>
      </c>
      <c r="F1672" t="s">
        <v>355</v>
      </c>
      <c r="G1672" t="s">
        <v>81</v>
      </c>
      <c r="H1672" t="s">
        <v>4096</v>
      </c>
      <c r="I1672" s="2">
        <v>33000</v>
      </c>
      <c r="J1672" t="s">
        <v>42</v>
      </c>
      <c r="K1672" t="s">
        <v>2509</v>
      </c>
    </row>
    <row r="1673" spans="1:11" x14ac:dyDescent="0.25">
      <c r="A1673" t="s">
        <v>2368</v>
      </c>
      <c r="B1673" s="3">
        <v>46312</v>
      </c>
      <c r="C1673" t="s">
        <v>277</v>
      </c>
      <c r="D1673" t="s">
        <v>210</v>
      </c>
      <c r="E1673">
        <v>25</v>
      </c>
      <c r="F1673" t="s">
        <v>2</v>
      </c>
      <c r="G1673" t="s">
        <v>81</v>
      </c>
      <c r="H1673" t="s">
        <v>4097</v>
      </c>
      <c r="I1673" s="2">
        <v>8746000</v>
      </c>
      <c r="J1673" t="s">
        <v>69</v>
      </c>
      <c r="K1673" t="s">
        <v>2503</v>
      </c>
    </row>
    <row r="1674" spans="1:11" x14ac:dyDescent="0.25">
      <c r="A1674" t="s">
        <v>2369</v>
      </c>
      <c r="B1674" s="3">
        <v>46312</v>
      </c>
      <c r="C1674" t="s">
        <v>692</v>
      </c>
      <c r="D1674" t="s">
        <v>582</v>
      </c>
      <c r="E1674">
        <v>13</v>
      </c>
      <c r="F1674" t="s">
        <v>2</v>
      </c>
      <c r="G1674" t="s">
        <v>55</v>
      </c>
      <c r="H1674" t="s">
        <v>4098</v>
      </c>
      <c r="I1674" s="2">
        <v>84000</v>
      </c>
      <c r="J1674" t="s">
        <v>181</v>
      </c>
      <c r="K1674" t="s">
        <v>2509</v>
      </c>
    </row>
    <row r="1675" spans="1:11" x14ac:dyDescent="0.25">
      <c r="A1675" t="s">
        <v>2370</v>
      </c>
      <c r="B1675" s="3">
        <v>46312</v>
      </c>
      <c r="C1675" t="s">
        <v>500</v>
      </c>
      <c r="D1675" t="s">
        <v>488</v>
      </c>
      <c r="E1675">
        <v>6</v>
      </c>
      <c r="F1675" t="s">
        <v>469</v>
      </c>
      <c r="G1675" t="s">
        <v>32</v>
      </c>
      <c r="H1675" t="s">
        <v>4099</v>
      </c>
      <c r="I1675" s="2">
        <v>89000</v>
      </c>
      <c r="J1675" t="s">
        <v>27</v>
      </c>
      <c r="K1675" t="s">
        <v>2500</v>
      </c>
    </row>
    <row r="1676" spans="1:11" x14ac:dyDescent="0.25">
      <c r="A1676" t="s">
        <v>2371</v>
      </c>
      <c r="B1676" s="3">
        <v>46312</v>
      </c>
      <c r="C1676" t="s">
        <v>323</v>
      </c>
      <c r="D1676" t="s">
        <v>240</v>
      </c>
      <c r="E1676">
        <v>18</v>
      </c>
      <c r="F1676" t="s">
        <v>2</v>
      </c>
      <c r="G1676" t="s">
        <v>48</v>
      </c>
      <c r="H1676" t="s">
        <v>4100</v>
      </c>
      <c r="I1676" s="2">
        <v>439000</v>
      </c>
      <c r="J1676" t="s">
        <v>324</v>
      </c>
      <c r="K1676" t="s">
        <v>2500</v>
      </c>
    </row>
    <row r="1677" spans="1:11" x14ac:dyDescent="0.25">
      <c r="A1677" t="s">
        <v>2372</v>
      </c>
      <c r="B1677" s="3">
        <v>46312</v>
      </c>
      <c r="C1677" t="s">
        <v>301</v>
      </c>
      <c r="D1677" t="s">
        <v>240</v>
      </c>
      <c r="E1677">
        <v>60</v>
      </c>
      <c r="F1677" t="s">
        <v>2</v>
      </c>
      <c r="G1677" t="s">
        <v>36</v>
      </c>
      <c r="H1677" t="s">
        <v>4101</v>
      </c>
      <c r="I1677" s="2">
        <v>646000</v>
      </c>
      <c r="J1677" t="s">
        <v>259</v>
      </c>
      <c r="K1677" t="s">
        <v>2513</v>
      </c>
    </row>
    <row r="1678" spans="1:11" x14ac:dyDescent="0.25">
      <c r="A1678" t="s">
        <v>2373</v>
      </c>
      <c r="B1678" s="3">
        <v>46312</v>
      </c>
      <c r="C1678" t="s">
        <v>682</v>
      </c>
      <c r="D1678" t="s">
        <v>602</v>
      </c>
      <c r="E1678">
        <v>63</v>
      </c>
      <c r="F1678" t="s">
        <v>2</v>
      </c>
      <c r="G1678" t="s">
        <v>36</v>
      </c>
      <c r="H1678" t="s">
        <v>4102</v>
      </c>
      <c r="I1678" s="2">
        <v>161000</v>
      </c>
      <c r="J1678" t="s">
        <v>287</v>
      </c>
      <c r="K1678" t="s">
        <v>2509</v>
      </c>
    </row>
    <row r="1679" spans="1:11" x14ac:dyDescent="0.25">
      <c r="A1679" t="s">
        <v>2374</v>
      </c>
      <c r="B1679" s="3">
        <v>46312</v>
      </c>
      <c r="C1679" t="s">
        <v>429</v>
      </c>
      <c r="D1679" t="s">
        <v>351</v>
      </c>
      <c r="E1679">
        <v>64</v>
      </c>
      <c r="F1679" t="s">
        <v>2</v>
      </c>
      <c r="G1679" t="s">
        <v>22</v>
      </c>
      <c r="H1679" t="s">
        <v>4103</v>
      </c>
      <c r="I1679" s="2">
        <v>625000</v>
      </c>
      <c r="J1679" t="s">
        <v>126</v>
      </c>
      <c r="K1679" t="s">
        <v>2513</v>
      </c>
    </row>
    <row r="1680" spans="1:11" x14ac:dyDescent="0.25">
      <c r="A1680" t="s">
        <v>2375</v>
      </c>
      <c r="B1680" s="3">
        <v>46312</v>
      </c>
      <c r="C1680" t="s">
        <v>408</v>
      </c>
      <c r="D1680" t="s">
        <v>354</v>
      </c>
      <c r="E1680">
        <v>37</v>
      </c>
      <c r="F1680" t="s">
        <v>355</v>
      </c>
      <c r="G1680" t="s">
        <v>36</v>
      </c>
      <c r="H1680" t="s">
        <v>4104</v>
      </c>
      <c r="I1680" s="2">
        <v>27000</v>
      </c>
      <c r="J1680" t="s">
        <v>219</v>
      </c>
      <c r="K1680" t="s">
        <v>2503</v>
      </c>
    </row>
    <row r="1681" spans="1:11" x14ac:dyDescent="0.25">
      <c r="A1681" t="s">
        <v>2376</v>
      </c>
      <c r="B1681" s="3">
        <v>46312</v>
      </c>
      <c r="C1681" t="s">
        <v>407</v>
      </c>
      <c r="D1681" t="s">
        <v>344</v>
      </c>
      <c r="E1681">
        <v>57</v>
      </c>
      <c r="F1681" t="s">
        <v>346</v>
      </c>
      <c r="G1681" t="s">
        <v>81</v>
      </c>
      <c r="H1681" t="s">
        <v>4105</v>
      </c>
      <c r="I1681" s="2">
        <v>58000</v>
      </c>
      <c r="J1681" t="s">
        <v>30</v>
      </c>
      <c r="K1681" t="s">
        <v>2513</v>
      </c>
    </row>
    <row r="1682" spans="1:11" x14ac:dyDescent="0.25">
      <c r="A1682" t="s">
        <v>2377</v>
      </c>
      <c r="B1682" s="3">
        <v>46312</v>
      </c>
      <c r="C1682" t="s">
        <v>94</v>
      </c>
      <c r="D1682" t="s">
        <v>15</v>
      </c>
      <c r="E1682">
        <v>48</v>
      </c>
      <c r="F1682" t="s">
        <v>2</v>
      </c>
      <c r="G1682" t="s">
        <v>22</v>
      </c>
      <c r="H1682" t="s">
        <v>4106</v>
      </c>
      <c r="I1682" s="2">
        <v>148000</v>
      </c>
      <c r="J1682" t="s">
        <v>95</v>
      </c>
      <c r="K1682" t="s">
        <v>2509</v>
      </c>
    </row>
    <row r="1683" spans="1:11" x14ac:dyDescent="0.25">
      <c r="A1683" t="s">
        <v>2378</v>
      </c>
      <c r="B1683" s="3">
        <v>46312</v>
      </c>
      <c r="C1683" t="s">
        <v>425</v>
      </c>
      <c r="D1683" t="s">
        <v>378</v>
      </c>
      <c r="E1683">
        <v>3</v>
      </c>
      <c r="F1683" t="s">
        <v>2</v>
      </c>
      <c r="G1683" t="s">
        <v>40</v>
      </c>
      <c r="H1683" t="s">
        <v>4107</v>
      </c>
      <c r="I1683" s="2">
        <v>23000</v>
      </c>
      <c r="J1683" t="s">
        <v>423</v>
      </c>
      <c r="K1683" t="s">
        <v>2513</v>
      </c>
    </row>
    <row r="1684" spans="1:11" x14ac:dyDescent="0.25">
      <c r="A1684" t="s">
        <v>2379</v>
      </c>
      <c r="B1684" s="3">
        <v>46312</v>
      </c>
      <c r="C1684" t="s">
        <v>498</v>
      </c>
      <c r="D1684" t="s">
        <v>488</v>
      </c>
      <c r="E1684">
        <v>32</v>
      </c>
      <c r="F1684" t="s">
        <v>469</v>
      </c>
      <c r="G1684" t="s">
        <v>40</v>
      </c>
      <c r="H1684" t="s">
        <v>4108</v>
      </c>
      <c r="I1684" s="2">
        <v>81000</v>
      </c>
      <c r="J1684" t="s">
        <v>52</v>
      </c>
      <c r="K1684" t="s">
        <v>2503</v>
      </c>
    </row>
    <row r="1685" spans="1:11" x14ac:dyDescent="0.25">
      <c r="A1685" t="s">
        <v>2380</v>
      </c>
      <c r="B1685" s="3">
        <v>46312</v>
      </c>
      <c r="C1685" t="s">
        <v>239</v>
      </c>
      <c r="D1685" t="s">
        <v>240</v>
      </c>
      <c r="E1685">
        <v>56</v>
      </c>
      <c r="F1685" t="s">
        <v>2</v>
      </c>
      <c r="G1685" t="s">
        <v>85</v>
      </c>
      <c r="H1685" t="s">
        <v>4109</v>
      </c>
      <c r="I1685" s="2">
        <v>427000</v>
      </c>
      <c r="J1685" t="s">
        <v>100</v>
      </c>
      <c r="K1685" t="s">
        <v>2513</v>
      </c>
    </row>
    <row r="1686" spans="1:11" x14ac:dyDescent="0.25">
      <c r="A1686" t="s">
        <v>2381</v>
      </c>
      <c r="B1686" s="3">
        <v>46312</v>
      </c>
      <c r="C1686" t="s">
        <v>168</v>
      </c>
      <c r="D1686" t="s">
        <v>1</v>
      </c>
      <c r="E1686">
        <v>26</v>
      </c>
      <c r="F1686" t="s">
        <v>2</v>
      </c>
      <c r="G1686" t="s">
        <v>85</v>
      </c>
      <c r="H1686" t="s">
        <v>4110</v>
      </c>
      <c r="I1686" s="2">
        <v>76000</v>
      </c>
      <c r="J1686" t="s">
        <v>124</v>
      </c>
      <c r="K1686" t="s">
        <v>2500</v>
      </c>
    </row>
    <row r="1687" spans="1:11" x14ac:dyDescent="0.25">
      <c r="A1687" t="s">
        <v>2382</v>
      </c>
      <c r="B1687" s="3">
        <v>46312</v>
      </c>
      <c r="C1687" t="s">
        <v>232</v>
      </c>
      <c r="D1687" t="s">
        <v>225</v>
      </c>
      <c r="E1687">
        <v>37</v>
      </c>
      <c r="F1687" t="s">
        <v>2</v>
      </c>
      <c r="G1687" t="s">
        <v>61</v>
      </c>
      <c r="H1687" t="s">
        <v>4111</v>
      </c>
      <c r="I1687" s="2">
        <v>560000</v>
      </c>
      <c r="J1687" t="s">
        <v>30</v>
      </c>
      <c r="K1687" t="s">
        <v>2513</v>
      </c>
    </row>
    <row r="1688" spans="1:11" x14ac:dyDescent="0.25">
      <c r="A1688" t="s">
        <v>2383</v>
      </c>
      <c r="B1688" s="3">
        <v>46312</v>
      </c>
      <c r="C1688" t="s">
        <v>453</v>
      </c>
      <c r="D1688" t="s">
        <v>354</v>
      </c>
      <c r="E1688">
        <v>41</v>
      </c>
      <c r="F1688" t="s">
        <v>355</v>
      </c>
      <c r="G1688" t="s">
        <v>36</v>
      </c>
      <c r="H1688" t="s">
        <v>4112</v>
      </c>
      <c r="I1688" s="2">
        <v>15000</v>
      </c>
      <c r="J1688" t="s">
        <v>124</v>
      </c>
      <c r="K1688" t="s">
        <v>2500</v>
      </c>
    </row>
    <row r="1689" spans="1:11" x14ac:dyDescent="0.25">
      <c r="A1689" t="s">
        <v>2384</v>
      </c>
      <c r="B1689" s="3">
        <v>46312</v>
      </c>
      <c r="C1689" t="s">
        <v>507</v>
      </c>
      <c r="D1689" t="s">
        <v>471</v>
      </c>
      <c r="E1689">
        <v>9</v>
      </c>
      <c r="F1689" t="s">
        <v>355</v>
      </c>
      <c r="G1689" t="s">
        <v>55</v>
      </c>
      <c r="H1689" t="s">
        <v>4113</v>
      </c>
      <c r="I1689" s="2">
        <v>73000</v>
      </c>
      <c r="J1689" t="s">
        <v>19</v>
      </c>
      <c r="K1689" t="s">
        <v>2500</v>
      </c>
    </row>
    <row r="1690" spans="1:11" x14ac:dyDescent="0.25">
      <c r="A1690" t="s">
        <v>2385</v>
      </c>
      <c r="B1690" s="3">
        <v>46312</v>
      </c>
      <c r="C1690" t="s">
        <v>187</v>
      </c>
      <c r="D1690" t="s">
        <v>54</v>
      </c>
      <c r="E1690">
        <v>44</v>
      </c>
      <c r="F1690" t="s">
        <v>2</v>
      </c>
      <c r="G1690" t="s">
        <v>36</v>
      </c>
      <c r="H1690" t="s">
        <v>3920</v>
      </c>
      <c r="I1690" s="2">
        <v>122000</v>
      </c>
      <c r="J1690" t="s">
        <v>110</v>
      </c>
      <c r="K1690" t="s">
        <v>2500</v>
      </c>
    </row>
    <row r="1691" spans="1:11" x14ac:dyDescent="0.25">
      <c r="A1691" t="s">
        <v>2386</v>
      </c>
      <c r="B1691" s="3">
        <v>46312</v>
      </c>
      <c r="C1691" t="s">
        <v>433</v>
      </c>
      <c r="D1691" t="s">
        <v>354</v>
      </c>
      <c r="E1691">
        <v>37</v>
      </c>
      <c r="F1691" t="s">
        <v>355</v>
      </c>
      <c r="G1691" t="s">
        <v>32</v>
      </c>
      <c r="H1691" t="s">
        <v>4114</v>
      </c>
      <c r="I1691" s="2">
        <v>10000</v>
      </c>
      <c r="J1691" t="s">
        <v>203</v>
      </c>
      <c r="K1691" t="s">
        <v>2513</v>
      </c>
    </row>
    <row r="1692" spans="1:11" x14ac:dyDescent="0.25">
      <c r="A1692" t="s">
        <v>2387</v>
      </c>
      <c r="B1692" s="3">
        <v>46312</v>
      </c>
      <c r="C1692" t="s">
        <v>179</v>
      </c>
      <c r="D1692" t="s">
        <v>47</v>
      </c>
      <c r="E1692">
        <v>38</v>
      </c>
      <c r="F1692" t="s">
        <v>2</v>
      </c>
      <c r="G1692" t="s">
        <v>17</v>
      </c>
      <c r="H1692" t="s">
        <v>3557</v>
      </c>
      <c r="I1692" s="2">
        <v>482000</v>
      </c>
      <c r="J1692" t="s">
        <v>50</v>
      </c>
      <c r="K1692" t="s">
        <v>2509</v>
      </c>
    </row>
    <row r="1693" spans="1:11" x14ac:dyDescent="0.25">
      <c r="A1693" t="s">
        <v>2388</v>
      </c>
      <c r="B1693" s="3">
        <v>46312</v>
      </c>
      <c r="C1693" t="s">
        <v>603</v>
      </c>
      <c r="D1693" t="s">
        <v>594</v>
      </c>
      <c r="E1693">
        <v>55</v>
      </c>
      <c r="F1693" t="s">
        <v>595</v>
      </c>
      <c r="G1693" t="s">
        <v>17</v>
      </c>
      <c r="H1693" t="s">
        <v>4115</v>
      </c>
      <c r="I1693" s="2">
        <v>14000</v>
      </c>
      <c r="J1693" t="s">
        <v>45</v>
      </c>
      <c r="K1693" t="s">
        <v>2513</v>
      </c>
    </row>
    <row r="1694" spans="1:11" x14ac:dyDescent="0.25">
      <c r="A1694" t="s">
        <v>2389</v>
      </c>
      <c r="B1694" s="3">
        <v>46313</v>
      </c>
      <c r="C1694" t="s">
        <v>525</v>
      </c>
      <c r="D1694" t="s">
        <v>474</v>
      </c>
      <c r="E1694">
        <v>69</v>
      </c>
      <c r="F1694" t="s">
        <v>2</v>
      </c>
      <c r="G1694" t="s">
        <v>40</v>
      </c>
      <c r="H1694" t="s">
        <v>4116</v>
      </c>
      <c r="I1694" s="2">
        <v>8000</v>
      </c>
      <c r="J1694" t="s">
        <v>104</v>
      </c>
      <c r="K1694" t="s">
        <v>2509</v>
      </c>
    </row>
    <row r="1695" spans="1:11" x14ac:dyDescent="0.25">
      <c r="A1695" t="s">
        <v>2390</v>
      </c>
      <c r="B1695" s="3">
        <v>46313</v>
      </c>
      <c r="C1695" t="s">
        <v>347</v>
      </c>
      <c r="D1695" t="s">
        <v>344</v>
      </c>
      <c r="E1695">
        <v>21</v>
      </c>
      <c r="F1695" t="s">
        <v>346</v>
      </c>
      <c r="G1695" t="s">
        <v>48</v>
      </c>
      <c r="H1695" t="s">
        <v>4096</v>
      </c>
      <c r="I1695" s="2">
        <v>45000</v>
      </c>
      <c r="J1695" t="s">
        <v>185</v>
      </c>
      <c r="K1695" t="s">
        <v>2503</v>
      </c>
    </row>
    <row r="1696" spans="1:11" x14ac:dyDescent="0.25">
      <c r="A1696" t="s">
        <v>2391</v>
      </c>
      <c r="B1696" s="3">
        <v>46313</v>
      </c>
      <c r="C1696" t="s">
        <v>491</v>
      </c>
      <c r="D1696" t="s">
        <v>481</v>
      </c>
      <c r="E1696">
        <v>69</v>
      </c>
      <c r="F1696" t="s">
        <v>2</v>
      </c>
      <c r="G1696" t="s">
        <v>55</v>
      </c>
      <c r="H1696" t="s">
        <v>4117</v>
      </c>
      <c r="I1696" s="2">
        <v>186000</v>
      </c>
      <c r="J1696" t="s">
        <v>324</v>
      </c>
      <c r="K1696" t="s">
        <v>2500</v>
      </c>
    </row>
    <row r="1697" spans="1:11" x14ac:dyDescent="0.25">
      <c r="A1697" t="s">
        <v>2392</v>
      </c>
      <c r="B1697" s="3">
        <v>46313</v>
      </c>
      <c r="C1697" t="s">
        <v>601</v>
      </c>
      <c r="D1697" t="s">
        <v>602</v>
      </c>
      <c r="E1697">
        <v>43</v>
      </c>
      <c r="F1697" t="s">
        <v>2</v>
      </c>
      <c r="G1697" t="s">
        <v>32</v>
      </c>
      <c r="H1697" t="s">
        <v>4118</v>
      </c>
      <c r="I1697" s="2">
        <v>222000</v>
      </c>
      <c r="J1697" t="s">
        <v>52</v>
      </c>
      <c r="K1697" t="s">
        <v>2509</v>
      </c>
    </row>
    <row r="1698" spans="1:11" x14ac:dyDescent="0.25">
      <c r="A1698" t="s">
        <v>2393</v>
      </c>
      <c r="B1698" s="3">
        <v>46313</v>
      </c>
      <c r="C1698" t="s">
        <v>224</v>
      </c>
      <c r="D1698" t="s">
        <v>225</v>
      </c>
      <c r="E1698">
        <v>69</v>
      </c>
      <c r="F1698" t="s">
        <v>2</v>
      </c>
      <c r="G1698" t="s">
        <v>55</v>
      </c>
      <c r="H1698" t="s">
        <v>4119</v>
      </c>
      <c r="I1698" s="2">
        <v>803000</v>
      </c>
      <c r="J1698" t="s">
        <v>106</v>
      </c>
      <c r="K1698" t="s">
        <v>2513</v>
      </c>
    </row>
    <row r="1699" spans="1:11" x14ac:dyDescent="0.25">
      <c r="A1699" t="s">
        <v>2394</v>
      </c>
      <c r="B1699" s="3">
        <v>46313</v>
      </c>
      <c r="C1699" t="s">
        <v>605</v>
      </c>
      <c r="D1699" t="s">
        <v>589</v>
      </c>
      <c r="E1699">
        <v>4</v>
      </c>
      <c r="F1699" t="s">
        <v>469</v>
      </c>
      <c r="G1699" t="s">
        <v>17</v>
      </c>
      <c r="H1699" t="s">
        <v>4120</v>
      </c>
      <c r="I1699" s="2">
        <v>8000</v>
      </c>
      <c r="J1699" t="s">
        <v>117</v>
      </c>
      <c r="K1699" t="s">
        <v>2509</v>
      </c>
    </row>
    <row r="1700" spans="1:11" x14ac:dyDescent="0.25">
      <c r="A1700" t="s">
        <v>2395</v>
      </c>
      <c r="B1700" s="3">
        <v>46313</v>
      </c>
      <c r="C1700" t="s">
        <v>668</v>
      </c>
      <c r="D1700" t="s">
        <v>597</v>
      </c>
      <c r="E1700">
        <v>8</v>
      </c>
      <c r="F1700" t="s">
        <v>355</v>
      </c>
      <c r="G1700" t="s">
        <v>85</v>
      </c>
      <c r="H1700" t="s">
        <v>4121</v>
      </c>
      <c r="I1700" s="2">
        <v>18000</v>
      </c>
      <c r="J1700" t="s">
        <v>124</v>
      </c>
      <c r="K1700" t="s">
        <v>2503</v>
      </c>
    </row>
    <row r="1701" spans="1:11" x14ac:dyDescent="0.25">
      <c r="A1701" t="s">
        <v>2396</v>
      </c>
      <c r="B1701" s="3">
        <v>46313</v>
      </c>
      <c r="C1701" t="s">
        <v>141</v>
      </c>
      <c r="D1701" t="s">
        <v>66</v>
      </c>
      <c r="E1701">
        <v>7</v>
      </c>
      <c r="F1701" t="s">
        <v>2</v>
      </c>
      <c r="G1701" t="s">
        <v>32</v>
      </c>
      <c r="H1701" t="s">
        <v>4122</v>
      </c>
      <c r="I1701" s="2">
        <v>175000</v>
      </c>
      <c r="J1701" t="s">
        <v>142</v>
      </c>
      <c r="K1701" t="s">
        <v>2513</v>
      </c>
    </row>
    <row r="1702" spans="1:11" x14ac:dyDescent="0.25">
      <c r="A1702" t="s">
        <v>2397</v>
      </c>
      <c r="B1702" s="3">
        <v>46313</v>
      </c>
      <c r="C1702" t="s">
        <v>416</v>
      </c>
      <c r="D1702" t="s">
        <v>344</v>
      </c>
      <c r="E1702">
        <v>3</v>
      </c>
      <c r="F1702" t="s">
        <v>346</v>
      </c>
      <c r="G1702" t="s">
        <v>22</v>
      </c>
      <c r="H1702" t="s">
        <v>4123</v>
      </c>
      <c r="I1702" s="2">
        <v>64000</v>
      </c>
      <c r="J1702" t="s">
        <v>102</v>
      </c>
      <c r="K1702" t="s">
        <v>2509</v>
      </c>
    </row>
    <row r="1703" spans="1:11" x14ac:dyDescent="0.25">
      <c r="A1703" t="s">
        <v>2398</v>
      </c>
      <c r="B1703" s="3">
        <v>46313</v>
      </c>
      <c r="C1703" t="s">
        <v>538</v>
      </c>
      <c r="D1703" t="s">
        <v>490</v>
      </c>
      <c r="E1703">
        <v>7</v>
      </c>
      <c r="F1703" t="s">
        <v>355</v>
      </c>
      <c r="G1703" t="s">
        <v>81</v>
      </c>
      <c r="H1703" t="s">
        <v>4124</v>
      </c>
      <c r="I1703" s="2">
        <v>28000</v>
      </c>
      <c r="J1703" t="s">
        <v>327</v>
      </c>
      <c r="K1703" t="s">
        <v>2509</v>
      </c>
    </row>
    <row r="1704" spans="1:11" x14ac:dyDescent="0.25">
      <c r="A1704" t="s">
        <v>2399</v>
      </c>
      <c r="B1704" s="3">
        <v>46313</v>
      </c>
      <c r="C1704" t="s">
        <v>625</v>
      </c>
      <c r="D1704" t="s">
        <v>594</v>
      </c>
      <c r="E1704">
        <v>10</v>
      </c>
      <c r="F1704" t="s">
        <v>595</v>
      </c>
      <c r="G1704" t="s">
        <v>55</v>
      </c>
      <c r="H1704" t="s">
        <v>4125</v>
      </c>
      <c r="I1704" s="2">
        <v>4000</v>
      </c>
      <c r="J1704" t="s">
        <v>19</v>
      </c>
      <c r="K1704" t="s">
        <v>2503</v>
      </c>
    </row>
    <row r="1705" spans="1:11" x14ac:dyDescent="0.25">
      <c r="A1705" t="s">
        <v>2400</v>
      </c>
      <c r="B1705" s="3">
        <v>46313</v>
      </c>
      <c r="C1705" t="s">
        <v>544</v>
      </c>
      <c r="D1705" t="s">
        <v>488</v>
      </c>
      <c r="E1705">
        <v>28</v>
      </c>
      <c r="F1705" t="s">
        <v>469</v>
      </c>
      <c r="G1705" t="s">
        <v>22</v>
      </c>
      <c r="H1705" t="s">
        <v>4126</v>
      </c>
      <c r="I1705" s="2">
        <v>152000</v>
      </c>
      <c r="J1705" t="s">
        <v>219</v>
      </c>
      <c r="K1705" t="s">
        <v>2513</v>
      </c>
    </row>
    <row r="1706" spans="1:11" x14ac:dyDescent="0.25">
      <c r="A1706" t="s">
        <v>2401</v>
      </c>
      <c r="B1706" s="3">
        <v>46313</v>
      </c>
      <c r="C1706" t="s">
        <v>43</v>
      </c>
      <c r="D1706" t="s">
        <v>44</v>
      </c>
      <c r="E1706">
        <v>15</v>
      </c>
      <c r="F1706" t="s">
        <v>2</v>
      </c>
      <c r="G1706" t="s">
        <v>22</v>
      </c>
      <c r="H1706" t="s">
        <v>4127</v>
      </c>
      <c r="I1706" s="2">
        <v>88000</v>
      </c>
      <c r="J1706" t="s">
        <v>45</v>
      </c>
      <c r="K1706" t="s">
        <v>2513</v>
      </c>
    </row>
    <row r="1707" spans="1:11" x14ac:dyDescent="0.25">
      <c r="A1707" t="s">
        <v>2402</v>
      </c>
      <c r="B1707" s="3">
        <v>46313</v>
      </c>
      <c r="C1707" t="s">
        <v>480</v>
      </c>
      <c r="D1707" t="s">
        <v>481</v>
      </c>
      <c r="E1707">
        <v>47</v>
      </c>
      <c r="F1707" t="s">
        <v>2</v>
      </c>
      <c r="G1707" t="s">
        <v>55</v>
      </c>
      <c r="H1707" t="s">
        <v>4128</v>
      </c>
      <c r="I1707" s="2">
        <v>330000</v>
      </c>
      <c r="J1707" t="s">
        <v>297</v>
      </c>
      <c r="K1707" t="s">
        <v>2509</v>
      </c>
    </row>
    <row r="1708" spans="1:11" x14ac:dyDescent="0.25">
      <c r="A1708" t="s">
        <v>2403</v>
      </c>
      <c r="B1708" s="3">
        <v>46313</v>
      </c>
      <c r="C1708" t="s">
        <v>619</v>
      </c>
      <c r="D1708" t="s">
        <v>594</v>
      </c>
      <c r="E1708">
        <v>34</v>
      </c>
      <c r="F1708" t="s">
        <v>595</v>
      </c>
      <c r="G1708" t="s">
        <v>85</v>
      </c>
      <c r="H1708" t="s">
        <v>4129</v>
      </c>
      <c r="I1708" s="2">
        <v>10000</v>
      </c>
      <c r="J1708" t="s">
        <v>206</v>
      </c>
      <c r="K1708" t="s">
        <v>2513</v>
      </c>
    </row>
    <row r="1709" spans="1:11" x14ac:dyDescent="0.25">
      <c r="A1709" t="s">
        <v>2404</v>
      </c>
      <c r="B1709" s="3">
        <v>46313</v>
      </c>
      <c r="C1709" t="s">
        <v>501</v>
      </c>
      <c r="D1709" t="s">
        <v>502</v>
      </c>
      <c r="E1709">
        <v>56</v>
      </c>
      <c r="F1709" t="s">
        <v>469</v>
      </c>
      <c r="G1709" t="s">
        <v>40</v>
      </c>
      <c r="H1709" t="s">
        <v>4130</v>
      </c>
      <c r="I1709" s="2">
        <v>112000</v>
      </c>
      <c r="J1709" t="s">
        <v>292</v>
      </c>
      <c r="K1709" t="s">
        <v>2503</v>
      </c>
    </row>
    <row r="1710" spans="1:11" x14ac:dyDescent="0.25">
      <c r="A1710" t="s">
        <v>2405</v>
      </c>
      <c r="B1710" s="3">
        <v>46313</v>
      </c>
      <c r="C1710" t="s">
        <v>284</v>
      </c>
      <c r="D1710" t="s">
        <v>213</v>
      </c>
      <c r="E1710">
        <v>57</v>
      </c>
      <c r="F1710" t="s">
        <v>2</v>
      </c>
      <c r="G1710" t="s">
        <v>85</v>
      </c>
      <c r="H1710" t="s">
        <v>4131</v>
      </c>
      <c r="I1710" s="2">
        <v>2006000</v>
      </c>
      <c r="J1710" t="s">
        <v>108</v>
      </c>
      <c r="K1710" t="s">
        <v>2503</v>
      </c>
    </row>
    <row r="1711" spans="1:11" x14ac:dyDescent="0.25">
      <c r="A1711" t="s">
        <v>2406</v>
      </c>
      <c r="B1711" s="3">
        <v>46313</v>
      </c>
      <c r="C1711" t="s">
        <v>325</v>
      </c>
      <c r="D1711" t="s">
        <v>227</v>
      </c>
      <c r="E1711">
        <v>47</v>
      </c>
      <c r="F1711" t="s">
        <v>2</v>
      </c>
      <c r="G1711" t="s">
        <v>61</v>
      </c>
      <c r="H1711" t="s">
        <v>3780</v>
      </c>
      <c r="I1711" s="2">
        <v>1037000</v>
      </c>
      <c r="J1711" t="s">
        <v>34</v>
      </c>
      <c r="K1711" t="s">
        <v>2503</v>
      </c>
    </row>
    <row r="1712" spans="1:11" x14ac:dyDescent="0.25">
      <c r="A1712" t="s">
        <v>2407</v>
      </c>
      <c r="B1712" s="3">
        <v>46313</v>
      </c>
      <c r="C1712" t="s">
        <v>577</v>
      </c>
      <c r="D1712" t="s">
        <v>481</v>
      </c>
      <c r="E1712">
        <v>58</v>
      </c>
      <c r="F1712" t="s">
        <v>2</v>
      </c>
      <c r="G1712" t="s">
        <v>85</v>
      </c>
      <c r="H1712" t="s">
        <v>4132</v>
      </c>
      <c r="I1712" s="2">
        <v>342000</v>
      </c>
      <c r="J1712" t="s">
        <v>102</v>
      </c>
      <c r="K1712" t="s">
        <v>2509</v>
      </c>
    </row>
    <row r="1713" spans="1:11" x14ac:dyDescent="0.25">
      <c r="A1713" t="s">
        <v>2408</v>
      </c>
      <c r="B1713" s="3">
        <v>46313</v>
      </c>
      <c r="C1713" t="s">
        <v>605</v>
      </c>
      <c r="D1713" t="s">
        <v>589</v>
      </c>
      <c r="E1713">
        <v>4</v>
      </c>
      <c r="F1713" t="s">
        <v>469</v>
      </c>
      <c r="G1713" t="s">
        <v>17</v>
      </c>
      <c r="H1713" t="s">
        <v>4133</v>
      </c>
      <c r="I1713" s="2">
        <v>8000</v>
      </c>
      <c r="J1713" t="s">
        <v>117</v>
      </c>
      <c r="K1713" t="s">
        <v>2509</v>
      </c>
    </row>
    <row r="1714" spans="1:11" x14ac:dyDescent="0.25">
      <c r="A1714" t="s">
        <v>2409</v>
      </c>
      <c r="B1714" s="3">
        <v>46313</v>
      </c>
      <c r="C1714" t="s">
        <v>143</v>
      </c>
      <c r="D1714" t="s">
        <v>47</v>
      </c>
      <c r="E1714">
        <v>60</v>
      </c>
      <c r="F1714" t="s">
        <v>2</v>
      </c>
      <c r="G1714" t="s">
        <v>48</v>
      </c>
      <c r="H1714" t="s">
        <v>4134</v>
      </c>
      <c r="I1714" s="2">
        <v>171000</v>
      </c>
      <c r="J1714" t="s">
        <v>144</v>
      </c>
      <c r="K1714" t="s">
        <v>2513</v>
      </c>
    </row>
    <row r="1715" spans="1:11" x14ac:dyDescent="0.25">
      <c r="A1715" t="s">
        <v>2410</v>
      </c>
      <c r="B1715" s="3">
        <v>46313</v>
      </c>
      <c r="C1715" t="s">
        <v>60</v>
      </c>
      <c r="D1715" t="s">
        <v>44</v>
      </c>
      <c r="E1715">
        <v>17</v>
      </c>
      <c r="F1715" t="s">
        <v>2</v>
      </c>
      <c r="G1715" t="s">
        <v>61</v>
      </c>
      <c r="H1715" t="s">
        <v>3639</v>
      </c>
      <c r="I1715" s="2">
        <v>66000</v>
      </c>
      <c r="J1715" t="s">
        <v>27</v>
      </c>
      <c r="K1715" t="s">
        <v>2503</v>
      </c>
    </row>
    <row r="1716" spans="1:11" x14ac:dyDescent="0.25">
      <c r="A1716" t="s">
        <v>2411</v>
      </c>
      <c r="B1716" s="3">
        <v>46313</v>
      </c>
      <c r="C1716" t="s">
        <v>251</v>
      </c>
      <c r="D1716" t="s">
        <v>216</v>
      </c>
      <c r="E1716">
        <v>5</v>
      </c>
      <c r="F1716" t="s">
        <v>2</v>
      </c>
      <c r="G1716" t="s">
        <v>36</v>
      </c>
      <c r="H1716" t="s">
        <v>4135</v>
      </c>
      <c r="I1716" s="2">
        <v>445000</v>
      </c>
      <c r="J1716" t="s">
        <v>71</v>
      </c>
      <c r="K1716" t="s">
        <v>2509</v>
      </c>
    </row>
    <row r="1717" spans="1:11" x14ac:dyDescent="0.25">
      <c r="A1717" t="s">
        <v>2412</v>
      </c>
      <c r="B1717" s="3">
        <v>46313</v>
      </c>
      <c r="C1717" t="s">
        <v>549</v>
      </c>
      <c r="D1717" t="s">
        <v>474</v>
      </c>
      <c r="E1717">
        <v>49</v>
      </c>
      <c r="F1717" t="s">
        <v>2</v>
      </c>
      <c r="G1717" t="s">
        <v>81</v>
      </c>
      <c r="H1717" t="s">
        <v>4136</v>
      </c>
      <c r="I1717" s="2">
        <v>11000</v>
      </c>
      <c r="J1717" t="s">
        <v>297</v>
      </c>
      <c r="K1717" t="s">
        <v>2513</v>
      </c>
    </row>
    <row r="1718" spans="1:11" x14ac:dyDescent="0.25">
      <c r="A1718" t="s">
        <v>2413</v>
      </c>
      <c r="B1718" s="3">
        <v>46313</v>
      </c>
      <c r="C1718" t="s">
        <v>315</v>
      </c>
      <c r="D1718" t="s">
        <v>213</v>
      </c>
      <c r="E1718">
        <v>52</v>
      </c>
      <c r="F1718" t="s">
        <v>2</v>
      </c>
      <c r="G1718" t="s">
        <v>85</v>
      </c>
      <c r="H1718" t="s">
        <v>4137</v>
      </c>
      <c r="I1718" s="2">
        <v>6011000</v>
      </c>
      <c r="J1718" t="s">
        <v>189</v>
      </c>
      <c r="K1718" t="s">
        <v>2509</v>
      </c>
    </row>
    <row r="1719" spans="1:11" x14ac:dyDescent="0.25">
      <c r="A1719" t="s">
        <v>2414</v>
      </c>
      <c r="B1719" s="3">
        <v>46313</v>
      </c>
      <c r="C1719" t="s">
        <v>652</v>
      </c>
      <c r="D1719" t="s">
        <v>587</v>
      </c>
      <c r="E1719">
        <v>65</v>
      </c>
      <c r="F1719" t="s">
        <v>2</v>
      </c>
      <c r="G1719" t="s">
        <v>85</v>
      </c>
      <c r="H1719" t="s">
        <v>4138</v>
      </c>
      <c r="I1719" s="2">
        <v>14000</v>
      </c>
      <c r="J1719" t="s">
        <v>34</v>
      </c>
      <c r="K1719" t="s">
        <v>2513</v>
      </c>
    </row>
    <row r="1720" spans="1:11" x14ac:dyDescent="0.25">
      <c r="A1720" t="s">
        <v>2415</v>
      </c>
      <c r="B1720" s="3">
        <v>46313</v>
      </c>
      <c r="C1720" t="s">
        <v>533</v>
      </c>
      <c r="D1720" t="s">
        <v>474</v>
      </c>
      <c r="E1720">
        <v>12</v>
      </c>
      <c r="F1720" t="s">
        <v>2</v>
      </c>
      <c r="G1720" t="s">
        <v>55</v>
      </c>
      <c r="H1720" t="s">
        <v>4139</v>
      </c>
      <c r="I1720" s="2">
        <v>5000</v>
      </c>
      <c r="J1720" t="s">
        <v>59</v>
      </c>
      <c r="K1720" t="s">
        <v>2513</v>
      </c>
    </row>
    <row r="1721" spans="1:11" x14ac:dyDescent="0.25">
      <c r="A1721" t="s">
        <v>2416</v>
      </c>
      <c r="B1721" s="3">
        <v>46313</v>
      </c>
      <c r="C1721" t="s">
        <v>231</v>
      </c>
      <c r="D1721" t="s">
        <v>227</v>
      </c>
      <c r="E1721">
        <v>25</v>
      </c>
      <c r="F1721" t="s">
        <v>2</v>
      </c>
      <c r="G1721" t="s">
        <v>40</v>
      </c>
      <c r="H1721" t="s">
        <v>4140</v>
      </c>
      <c r="I1721" s="2">
        <v>747000</v>
      </c>
      <c r="J1721" t="s">
        <v>30</v>
      </c>
      <c r="K1721" t="s">
        <v>2513</v>
      </c>
    </row>
    <row r="1722" spans="1:11" x14ac:dyDescent="0.25">
      <c r="A1722" t="s">
        <v>2417</v>
      </c>
      <c r="B1722" s="3">
        <v>46313</v>
      </c>
      <c r="C1722" t="s">
        <v>198</v>
      </c>
      <c r="D1722" t="s">
        <v>1</v>
      </c>
      <c r="E1722">
        <v>25</v>
      </c>
      <c r="F1722" t="s">
        <v>2</v>
      </c>
      <c r="G1722" t="s">
        <v>81</v>
      </c>
      <c r="H1722" t="s">
        <v>4141</v>
      </c>
      <c r="I1722" s="2">
        <v>76000</v>
      </c>
      <c r="J1722" t="s">
        <v>140</v>
      </c>
      <c r="K1722" t="s">
        <v>2513</v>
      </c>
    </row>
    <row r="1723" spans="1:11" x14ac:dyDescent="0.25">
      <c r="A1723" t="s">
        <v>2418</v>
      </c>
      <c r="B1723" s="3">
        <v>46313</v>
      </c>
      <c r="C1723" t="s">
        <v>436</v>
      </c>
      <c r="D1723" t="s">
        <v>366</v>
      </c>
      <c r="E1723">
        <v>51</v>
      </c>
      <c r="F1723" t="s">
        <v>2</v>
      </c>
      <c r="G1723" t="s">
        <v>85</v>
      </c>
      <c r="H1723" t="s">
        <v>4142</v>
      </c>
      <c r="I1723" s="2">
        <v>51000</v>
      </c>
      <c r="J1723" t="s">
        <v>19</v>
      </c>
      <c r="K1723" t="s">
        <v>2500</v>
      </c>
    </row>
    <row r="1724" spans="1:11" x14ac:dyDescent="0.25">
      <c r="A1724" t="s">
        <v>2419</v>
      </c>
      <c r="B1724" s="3">
        <v>46313</v>
      </c>
      <c r="C1724" t="s">
        <v>243</v>
      </c>
      <c r="D1724" t="s">
        <v>213</v>
      </c>
      <c r="E1724">
        <v>31</v>
      </c>
      <c r="F1724" t="s">
        <v>2</v>
      </c>
      <c r="G1724" t="s">
        <v>61</v>
      </c>
      <c r="H1724" t="s">
        <v>4143</v>
      </c>
      <c r="I1724" s="2">
        <v>4890000</v>
      </c>
      <c r="J1724" t="s">
        <v>177</v>
      </c>
      <c r="K1724" t="s">
        <v>2513</v>
      </c>
    </row>
    <row r="1725" spans="1:11" x14ac:dyDescent="0.25">
      <c r="A1725" t="s">
        <v>2420</v>
      </c>
      <c r="B1725" s="3">
        <v>46313</v>
      </c>
      <c r="C1725" t="s">
        <v>277</v>
      </c>
      <c r="D1725" t="s">
        <v>210</v>
      </c>
      <c r="E1725">
        <v>64</v>
      </c>
      <c r="F1725" t="s">
        <v>2</v>
      </c>
      <c r="G1725" t="s">
        <v>81</v>
      </c>
      <c r="H1725" t="s">
        <v>4144</v>
      </c>
      <c r="I1725" s="2">
        <v>8746000</v>
      </c>
      <c r="J1725" t="s">
        <v>69</v>
      </c>
      <c r="K1725" t="s">
        <v>2513</v>
      </c>
    </row>
    <row r="1726" spans="1:11" x14ac:dyDescent="0.25">
      <c r="A1726" t="s">
        <v>2421</v>
      </c>
      <c r="B1726" s="3">
        <v>46313</v>
      </c>
      <c r="C1726" t="s">
        <v>458</v>
      </c>
      <c r="D1726" t="s">
        <v>360</v>
      </c>
      <c r="E1726">
        <v>1</v>
      </c>
      <c r="F1726" t="s">
        <v>358</v>
      </c>
      <c r="G1726" t="s">
        <v>22</v>
      </c>
      <c r="H1726" t="s">
        <v>4145</v>
      </c>
      <c r="I1726" s="2">
        <v>19000</v>
      </c>
      <c r="J1726" t="s">
        <v>42</v>
      </c>
      <c r="K1726" t="s">
        <v>2503</v>
      </c>
    </row>
    <row r="1727" spans="1:11" x14ac:dyDescent="0.25">
      <c r="A1727" t="s">
        <v>2422</v>
      </c>
      <c r="B1727" s="3">
        <v>46313</v>
      </c>
      <c r="C1727" t="s">
        <v>243</v>
      </c>
      <c r="D1727" t="s">
        <v>213</v>
      </c>
      <c r="E1727">
        <v>69</v>
      </c>
      <c r="F1727" t="s">
        <v>2</v>
      </c>
      <c r="G1727" t="s">
        <v>61</v>
      </c>
      <c r="H1727" t="s">
        <v>4146</v>
      </c>
      <c r="I1727" s="2">
        <v>4890000</v>
      </c>
      <c r="J1727" t="s">
        <v>177</v>
      </c>
      <c r="K1727" t="s">
        <v>2503</v>
      </c>
    </row>
    <row r="1728" spans="1:11" x14ac:dyDescent="0.25">
      <c r="A1728" t="s">
        <v>2423</v>
      </c>
      <c r="B1728" s="3">
        <v>46313</v>
      </c>
      <c r="C1728" t="s">
        <v>610</v>
      </c>
      <c r="D1728" t="s">
        <v>582</v>
      </c>
      <c r="E1728">
        <v>63</v>
      </c>
      <c r="F1728" t="s">
        <v>2</v>
      </c>
      <c r="G1728" t="s">
        <v>32</v>
      </c>
      <c r="H1728" t="s">
        <v>4147</v>
      </c>
      <c r="I1728" s="2">
        <v>157000</v>
      </c>
      <c r="J1728" t="s">
        <v>147</v>
      </c>
      <c r="K1728" t="s">
        <v>2500</v>
      </c>
    </row>
    <row r="1729" spans="1:11" x14ac:dyDescent="0.25">
      <c r="A1729" t="s">
        <v>2424</v>
      </c>
      <c r="B1729" s="3">
        <v>46313</v>
      </c>
      <c r="C1729" t="s">
        <v>212</v>
      </c>
      <c r="D1729" t="s">
        <v>213</v>
      </c>
      <c r="E1729">
        <v>42</v>
      </c>
      <c r="F1729" t="s">
        <v>2</v>
      </c>
      <c r="G1729" t="s">
        <v>36</v>
      </c>
      <c r="H1729" t="s">
        <v>4148</v>
      </c>
      <c r="I1729" s="2">
        <v>2642000</v>
      </c>
      <c r="J1729" t="s">
        <v>129</v>
      </c>
      <c r="K1729" t="s">
        <v>2500</v>
      </c>
    </row>
    <row r="1730" spans="1:11" x14ac:dyDescent="0.25">
      <c r="A1730" t="s">
        <v>2425</v>
      </c>
      <c r="B1730" s="3">
        <v>46313</v>
      </c>
      <c r="C1730" t="s">
        <v>441</v>
      </c>
      <c r="D1730" t="s">
        <v>366</v>
      </c>
      <c r="E1730">
        <v>44</v>
      </c>
      <c r="F1730" t="s">
        <v>2</v>
      </c>
      <c r="G1730" t="s">
        <v>61</v>
      </c>
      <c r="H1730" t="s">
        <v>4149</v>
      </c>
      <c r="I1730" s="2">
        <v>78000</v>
      </c>
      <c r="J1730" t="s">
        <v>314</v>
      </c>
      <c r="K1730" t="s">
        <v>2513</v>
      </c>
    </row>
    <row r="1731" spans="1:11" x14ac:dyDescent="0.25">
      <c r="A1731" t="s">
        <v>2426</v>
      </c>
      <c r="B1731" s="3">
        <v>46313</v>
      </c>
      <c r="C1731" t="s">
        <v>690</v>
      </c>
      <c r="D1731" t="s">
        <v>597</v>
      </c>
      <c r="E1731">
        <v>70</v>
      </c>
      <c r="F1731" t="s">
        <v>355</v>
      </c>
      <c r="G1731" t="s">
        <v>48</v>
      </c>
      <c r="H1731" t="s">
        <v>4150</v>
      </c>
      <c r="I1731" s="2">
        <v>33000</v>
      </c>
      <c r="J1731" t="s">
        <v>52</v>
      </c>
      <c r="K1731" t="s">
        <v>2503</v>
      </c>
    </row>
    <row r="1732" spans="1:11" x14ac:dyDescent="0.25">
      <c r="A1732" t="s">
        <v>2427</v>
      </c>
      <c r="B1732" s="3">
        <v>46313</v>
      </c>
      <c r="C1732" t="s">
        <v>517</v>
      </c>
      <c r="D1732" t="s">
        <v>488</v>
      </c>
      <c r="E1732">
        <v>23</v>
      </c>
      <c r="F1732" t="s">
        <v>469</v>
      </c>
      <c r="G1732" t="s">
        <v>55</v>
      </c>
      <c r="H1732" t="s">
        <v>4151</v>
      </c>
      <c r="I1732" s="2">
        <v>86000</v>
      </c>
      <c r="J1732" t="s">
        <v>67</v>
      </c>
      <c r="K1732" t="s">
        <v>2513</v>
      </c>
    </row>
    <row r="1733" spans="1:11" x14ac:dyDescent="0.25">
      <c r="A1733" t="s">
        <v>2428</v>
      </c>
      <c r="B1733" s="3">
        <v>46313</v>
      </c>
      <c r="C1733" t="s">
        <v>321</v>
      </c>
      <c r="D1733" t="s">
        <v>234</v>
      </c>
      <c r="E1733">
        <v>56</v>
      </c>
      <c r="F1733" t="s">
        <v>2</v>
      </c>
      <c r="G1733" t="s">
        <v>40</v>
      </c>
      <c r="H1733" t="s">
        <v>4152</v>
      </c>
      <c r="I1733" s="2">
        <v>355000</v>
      </c>
      <c r="J1733" t="s">
        <v>230</v>
      </c>
      <c r="K1733" t="s">
        <v>2503</v>
      </c>
    </row>
    <row r="1734" spans="1:11" x14ac:dyDescent="0.25">
      <c r="A1734" t="s">
        <v>2429</v>
      </c>
      <c r="B1734" s="3">
        <v>46314</v>
      </c>
      <c r="C1734" t="s">
        <v>649</v>
      </c>
      <c r="D1734" t="s">
        <v>597</v>
      </c>
      <c r="E1734">
        <v>45</v>
      </c>
      <c r="F1734" t="s">
        <v>355</v>
      </c>
      <c r="G1734" t="s">
        <v>85</v>
      </c>
      <c r="H1734" t="s">
        <v>4153</v>
      </c>
      <c r="I1734" s="2">
        <v>42000</v>
      </c>
      <c r="J1734" t="s">
        <v>361</v>
      </c>
      <c r="K1734" t="s">
        <v>2509</v>
      </c>
    </row>
    <row r="1735" spans="1:11" x14ac:dyDescent="0.25">
      <c r="A1735" t="s">
        <v>2430</v>
      </c>
      <c r="B1735" s="3">
        <v>46314</v>
      </c>
      <c r="C1735" t="s">
        <v>396</v>
      </c>
      <c r="D1735" t="s">
        <v>357</v>
      </c>
      <c r="E1735">
        <v>67</v>
      </c>
      <c r="F1735" t="s">
        <v>358</v>
      </c>
      <c r="G1735" t="s">
        <v>61</v>
      </c>
      <c r="H1735" t="s">
        <v>4154</v>
      </c>
      <c r="I1735" s="2">
        <v>29000</v>
      </c>
      <c r="J1735" t="s">
        <v>397</v>
      </c>
      <c r="K1735" t="s">
        <v>2500</v>
      </c>
    </row>
    <row r="1736" spans="1:11" x14ac:dyDescent="0.25">
      <c r="A1736" t="s">
        <v>2431</v>
      </c>
      <c r="B1736" s="3">
        <v>46314</v>
      </c>
      <c r="C1736" t="s">
        <v>323</v>
      </c>
      <c r="D1736" t="s">
        <v>240</v>
      </c>
      <c r="E1736">
        <v>25</v>
      </c>
      <c r="F1736" t="s">
        <v>2</v>
      </c>
      <c r="G1736" t="s">
        <v>48</v>
      </c>
      <c r="H1736" t="s">
        <v>4155</v>
      </c>
      <c r="I1736" s="2">
        <v>439000</v>
      </c>
      <c r="J1736" t="s">
        <v>324</v>
      </c>
      <c r="K1736" t="s">
        <v>2509</v>
      </c>
    </row>
    <row r="1737" spans="1:11" x14ac:dyDescent="0.25">
      <c r="A1737" t="s">
        <v>2432</v>
      </c>
      <c r="B1737" s="3">
        <v>46314</v>
      </c>
      <c r="C1737" t="s">
        <v>422</v>
      </c>
      <c r="D1737" t="s">
        <v>360</v>
      </c>
      <c r="E1737">
        <v>65</v>
      </c>
      <c r="F1737" t="s">
        <v>358</v>
      </c>
      <c r="G1737" t="s">
        <v>32</v>
      </c>
      <c r="H1737" t="s">
        <v>4156</v>
      </c>
      <c r="I1737" s="2">
        <v>16000</v>
      </c>
      <c r="J1737" t="s">
        <v>423</v>
      </c>
      <c r="K1737" t="s">
        <v>2500</v>
      </c>
    </row>
    <row r="1738" spans="1:11" x14ac:dyDescent="0.25">
      <c r="A1738" t="s">
        <v>2433</v>
      </c>
      <c r="B1738" s="3">
        <v>46314</v>
      </c>
      <c r="C1738" t="s">
        <v>460</v>
      </c>
      <c r="D1738" t="s">
        <v>366</v>
      </c>
      <c r="E1738">
        <v>21</v>
      </c>
      <c r="F1738" t="s">
        <v>2</v>
      </c>
      <c r="G1738" t="s">
        <v>55</v>
      </c>
      <c r="H1738" t="s">
        <v>4157</v>
      </c>
      <c r="I1738" s="2">
        <v>35000</v>
      </c>
      <c r="J1738" t="s">
        <v>201</v>
      </c>
      <c r="K1738" t="s">
        <v>2500</v>
      </c>
    </row>
    <row r="1739" spans="1:11" x14ac:dyDescent="0.25">
      <c r="A1739" t="s">
        <v>2434</v>
      </c>
      <c r="B1739" s="3">
        <v>46314</v>
      </c>
      <c r="C1739" t="s">
        <v>174</v>
      </c>
      <c r="D1739" t="s">
        <v>26</v>
      </c>
      <c r="E1739">
        <v>68</v>
      </c>
      <c r="F1739" t="s">
        <v>2</v>
      </c>
      <c r="G1739" t="s">
        <v>81</v>
      </c>
      <c r="H1739" t="s">
        <v>4158</v>
      </c>
      <c r="I1739" s="2">
        <v>649000</v>
      </c>
      <c r="J1739" t="s">
        <v>175</v>
      </c>
      <c r="K1739" t="s">
        <v>2513</v>
      </c>
    </row>
    <row r="1740" spans="1:11" x14ac:dyDescent="0.25">
      <c r="A1740" t="s">
        <v>2435</v>
      </c>
      <c r="B1740" s="3">
        <v>46314</v>
      </c>
      <c r="C1740" t="s">
        <v>485</v>
      </c>
      <c r="D1740" t="s">
        <v>474</v>
      </c>
      <c r="E1740">
        <v>23</v>
      </c>
      <c r="F1740" t="s">
        <v>2</v>
      </c>
      <c r="G1740" t="s">
        <v>61</v>
      </c>
      <c r="H1740" t="s">
        <v>4159</v>
      </c>
      <c r="I1740" s="2">
        <v>11000</v>
      </c>
      <c r="J1740" t="s">
        <v>171</v>
      </c>
      <c r="K1740" t="s">
        <v>2513</v>
      </c>
    </row>
    <row r="1741" spans="1:11" x14ac:dyDescent="0.25">
      <c r="A1741" t="s">
        <v>2436</v>
      </c>
      <c r="B1741" s="3">
        <v>46314</v>
      </c>
      <c r="C1741" t="s">
        <v>256</v>
      </c>
      <c r="D1741" t="s">
        <v>210</v>
      </c>
      <c r="E1741">
        <v>57</v>
      </c>
      <c r="F1741" t="s">
        <v>2</v>
      </c>
      <c r="G1741" t="s">
        <v>81</v>
      </c>
      <c r="H1741" t="s">
        <v>4160</v>
      </c>
      <c r="I1741" s="2">
        <v>11002000</v>
      </c>
      <c r="J1741" t="s">
        <v>257</v>
      </c>
      <c r="K1741" t="s">
        <v>2500</v>
      </c>
    </row>
    <row r="1742" spans="1:11" x14ac:dyDescent="0.25">
      <c r="A1742" t="s">
        <v>2437</v>
      </c>
      <c r="B1742" s="3">
        <v>46314</v>
      </c>
      <c r="C1742" t="s">
        <v>301</v>
      </c>
      <c r="D1742" t="s">
        <v>240</v>
      </c>
      <c r="E1742">
        <v>7</v>
      </c>
      <c r="F1742" t="s">
        <v>2</v>
      </c>
      <c r="G1742" t="s">
        <v>36</v>
      </c>
      <c r="H1742" t="s">
        <v>4161</v>
      </c>
      <c r="I1742" s="2">
        <v>646000</v>
      </c>
      <c r="J1742" t="s">
        <v>259</v>
      </c>
      <c r="K1742" t="s">
        <v>2509</v>
      </c>
    </row>
    <row r="1743" spans="1:11" x14ac:dyDescent="0.25">
      <c r="A1743" t="s">
        <v>2438</v>
      </c>
      <c r="B1743" s="3">
        <v>46314</v>
      </c>
      <c r="C1743" t="s">
        <v>301</v>
      </c>
      <c r="D1743" t="s">
        <v>240</v>
      </c>
      <c r="E1743">
        <v>30</v>
      </c>
      <c r="F1743" t="s">
        <v>2</v>
      </c>
      <c r="G1743" t="s">
        <v>36</v>
      </c>
      <c r="H1743" t="s">
        <v>4162</v>
      </c>
      <c r="I1743" s="2">
        <v>646000</v>
      </c>
      <c r="J1743" t="s">
        <v>259</v>
      </c>
      <c r="K1743" t="s">
        <v>2500</v>
      </c>
    </row>
    <row r="1744" spans="1:11" x14ac:dyDescent="0.25">
      <c r="A1744" t="s">
        <v>2439</v>
      </c>
      <c r="B1744" s="3">
        <v>46314</v>
      </c>
      <c r="C1744" t="s">
        <v>296</v>
      </c>
      <c r="D1744" t="s">
        <v>234</v>
      </c>
      <c r="E1744">
        <v>51</v>
      </c>
      <c r="F1744" t="s">
        <v>2</v>
      </c>
      <c r="G1744" t="s">
        <v>36</v>
      </c>
      <c r="H1744" t="s">
        <v>4163</v>
      </c>
      <c r="I1744" s="2">
        <v>1085000</v>
      </c>
      <c r="J1744" t="s">
        <v>297</v>
      </c>
      <c r="K1744" t="s">
        <v>2513</v>
      </c>
    </row>
    <row r="1745" spans="1:11" x14ac:dyDescent="0.25">
      <c r="A1745" t="s">
        <v>2440</v>
      </c>
      <c r="B1745" s="3">
        <v>46314</v>
      </c>
      <c r="C1745" t="s">
        <v>322</v>
      </c>
      <c r="D1745" t="s">
        <v>227</v>
      </c>
      <c r="E1745">
        <v>37</v>
      </c>
      <c r="F1745" t="s">
        <v>2</v>
      </c>
      <c r="G1745" t="s">
        <v>17</v>
      </c>
      <c r="H1745" t="s">
        <v>4164</v>
      </c>
      <c r="I1745" s="2">
        <v>576000</v>
      </c>
      <c r="J1745" t="s">
        <v>95</v>
      </c>
      <c r="K1745" t="s">
        <v>2513</v>
      </c>
    </row>
    <row r="1746" spans="1:11" x14ac:dyDescent="0.25">
      <c r="A1746" t="s">
        <v>2441</v>
      </c>
      <c r="B1746" s="3">
        <v>46314</v>
      </c>
      <c r="C1746" t="s">
        <v>233</v>
      </c>
      <c r="D1746" t="s">
        <v>234</v>
      </c>
      <c r="E1746">
        <v>17</v>
      </c>
      <c r="F1746" t="s">
        <v>2</v>
      </c>
      <c r="G1746" t="s">
        <v>17</v>
      </c>
      <c r="H1746" t="s">
        <v>4165</v>
      </c>
      <c r="I1746" s="2">
        <v>929000</v>
      </c>
      <c r="J1746" t="s">
        <v>87</v>
      </c>
      <c r="K1746" t="s">
        <v>2509</v>
      </c>
    </row>
    <row r="1747" spans="1:11" x14ac:dyDescent="0.25">
      <c r="A1747" t="s">
        <v>2442</v>
      </c>
      <c r="B1747" s="3">
        <v>46314</v>
      </c>
      <c r="C1747" t="s">
        <v>318</v>
      </c>
      <c r="D1747" t="s">
        <v>240</v>
      </c>
      <c r="E1747">
        <v>51</v>
      </c>
      <c r="F1747" t="s">
        <v>2</v>
      </c>
      <c r="G1747" t="s">
        <v>55</v>
      </c>
      <c r="H1747" t="s">
        <v>4004</v>
      </c>
      <c r="I1747" s="2">
        <v>553000</v>
      </c>
      <c r="J1747" t="s">
        <v>24</v>
      </c>
      <c r="K1747" t="s">
        <v>2500</v>
      </c>
    </row>
    <row r="1748" spans="1:11" x14ac:dyDescent="0.25">
      <c r="A1748" t="s">
        <v>2443</v>
      </c>
      <c r="B1748" s="3">
        <v>46314</v>
      </c>
      <c r="C1748" t="s">
        <v>552</v>
      </c>
      <c r="D1748" t="s">
        <v>476</v>
      </c>
      <c r="E1748">
        <v>2</v>
      </c>
      <c r="F1748" t="s">
        <v>477</v>
      </c>
      <c r="G1748" t="s">
        <v>81</v>
      </c>
      <c r="H1748" t="s">
        <v>3582</v>
      </c>
      <c r="I1748" s="2">
        <v>17000</v>
      </c>
      <c r="J1748" t="s">
        <v>77</v>
      </c>
      <c r="K1748" t="s">
        <v>2509</v>
      </c>
    </row>
    <row r="1749" spans="1:11" x14ac:dyDescent="0.25">
      <c r="A1749" t="s">
        <v>2444</v>
      </c>
      <c r="B1749" s="3">
        <v>46314</v>
      </c>
      <c r="C1749" t="s">
        <v>538</v>
      </c>
      <c r="D1749" t="s">
        <v>490</v>
      </c>
      <c r="E1749">
        <v>48</v>
      </c>
      <c r="F1749" t="s">
        <v>355</v>
      </c>
      <c r="G1749" t="s">
        <v>81</v>
      </c>
      <c r="H1749" t="s">
        <v>4166</v>
      </c>
      <c r="I1749" s="2">
        <v>28000</v>
      </c>
      <c r="J1749" t="s">
        <v>327</v>
      </c>
      <c r="K1749" t="s">
        <v>2509</v>
      </c>
    </row>
    <row r="1750" spans="1:11" x14ac:dyDescent="0.25">
      <c r="A1750" t="s">
        <v>2445</v>
      </c>
      <c r="B1750" s="3">
        <v>46314</v>
      </c>
      <c r="C1750" t="s">
        <v>687</v>
      </c>
      <c r="D1750" t="s">
        <v>612</v>
      </c>
      <c r="E1750">
        <v>39</v>
      </c>
      <c r="F1750" t="s">
        <v>2</v>
      </c>
      <c r="G1750" t="s">
        <v>22</v>
      </c>
      <c r="H1750" t="s">
        <v>4167</v>
      </c>
      <c r="I1750" s="2">
        <v>21000</v>
      </c>
      <c r="J1750" t="s">
        <v>59</v>
      </c>
      <c r="K1750" t="s">
        <v>2513</v>
      </c>
    </row>
    <row r="1751" spans="1:11" x14ac:dyDescent="0.25">
      <c r="A1751" t="s">
        <v>2446</v>
      </c>
      <c r="B1751" s="3">
        <v>46314</v>
      </c>
      <c r="C1751" t="s">
        <v>630</v>
      </c>
      <c r="D1751" t="s">
        <v>594</v>
      </c>
      <c r="E1751">
        <v>70</v>
      </c>
      <c r="F1751" t="s">
        <v>595</v>
      </c>
      <c r="G1751" t="s">
        <v>40</v>
      </c>
      <c r="H1751" t="s">
        <v>4168</v>
      </c>
      <c r="I1751" s="2">
        <v>15000</v>
      </c>
      <c r="J1751" t="s">
        <v>312</v>
      </c>
      <c r="K1751" t="s">
        <v>2500</v>
      </c>
    </row>
    <row r="1752" spans="1:11" x14ac:dyDescent="0.25">
      <c r="A1752" t="s">
        <v>2447</v>
      </c>
      <c r="B1752" s="3">
        <v>46314</v>
      </c>
      <c r="C1752" t="s">
        <v>148</v>
      </c>
      <c r="D1752" t="s">
        <v>44</v>
      </c>
      <c r="E1752">
        <v>58</v>
      </c>
      <c r="F1752" t="s">
        <v>2</v>
      </c>
      <c r="G1752" t="s">
        <v>32</v>
      </c>
      <c r="H1752" t="s">
        <v>4169</v>
      </c>
      <c r="I1752" s="2">
        <v>80000</v>
      </c>
      <c r="J1752" t="s">
        <v>149</v>
      </c>
      <c r="K1752" t="s">
        <v>2513</v>
      </c>
    </row>
    <row r="1753" spans="1:11" x14ac:dyDescent="0.25">
      <c r="A1753" t="s">
        <v>2448</v>
      </c>
      <c r="B1753" s="3">
        <v>46314</v>
      </c>
      <c r="C1753" t="s">
        <v>431</v>
      </c>
      <c r="D1753" t="s">
        <v>354</v>
      </c>
      <c r="E1753">
        <v>11</v>
      </c>
      <c r="F1753" t="s">
        <v>355</v>
      </c>
      <c r="G1753" t="s">
        <v>32</v>
      </c>
      <c r="H1753" t="s">
        <v>4170</v>
      </c>
      <c r="I1753" s="2">
        <v>9000</v>
      </c>
      <c r="J1753" t="s">
        <v>87</v>
      </c>
      <c r="K1753" t="s">
        <v>2503</v>
      </c>
    </row>
    <row r="1754" spans="1:11" x14ac:dyDescent="0.25">
      <c r="A1754" t="s">
        <v>2449</v>
      </c>
      <c r="B1754" s="3">
        <v>46314</v>
      </c>
      <c r="C1754" t="s">
        <v>533</v>
      </c>
      <c r="D1754" t="s">
        <v>474</v>
      </c>
      <c r="E1754">
        <v>15</v>
      </c>
      <c r="F1754" t="s">
        <v>2</v>
      </c>
      <c r="G1754" t="s">
        <v>55</v>
      </c>
      <c r="H1754" t="s">
        <v>4171</v>
      </c>
      <c r="I1754" s="2">
        <v>5000</v>
      </c>
      <c r="J1754" t="s">
        <v>59</v>
      </c>
      <c r="K1754" t="s">
        <v>2500</v>
      </c>
    </row>
    <row r="1755" spans="1:11" x14ac:dyDescent="0.25">
      <c r="A1755" t="s">
        <v>2450</v>
      </c>
      <c r="B1755" s="3">
        <v>46314</v>
      </c>
      <c r="C1755" t="s">
        <v>120</v>
      </c>
      <c r="D1755" t="s">
        <v>54</v>
      </c>
      <c r="E1755">
        <v>55</v>
      </c>
      <c r="F1755" t="s">
        <v>2</v>
      </c>
      <c r="G1755" t="s">
        <v>61</v>
      </c>
      <c r="H1755" t="s">
        <v>4172</v>
      </c>
      <c r="I1755" s="2">
        <v>88000</v>
      </c>
      <c r="J1755" t="s">
        <v>121</v>
      </c>
      <c r="K1755" t="s">
        <v>2513</v>
      </c>
    </row>
    <row r="1756" spans="1:11" x14ac:dyDescent="0.25">
      <c r="A1756" t="s">
        <v>2451</v>
      </c>
      <c r="B1756" s="3">
        <v>46314</v>
      </c>
      <c r="C1756" t="s">
        <v>523</v>
      </c>
      <c r="D1756" t="s">
        <v>481</v>
      </c>
      <c r="E1756">
        <v>2</v>
      </c>
      <c r="F1756" t="s">
        <v>2</v>
      </c>
      <c r="G1756" t="s">
        <v>40</v>
      </c>
      <c r="H1756" t="s">
        <v>4173</v>
      </c>
      <c r="I1756" s="2">
        <v>292000</v>
      </c>
      <c r="J1756" t="s">
        <v>175</v>
      </c>
      <c r="K1756" t="s">
        <v>2513</v>
      </c>
    </row>
    <row r="1757" spans="1:11" x14ac:dyDescent="0.25">
      <c r="A1757" t="s">
        <v>2452</v>
      </c>
      <c r="B1757" s="3">
        <v>46314</v>
      </c>
      <c r="C1757" t="s">
        <v>415</v>
      </c>
      <c r="D1757" t="s">
        <v>382</v>
      </c>
      <c r="E1757">
        <v>47</v>
      </c>
      <c r="F1757" t="s">
        <v>383</v>
      </c>
      <c r="G1757" t="s">
        <v>22</v>
      </c>
      <c r="H1757" t="s">
        <v>4174</v>
      </c>
      <c r="I1757" s="2">
        <v>179000</v>
      </c>
      <c r="J1757" t="s">
        <v>152</v>
      </c>
      <c r="K1757" t="s">
        <v>2500</v>
      </c>
    </row>
    <row r="1758" spans="1:11" x14ac:dyDescent="0.25">
      <c r="A1758" t="s">
        <v>2453</v>
      </c>
      <c r="B1758" s="3">
        <v>46314</v>
      </c>
      <c r="C1758" t="s">
        <v>529</v>
      </c>
      <c r="D1758" t="s">
        <v>481</v>
      </c>
      <c r="E1758">
        <v>56</v>
      </c>
      <c r="F1758" t="s">
        <v>2</v>
      </c>
      <c r="G1758" t="s">
        <v>22</v>
      </c>
      <c r="H1758" t="s">
        <v>4175</v>
      </c>
      <c r="I1758" s="2">
        <v>145000</v>
      </c>
      <c r="J1758" t="s">
        <v>327</v>
      </c>
      <c r="K1758" t="s">
        <v>2503</v>
      </c>
    </row>
    <row r="1759" spans="1:11" x14ac:dyDescent="0.25">
      <c r="A1759" t="s">
        <v>2454</v>
      </c>
      <c r="B1759" s="3">
        <v>46314</v>
      </c>
      <c r="C1759" t="s">
        <v>564</v>
      </c>
      <c r="D1759" t="s">
        <v>481</v>
      </c>
      <c r="E1759">
        <v>52</v>
      </c>
      <c r="F1759" t="s">
        <v>2</v>
      </c>
      <c r="G1759" t="s">
        <v>61</v>
      </c>
      <c r="H1759" t="s">
        <v>4176</v>
      </c>
      <c r="I1759" s="2">
        <v>101000</v>
      </c>
      <c r="J1759" t="s">
        <v>164</v>
      </c>
      <c r="K1759" t="s">
        <v>2509</v>
      </c>
    </row>
    <row r="1760" spans="1:11" x14ac:dyDescent="0.25">
      <c r="A1760" t="s">
        <v>2455</v>
      </c>
      <c r="B1760" s="3">
        <v>46314</v>
      </c>
      <c r="C1760" t="s">
        <v>264</v>
      </c>
      <c r="D1760" t="s">
        <v>240</v>
      </c>
      <c r="E1760">
        <v>1</v>
      </c>
      <c r="F1760" t="s">
        <v>2</v>
      </c>
      <c r="G1760" t="s">
        <v>55</v>
      </c>
      <c r="H1760" t="s">
        <v>4177</v>
      </c>
      <c r="I1760" s="2">
        <v>446000</v>
      </c>
      <c r="J1760" t="s">
        <v>265</v>
      </c>
      <c r="K1760" t="s">
        <v>2500</v>
      </c>
    </row>
    <row r="1761" spans="1:11" x14ac:dyDescent="0.25">
      <c r="A1761" t="s">
        <v>2456</v>
      </c>
      <c r="B1761" s="3">
        <v>46314</v>
      </c>
      <c r="C1761" t="s">
        <v>148</v>
      </c>
      <c r="D1761" t="s">
        <v>44</v>
      </c>
      <c r="E1761">
        <v>36</v>
      </c>
      <c r="F1761" t="s">
        <v>2</v>
      </c>
      <c r="G1761" t="s">
        <v>32</v>
      </c>
      <c r="H1761" t="s">
        <v>4178</v>
      </c>
      <c r="I1761" s="2">
        <v>80000</v>
      </c>
      <c r="J1761" t="s">
        <v>149</v>
      </c>
      <c r="K1761" t="s">
        <v>2500</v>
      </c>
    </row>
    <row r="1762" spans="1:11" x14ac:dyDescent="0.25">
      <c r="A1762" t="s">
        <v>2457</v>
      </c>
      <c r="B1762" s="3">
        <v>46314</v>
      </c>
      <c r="C1762" t="s">
        <v>264</v>
      </c>
      <c r="D1762" t="s">
        <v>240</v>
      </c>
      <c r="E1762">
        <v>21</v>
      </c>
      <c r="F1762" t="s">
        <v>2</v>
      </c>
      <c r="G1762" t="s">
        <v>55</v>
      </c>
      <c r="H1762" t="s">
        <v>4179</v>
      </c>
      <c r="I1762" s="2">
        <v>446000</v>
      </c>
      <c r="J1762" t="s">
        <v>265</v>
      </c>
      <c r="K1762" t="s">
        <v>2503</v>
      </c>
    </row>
    <row r="1763" spans="1:11" x14ac:dyDescent="0.25">
      <c r="A1763" t="s">
        <v>2458</v>
      </c>
      <c r="B1763" s="3">
        <v>46314</v>
      </c>
      <c r="C1763" t="s">
        <v>493</v>
      </c>
      <c r="D1763" t="s">
        <v>484</v>
      </c>
      <c r="E1763">
        <v>16</v>
      </c>
      <c r="F1763" t="s">
        <v>469</v>
      </c>
      <c r="G1763" t="s">
        <v>40</v>
      </c>
      <c r="H1763" t="s">
        <v>4180</v>
      </c>
      <c r="I1763" s="2">
        <v>81000</v>
      </c>
      <c r="J1763" t="s">
        <v>327</v>
      </c>
      <c r="K1763" t="s">
        <v>2513</v>
      </c>
    </row>
    <row r="1764" spans="1:11" x14ac:dyDescent="0.25">
      <c r="A1764" t="s">
        <v>2459</v>
      </c>
      <c r="B1764" s="3">
        <v>46314</v>
      </c>
      <c r="C1764" t="s">
        <v>207</v>
      </c>
      <c r="D1764" t="s">
        <v>29</v>
      </c>
      <c r="E1764">
        <v>56</v>
      </c>
      <c r="F1764" t="s">
        <v>2</v>
      </c>
      <c r="G1764" t="s">
        <v>32</v>
      </c>
      <c r="H1764" t="s">
        <v>4181</v>
      </c>
      <c r="I1764" s="2">
        <v>269000</v>
      </c>
      <c r="J1764" t="s">
        <v>208</v>
      </c>
      <c r="K1764" t="s">
        <v>2503</v>
      </c>
    </row>
    <row r="1765" spans="1:11" x14ac:dyDescent="0.25">
      <c r="A1765" t="s">
        <v>2460</v>
      </c>
      <c r="B1765" s="3">
        <v>46314</v>
      </c>
      <c r="C1765" t="s">
        <v>557</v>
      </c>
      <c r="D1765" t="s">
        <v>474</v>
      </c>
      <c r="E1765">
        <v>27</v>
      </c>
      <c r="F1765" t="s">
        <v>2</v>
      </c>
      <c r="G1765" t="s">
        <v>22</v>
      </c>
      <c r="H1765" t="s">
        <v>4182</v>
      </c>
      <c r="I1765" s="2">
        <v>2000</v>
      </c>
      <c r="J1765" t="s">
        <v>297</v>
      </c>
      <c r="K1765" t="s">
        <v>2503</v>
      </c>
    </row>
    <row r="1766" spans="1:11" x14ac:dyDescent="0.25">
      <c r="A1766" t="s">
        <v>2461</v>
      </c>
      <c r="B1766" s="3">
        <v>46314</v>
      </c>
      <c r="C1766" t="s">
        <v>523</v>
      </c>
      <c r="D1766" t="s">
        <v>481</v>
      </c>
      <c r="E1766">
        <v>24</v>
      </c>
      <c r="F1766" t="s">
        <v>2</v>
      </c>
      <c r="G1766" t="s">
        <v>40</v>
      </c>
      <c r="H1766" t="s">
        <v>4183</v>
      </c>
      <c r="I1766" s="2">
        <v>292000</v>
      </c>
      <c r="J1766" t="s">
        <v>175</v>
      </c>
      <c r="K1766" t="s">
        <v>2513</v>
      </c>
    </row>
    <row r="1767" spans="1:11" x14ac:dyDescent="0.25">
      <c r="A1767" t="s">
        <v>2462</v>
      </c>
      <c r="B1767" s="3">
        <v>46314</v>
      </c>
      <c r="C1767" t="s">
        <v>451</v>
      </c>
      <c r="D1767" t="s">
        <v>351</v>
      </c>
      <c r="E1767">
        <v>2</v>
      </c>
      <c r="F1767" t="s">
        <v>2</v>
      </c>
      <c r="G1767" t="s">
        <v>61</v>
      </c>
      <c r="H1767" t="s">
        <v>4184</v>
      </c>
      <c r="I1767" s="2">
        <v>451000</v>
      </c>
      <c r="J1767" t="s">
        <v>185</v>
      </c>
      <c r="K1767" t="s">
        <v>2503</v>
      </c>
    </row>
    <row r="1768" spans="1:11" x14ac:dyDescent="0.25">
      <c r="A1768" t="s">
        <v>2463</v>
      </c>
      <c r="B1768" s="3">
        <v>46314</v>
      </c>
      <c r="C1768" t="s">
        <v>690</v>
      </c>
      <c r="D1768" t="s">
        <v>597</v>
      </c>
      <c r="E1768">
        <v>19</v>
      </c>
      <c r="F1768" t="s">
        <v>355</v>
      </c>
      <c r="G1768" t="s">
        <v>48</v>
      </c>
      <c r="H1768" t="s">
        <v>4185</v>
      </c>
      <c r="I1768" s="2">
        <v>33000</v>
      </c>
      <c r="J1768" t="s">
        <v>52</v>
      </c>
      <c r="K1768" t="s">
        <v>2503</v>
      </c>
    </row>
    <row r="1769" spans="1:11" x14ac:dyDescent="0.25">
      <c r="A1769" t="s">
        <v>2464</v>
      </c>
      <c r="B1769" s="3">
        <v>46314</v>
      </c>
      <c r="C1769" t="s">
        <v>367</v>
      </c>
      <c r="D1769" t="s">
        <v>344</v>
      </c>
      <c r="E1769">
        <v>56</v>
      </c>
      <c r="F1769" t="s">
        <v>346</v>
      </c>
      <c r="G1769" t="s">
        <v>32</v>
      </c>
      <c r="H1769" t="s">
        <v>4186</v>
      </c>
      <c r="I1769" s="2">
        <v>67000</v>
      </c>
      <c r="J1769" t="s">
        <v>368</v>
      </c>
      <c r="K1769" t="s">
        <v>2513</v>
      </c>
    </row>
    <row r="1770" spans="1:11" x14ac:dyDescent="0.25">
      <c r="A1770" t="s">
        <v>2465</v>
      </c>
      <c r="B1770" s="3">
        <v>46314</v>
      </c>
      <c r="C1770" t="s">
        <v>493</v>
      </c>
      <c r="D1770" t="s">
        <v>484</v>
      </c>
      <c r="E1770">
        <v>59</v>
      </c>
      <c r="F1770" t="s">
        <v>469</v>
      </c>
      <c r="G1770" t="s">
        <v>40</v>
      </c>
      <c r="H1770" t="s">
        <v>4187</v>
      </c>
      <c r="I1770" s="2">
        <v>81000</v>
      </c>
      <c r="J1770" t="s">
        <v>327</v>
      </c>
      <c r="K1770" t="s">
        <v>2500</v>
      </c>
    </row>
    <row r="1771" spans="1:11" x14ac:dyDescent="0.25">
      <c r="A1771" t="s">
        <v>2466</v>
      </c>
      <c r="B1771" s="3">
        <v>46315</v>
      </c>
      <c r="C1771" t="s">
        <v>652</v>
      </c>
      <c r="D1771" t="s">
        <v>587</v>
      </c>
      <c r="E1771">
        <v>56</v>
      </c>
      <c r="F1771" t="s">
        <v>2</v>
      </c>
      <c r="G1771" t="s">
        <v>85</v>
      </c>
      <c r="H1771" t="s">
        <v>4188</v>
      </c>
      <c r="I1771" s="2">
        <v>14000</v>
      </c>
      <c r="J1771" t="s">
        <v>34</v>
      </c>
      <c r="K1771" t="s">
        <v>2509</v>
      </c>
    </row>
    <row r="1772" spans="1:11" x14ac:dyDescent="0.25">
      <c r="A1772" t="s">
        <v>2467</v>
      </c>
      <c r="B1772" s="3">
        <v>46315</v>
      </c>
      <c r="C1772" t="s">
        <v>621</v>
      </c>
      <c r="D1772" t="s">
        <v>582</v>
      </c>
      <c r="E1772">
        <v>2</v>
      </c>
      <c r="F1772" t="s">
        <v>2</v>
      </c>
      <c r="G1772" t="s">
        <v>36</v>
      </c>
      <c r="H1772" t="s">
        <v>4189</v>
      </c>
      <c r="I1772" s="2">
        <v>79000</v>
      </c>
      <c r="J1772" t="s">
        <v>312</v>
      </c>
      <c r="K1772" t="s">
        <v>2509</v>
      </c>
    </row>
    <row r="1773" spans="1:11" x14ac:dyDescent="0.25">
      <c r="A1773" t="s">
        <v>2468</v>
      </c>
      <c r="B1773" s="3">
        <v>46315</v>
      </c>
      <c r="C1773" t="s">
        <v>169</v>
      </c>
      <c r="D1773" t="s">
        <v>54</v>
      </c>
      <c r="E1773">
        <v>2</v>
      </c>
      <c r="F1773" t="s">
        <v>2</v>
      </c>
      <c r="G1773" t="s">
        <v>55</v>
      </c>
      <c r="H1773" t="s">
        <v>4190</v>
      </c>
      <c r="I1773" s="2">
        <v>74000</v>
      </c>
      <c r="J1773" t="s">
        <v>119</v>
      </c>
      <c r="K1773" t="s">
        <v>2500</v>
      </c>
    </row>
    <row r="1774" spans="1:11" x14ac:dyDescent="0.25">
      <c r="A1774" t="s">
        <v>2469</v>
      </c>
      <c r="B1774" s="3">
        <v>46315</v>
      </c>
      <c r="C1774" t="s">
        <v>101</v>
      </c>
      <c r="D1774" t="s">
        <v>29</v>
      </c>
      <c r="E1774">
        <v>29</v>
      </c>
      <c r="F1774" t="s">
        <v>2</v>
      </c>
      <c r="G1774" t="s">
        <v>48</v>
      </c>
      <c r="H1774" t="s">
        <v>4191</v>
      </c>
      <c r="I1774" s="2">
        <v>177000</v>
      </c>
      <c r="J1774" t="s">
        <v>102</v>
      </c>
      <c r="K1774" t="s">
        <v>2513</v>
      </c>
    </row>
    <row r="1775" spans="1:11" x14ac:dyDescent="0.25">
      <c r="A1775" t="s">
        <v>2470</v>
      </c>
      <c r="B1775" s="3">
        <v>46315</v>
      </c>
      <c r="C1775" t="s">
        <v>581</v>
      </c>
      <c r="D1775" t="s">
        <v>582</v>
      </c>
      <c r="E1775">
        <v>36</v>
      </c>
      <c r="F1775" t="s">
        <v>2</v>
      </c>
      <c r="G1775" t="s">
        <v>36</v>
      </c>
      <c r="H1775" t="s">
        <v>3739</v>
      </c>
      <c r="I1775" s="2">
        <v>87000</v>
      </c>
      <c r="J1775" t="s">
        <v>512</v>
      </c>
      <c r="K1775" t="s">
        <v>2500</v>
      </c>
    </row>
    <row r="1776" spans="1:11" x14ac:dyDescent="0.25">
      <c r="A1776" t="s">
        <v>2471</v>
      </c>
      <c r="B1776" s="3">
        <v>46315</v>
      </c>
      <c r="C1776" t="s">
        <v>196</v>
      </c>
      <c r="D1776" t="s">
        <v>47</v>
      </c>
      <c r="E1776">
        <v>7</v>
      </c>
      <c r="F1776" t="s">
        <v>2</v>
      </c>
      <c r="G1776" t="s">
        <v>85</v>
      </c>
      <c r="H1776" t="s">
        <v>4192</v>
      </c>
      <c r="I1776" s="2">
        <v>475000</v>
      </c>
      <c r="J1776" t="s">
        <v>164</v>
      </c>
      <c r="K1776" t="s">
        <v>2503</v>
      </c>
    </row>
    <row r="1777" spans="1:11" x14ac:dyDescent="0.25">
      <c r="A1777" t="s">
        <v>2472</v>
      </c>
      <c r="B1777" s="3">
        <v>46315</v>
      </c>
      <c r="C1777" t="s">
        <v>90</v>
      </c>
      <c r="D1777" t="s">
        <v>15</v>
      </c>
      <c r="E1777">
        <v>49</v>
      </c>
      <c r="F1777" t="s">
        <v>2</v>
      </c>
      <c r="G1777" t="s">
        <v>55</v>
      </c>
      <c r="H1777" t="s">
        <v>4193</v>
      </c>
      <c r="I1777" s="2">
        <v>279000</v>
      </c>
      <c r="J1777" t="s">
        <v>73</v>
      </c>
      <c r="K1777" t="s">
        <v>2513</v>
      </c>
    </row>
    <row r="1778" spans="1:11" x14ac:dyDescent="0.25">
      <c r="A1778" t="s">
        <v>2473</v>
      </c>
      <c r="B1778" s="3">
        <v>46315</v>
      </c>
      <c r="C1778" t="s">
        <v>197</v>
      </c>
      <c r="D1778" t="s">
        <v>21</v>
      </c>
      <c r="E1778">
        <v>70</v>
      </c>
      <c r="F1778" t="s">
        <v>2</v>
      </c>
      <c r="G1778" t="s">
        <v>85</v>
      </c>
      <c r="H1778" t="s">
        <v>4194</v>
      </c>
      <c r="I1778" s="2">
        <v>26000</v>
      </c>
      <c r="J1778" t="s">
        <v>171</v>
      </c>
      <c r="K1778" t="s">
        <v>2509</v>
      </c>
    </row>
    <row r="1779" spans="1:11" x14ac:dyDescent="0.25">
      <c r="A1779" t="s">
        <v>2474</v>
      </c>
      <c r="B1779" s="3">
        <v>46315</v>
      </c>
      <c r="C1779" t="s">
        <v>626</v>
      </c>
      <c r="D1779" t="s">
        <v>589</v>
      </c>
      <c r="E1779">
        <v>18</v>
      </c>
      <c r="F1779" t="s">
        <v>469</v>
      </c>
      <c r="G1779" t="s">
        <v>48</v>
      </c>
      <c r="H1779" t="s">
        <v>4038</v>
      </c>
      <c r="I1779" s="2">
        <v>22000</v>
      </c>
      <c r="J1779" t="s">
        <v>289</v>
      </c>
      <c r="K1779" t="s">
        <v>2509</v>
      </c>
    </row>
    <row r="1780" spans="1:11" x14ac:dyDescent="0.25">
      <c r="A1780" t="s">
        <v>2475</v>
      </c>
      <c r="B1780" s="3">
        <v>46315</v>
      </c>
      <c r="C1780" t="s">
        <v>333</v>
      </c>
      <c r="D1780" t="s">
        <v>223</v>
      </c>
      <c r="E1780">
        <v>63</v>
      </c>
      <c r="F1780" t="s">
        <v>2</v>
      </c>
      <c r="G1780" t="s">
        <v>55</v>
      </c>
      <c r="H1780" t="s">
        <v>4195</v>
      </c>
      <c r="I1780" s="2">
        <v>918000</v>
      </c>
      <c r="J1780" t="s">
        <v>59</v>
      </c>
      <c r="K1780" t="s">
        <v>2503</v>
      </c>
    </row>
    <row r="1781" spans="1:11" x14ac:dyDescent="0.25">
      <c r="A1781" t="s">
        <v>2476</v>
      </c>
      <c r="B1781" s="3">
        <v>46315</v>
      </c>
      <c r="C1781" t="s">
        <v>463</v>
      </c>
      <c r="D1781" t="s">
        <v>360</v>
      </c>
      <c r="E1781">
        <v>40</v>
      </c>
      <c r="F1781" t="s">
        <v>358</v>
      </c>
      <c r="G1781" t="s">
        <v>81</v>
      </c>
      <c r="H1781" t="s">
        <v>4196</v>
      </c>
      <c r="I1781" s="2">
        <v>5000</v>
      </c>
      <c r="J1781" t="s">
        <v>464</v>
      </c>
      <c r="K1781" t="s">
        <v>2513</v>
      </c>
    </row>
    <row r="1782" spans="1:11" x14ac:dyDescent="0.25">
      <c r="A1782" t="s">
        <v>2477</v>
      </c>
      <c r="B1782" s="3">
        <v>46315</v>
      </c>
      <c r="C1782" t="s">
        <v>561</v>
      </c>
      <c r="D1782" t="s">
        <v>484</v>
      </c>
      <c r="E1782">
        <v>36</v>
      </c>
      <c r="F1782" t="s">
        <v>469</v>
      </c>
      <c r="G1782" t="s">
        <v>85</v>
      </c>
      <c r="H1782" t="s">
        <v>4197</v>
      </c>
      <c r="I1782" s="2">
        <v>51000</v>
      </c>
      <c r="J1782" t="s">
        <v>310</v>
      </c>
      <c r="K1782" t="s">
        <v>2513</v>
      </c>
    </row>
    <row r="1783" spans="1:11" x14ac:dyDescent="0.25">
      <c r="A1783" t="s">
        <v>2478</v>
      </c>
      <c r="B1783" s="3">
        <v>46315</v>
      </c>
      <c r="C1783" t="s">
        <v>529</v>
      </c>
      <c r="D1783" t="s">
        <v>481</v>
      </c>
      <c r="E1783">
        <v>26</v>
      </c>
      <c r="F1783" t="s">
        <v>2</v>
      </c>
      <c r="G1783" t="s">
        <v>22</v>
      </c>
      <c r="H1783" t="s">
        <v>4198</v>
      </c>
      <c r="I1783" s="2">
        <v>145000</v>
      </c>
      <c r="J1783" t="s">
        <v>327</v>
      </c>
      <c r="K1783" t="s">
        <v>2513</v>
      </c>
    </row>
    <row r="1784" spans="1:11" x14ac:dyDescent="0.25">
      <c r="A1784" t="s">
        <v>2479</v>
      </c>
      <c r="B1784" s="3">
        <v>46315</v>
      </c>
      <c r="C1784" t="s">
        <v>664</v>
      </c>
      <c r="D1784" t="s">
        <v>612</v>
      </c>
      <c r="E1784">
        <v>43</v>
      </c>
      <c r="F1784" t="s">
        <v>2</v>
      </c>
      <c r="G1784" t="s">
        <v>36</v>
      </c>
      <c r="H1784" t="s">
        <v>4199</v>
      </c>
      <c r="I1784" s="2">
        <v>15000</v>
      </c>
      <c r="J1784" t="s">
        <v>265</v>
      </c>
      <c r="K1784" t="s">
        <v>2509</v>
      </c>
    </row>
    <row r="1785" spans="1:11" x14ac:dyDescent="0.25">
      <c r="A1785" t="s">
        <v>2480</v>
      </c>
      <c r="B1785" s="3">
        <v>46315</v>
      </c>
      <c r="C1785" t="s">
        <v>432</v>
      </c>
      <c r="D1785" t="s">
        <v>351</v>
      </c>
      <c r="E1785">
        <v>24</v>
      </c>
      <c r="F1785" t="s">
        <v>2</v>
      </c>
      <c r="G1785" t="s">
        <v>55</v>
      </c>
      <c r="H1785" t="s">
        <v>4200</v>
      </c>
      <c r="I1785" s="2">
        <v>213000</v>
      </c>
      <c r="J1785" t="s">
        <v>314</v>
      </c>
      <c r="K1785" t="s">
        <v>2500</v>
      </c>
    </row>
    <row r="1786" spans="1:11" x14ac:dyDescent="0.25">
      <c r="A1786" t="s">
        <v>2481</v>
      </c>
      <c r="B1786" s="3">
        <v>46315</v>
      </c>
      <c r="C1786" t="s">
        <v>251</v>
      </c>
      <c r="D1786" t="s">
        <v>216</v>
      </c>
      <c r="E1786">
        <v>64</v>
      </c>
      <c r="F1786" t="s">
        <v>2</v>
      </c>
      <c r="G1786" t="s">
        <v>36</v>
      </c>
      <c r="H1786" t="s">
        <v>4201</v>
      </c>
      <c r="I1786" s="2">
        <v>445000</v>
      </c>
      <c r="J1786" t="s">
        <v>71</v>
      </c>
      <c r="K1786" t="s">
        <v>2503</v>
      </c>
    </row>
    <row r="1787" spans="1:11" x14ac:dyDescent="0.25">
      <c r="A1787" t="s">
        <v>2482</v>
      </c>
      <c r="B1787" s="3">
        <v>46315</v>
      </c>
      <c r="C1787" t="s">
        <v>643</v>
      </c>
      <c r="D1787" t="s">
        <v>582</v>
      </c>
      <c r="E1787">
        <v>53</v>
      </c>
      <c r="F1787" t="s">
        <v>2</v>
      </c>
      <c r="G1787" t="s">
        <v>55</v>
      </c>
      <c r="H1787" t="s">
        <v>4202</v>
      </c>
      <c r="I1787" s="2">
        <v>146000</v>
      </c>
      <c r="J1787" t="s">
        <v>423</v>
      </c>
      <c r="K1787" t="s">
        <v>2503</v>
      </c>
    </row>
    <row r="1788" spans="1:11" x14ac:dyDescent="0.25">
      <c r="A1788" t="s">
        <v>2483</v>
      </c>
      <c r="B1788" s="3">
        <v>46315</v>
      </c>
      <c r="C1788" t="s">
        <v>514</v>
      </c>
      <c r="D1788" t="s">
        <v>467</v>
      </c>
      <c r="E1788">
        <v>20</v>
      </c>
      <c r="F1788" t="s">
        <v>469</v>
      </c>
      <c r="G1788" t="s">
        <v>36</v>
      </c>
      <c r="H1788" t="s">
        <v>4203</v>
      </c>
      <c r="I1788" s="2">
        <v>29000</v>
      </c>
      <c r="J1788" t="s">
        <v>310</v>
      </c>
      <c r="K1788" t="s">
        <v>2509</v>
      </c>
    </row>
    <row r="1789" spans="1:11" x14ac:dyDescent="0.25">
      <c r="A1789" t="s">
        <v>2484</v>
      </c>
      <c r="B1789" s="3">
        <v>46315</v>
      </c>
      <c r="C1789" t="s">
        <v>450</v>
      </c>
      <c r="D1789" t="s">
        <v>349</v>
      </c>
      <c r="E1789">
        <v>61</v>
      </c>
      <c r="F1789" t="s">
        <v>2</v>
      </c>
      <c r="G1789" t="s">
        <v>22</v>
      </c>
      <c r="H1789" t="s">
        <v>4204</v>
      </c>
      <c r="I1789" s="2">
        <v>15000</v>
      </c>
      <c r="J1789" t="s">
        <v>121</v>
      </c>
      <c r="K1789" t="s">
        <v>2509</v>
      </c>
    </row>
    <row r="1790" spans="1:11" x14ac:dyDescent="0.25">
      <c r="A1790" t="s">
        <v>2485</v>
      </c>
      <c r="B1790" s="3">
        <v>46315</v>
      </c>
      <c r="C1790" t="s">
        <v>14</v>
      </c>
      <c r="D1790" t="s">
        <v>15</v>
      </c>
      <c r="E1790">
        <v>65</v>
      </c>
      <c r="F1790" t="s">
        <v>2</v>
      </c>
      <c r="G1790" t="s">
        <v>17</v>
      </c>
      <c r="H1790" t="s">
        <v>4205</v>
      </c>
      <c r="I1790" s="2">
        <v>91000</v>
      </c>
      <c r="J1790" t="s">
        <v>19</v>
      </c>
      <c r="K1790" t="s">
        <v>2513</v>
      </c>
    </row>
    <row r="1791" spans="1:11" x14ac:dyDescent="0.25">
      <c r="A1791" t="s">
        <v>2486</v>
      </c>
      <c r="B1791" s="3">
        <v>46315</v>
      </c>
      <c r="C1791" t="s">
        <v>658</v>
      </c>
      <c r="D1791" t="s">
        <v>597</v>
      </c>
      <c r="E1791">
        <v>19</v>
      </c>
      <c r="F1791" t="s">
        <v>355</v>
      </c>
      <c r="G1791" t="s">
        <v>61</v>
      </c>
      <c r="H1791" t="s">
        <v>4206</v>
      </c>
      <c r="I1791" s="2">
        <v>50000</v>
      </c>
      <c r="J1791" t="s">
        <v>113</v>
      </c>
      <c r="K1791" t="s">
        <v>2503</v>
      </c>
    </row>
    <row r="1792" spans="1:11" x14ac:dyDescent="0.25">
      <c r="A1792" t="s">
        <v>2487</v>
      </c>
      <c r="B1792" s="3">
        <v>46315</v>
      </c>
      <c r="C1792" t="s">
        <v>68</v>
      </c>
      <c r="D1792" t="s">
        <v>29</v>
      </c>
      <c r="E1792">
        <v>36</v>
      </c>
      <c r="F1792" t="s">
        <v>2</v>
      </c>
      <c r="G1792" t="s">
        <v>40</v>
      </c>
      <c r="H1792" t="s">
        <v>4207</v>
      </c>
      <c r="I1792" s="2">
        <v>284000</v>
      </c>
      <c r="J1792" t="s">
        <v>69</v>
      </c>
      <c r="K1792" t="s">
        <v>2509</v>
      </c>
    </row>
    <row r="1793" spans="1:11" x14ac:dyDescent="0.25">
      <c r="A1793" t="s">
        <v>2488</v>
      </c>
      <c r="B1793" s="3">
        <v>46315</v>
      </c>
      <c r="C1793" t="s">
        <v>150</v>
      </c>
      <c r="D1793" t="s">
        <v>47</v>
      </c>
      <c r="E1793">
        <v>32</v>
      </c>
      <c r="F1793" t="s">
        <v>2</v>
      </c>
      <c r="G1793" t="s">
        <v>85</v>
      </c>
      <c r="H1793" t="s">
        <v>4208</v>
      </c>
      <c r="I1793" s="2">
        <v>181000</v>
      </c>
      <c r="J1793" t="s">
        <v>71</v>
      </c>
      <c r="K1793" t="s">
        <v>2509</v>
      </c>
    </row>
    <row r="1794" spans="1:11" x14ac:dyDescent="0.25">
      <c r="A1794" t="s">
        <v>2489</v>
      </c>
      <c r="B1794" s="3">
        <v>46315</v>
      </c>
      <c r="C1794" t="s">
        <v>556</v>
      </c>
      <c r="D1794" t="s">
        <v>474</v>
      </c>
      <c r="E1794">
        <v>13</v>
      </c>
      <c r="F1794" t="s">
        <v>2</v>
      </c>
      <c r="G1794" t="s">
        <v>55</v>
      </c>
      <c r="H1794" t="s">
        <v>4209</v>
      </c>
      <c r="I1794" s="2">
        <v>11000</v>
      </c>
      <c r="J1794" t="s">
        <v>45</v>
      </c>
      <c r="K1794" t="s">
        <v>2513</v>
      </c>
    </row>
    <row r="1795" spans="1:11" x14ac:dyDescent="0.25">
      <c r="A1795" t="s">
        <v>2490</v>
      </c>
      <c r="B1795" s="3">
        <v>46315</v>
      </c>
      <c r="C1795" t="s">
        <v>285</v>
      </c>
      <c r="D1795" t="s">
        <v>216</v>
      </c>
      <c r="E1795">
        <v>60</v>
      </c>
      <c r="F1795" t="s">
        <v>2</v>
      </c>
      <c r="G1795" t="s">
        <v>22</v>
      </c>
      <c r="H1795" t="s">
        <v>4210</v>
      </c>
      <c r="I1795" s="2">
        <v>329000</v>
      </c>
      <c r="J1795" t="s">
        <v>42</v>
      </c>
      <c r="K1795" t="s">
        <v>2509</v>
      </c>
    </row>
    <row r="1796" spans="1:11" x14ac:dyDescent="0.25">
      <c r="A1796" t="s">
        <v>2491</v>
      </c>
      <c r="B1796" s="3">
        <v>46315</v>
      </c>
      <c r="C1796" t="s">
        <v>556</v>
      </c>
      <c r="D1796" t="s">
        <v>474</v>
      </c>
      <c r="E1796">
        <v>43</v>
      </c>
      <c r="F1796" t="s">
        <v>2</v>
      </c>
      <c r="G1796" t="s">
        <v>55</v>
      </c>
      <c r="H1796" t="s">
        <v>4211</v>
      </c>
      <c r="I1796" s="2">
        <v>11000</v>
      </c>
      <c r="J1796" t="s">
        <v>45</v>
      </c>
      <c r="K1796" t="s">
        <v>2513</v>
      </c>
    </row>
    <row r="1797" spans="1:11" x14ac:dyDescent="0.25">
      <c r="A1797" t="s">
        <v>2492</v>
      </c>
      <c r="B1797" s="3">
        <v>46315</v>
      </c>
      <c r="C1797" t="s">
        <v>170</v>
      </c>
      <c r="D1797" t="s">
        <v>66</v>
      </c>
      <c r="E1797">
        <v>59</v>
      </c>
      <c r="F1797" t="s">
        <v>2</v>
      </c>
      <c r="G1797" t="s">
        <v>85</v>
      </c>
      <c r="H1797" t="s">
        <v>4212</v>
      </c>
      <c r="I1797" s="2">
        <v>237000</v>
      </c>
      <c r="J1797" t="s">
        <v>171</v>
      </c>
      <c r="K1797" t="s">
        <v>2500</v>
      </c>
    </row>
    <row r="1798" spans="1:11" x14ac:dyDescent="0.25">
      <c r="A1798" t="s">
        <v>2493</v>
      </c>
      <c r="B1798" s="3">
        <v>46315</v>
      </c>
      <c r="C1798" t="s">
        <v>174</v>
      </c>
      <c r="D1798" t="s">
        <v>26</v>
      </c>
      <c r="E1798">
        <v>25</v>
      </c>
      <c r="F1798" t="s">
        <v>2</v>
      </c>
      <c r="G1798" t="s">
        <v>81</v>
      </c>
      <c r="H1798" t="s">
        <v>4213</v>
      </c>
      <c r="I1798" s="2">
        <v>649000</v>
      </c>
      <c r="J1798" t="s">
        <v>175</v>
      </c>
      <c r="K1798" t="s">
        <v>2513</v>
      </c>
    </row>
    <row r="1799" spans="1:11" x14ac:dyDescent="0.25">
      <c r="A1799" t="s">
        <v>2494</v>
      </c>
      <c r="B1799" s="3">
        <v>46315</v>
      </c>
      <c r="C1799" t="s">
        <v>532</v>
      </c>
      <c r="D1799" t="s">
        <v>488</v>
      </c>
      <c r="E1799">
        <v>62</v>
      </c>
      <c r="F1799" t="s">
        <v>469</v>
      </c>
      <c r="G1799" t="s">
        <v>22</v>
      </c>
      <c r="H1799" t="s">
        <v>4214</v>
      </c>
      <c r="I1799" s="2">
        <v>82000</v>
      </c>
      <c r="J1799" t="s">
        <v>106</v>
      </c>
      <c r="K1799" t="s">
        <v>2509</v>
      </c>
    </row>
    <row r="1800" spans="1:11" x14ac:dyDescent="0.25">
      <c r="A1800" t="s">
        <v>2495</v>
      </c>
      <c r="B1800" s="3">
        <v>46315</v>
      </c>
      <c r="C1800" t="s">
        <v>235</v>
      </c>
      <c r="D1800" t="s">
        <v>216</v>
      </c>
      <c r="E1800">
        <v>38</v>
      </c>
      <c r="F1800" t="s">
        <v>2</v>
      </c>
      <c r="G1800" t="s">
        <v>36</v>
      </c>
      <c r="H1800" t="s">
        <v>4215</v>
      </c>
      <c r="I1800" s="2">
        <v>314000</v>
      </c>
      <c r="J1800" t="s">
        <v>38</v>
      </c>
      <c r="K1800" t="s">
        <v>2509</v>
      </c>
    </row>
    <row r="1801" spans="1:11" x14ac:dyDescent="0.25">
      <c r="A1801" t="s">
        <v>2496</v>
      </c>
      <c r="B1801" s="3">
        <v>46315</v>
      </c>
      <c r="C1801" t="s">
        <v>398</v>
      </c>
      <c r="D1801" t="s">
        <v>344</v>
      </c>
      <c r="E1801">
        <v>27</v>
      </c>
      <c r="F1801" t="s">
        <v>346</v>
      </c>
      <c r="G1801" t="s">
        <v>17</v>
      </c>
      <c r="H1801" t="s">
        <v>4216</v>
      </c>
      <c r="I1801" s="2">
        <v>66000</v>
      </c>
      <c r="J1801" t="s">
        <v>108</v>
      </c>
      <c r="K1801" t="s">
        <v>2500</v>
      </c>
    </row>
  </sheetData>
  <autoFilter ref="C1:D1801" xr:uid="{4DF6F0D4-1FC1-414C-B383-C2F2ED041E64}"/>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90CE7-975C-47CF-A830-3457F1121EFA}">
  <dimension ref="A1:J2201"/>
  <sheetViews>
    <sheetView workbookViewId="0">
      <selection activeCell="G1" sqref="G1:G1048576"/>
    </sheetView>
  </sheetViews>
  <sheetFormatPr defaultRowHeight="15" x14ac:dyDescent="0.25"/>
  <cols>
    <col min="2" max="2" width="16.28515625" customWidth="1"/>
    <col min="4" max="4" width="17.5703125" customWidth="1"/>
    <col min="5" max="5" width="15.5703125" customWidth="1"/>
    <col min="7" max="7" width="21.7109375" customWidth="1"/>
    <col min="8" max="8" width="18.140625" customWidth="1"/>
    <col min="9" max="9" width="16.140625" customWidth="1"/>
    <col min="10" max="10" width="18.28515625" customWidth="1"/>
  </cols>
  <sheetData>
    <row r="1" spans="1:10" ht="60" x14ac:dyDescent="0.25">
      <c r="A1" s="1" t="s">
        <v>694</v>
      </c>
      <c r="B1" s="1" t="s">
        <v>695</v>
      </c>
      <c r="C1" s="1" t="s">
        <v>0</v>
      </c>
      <c r="D1" s="1" t="s">
        <v>3</v>
      </c>
      <c r="E1" s="1" t="s">
        <v>4217</v>
      </c>
      <c r="F1" s="1" t="s">
        <v>5</v>
      </c>
      <c r="G1" s="1" t="s">
        <v>4218</v>
      </c>
      <c r="H1" s="1" t="s">
        <v>4219</v>
      </c>
      <c r="I1" s="1" t="s">
        <v>12</v>
      </c>
      <c r="J1" s="1" t="s">
        <v>4220</v>
      </c>
    </row>
    <row r="2" spans="1:10" x14ac:dyDescent="0.25">
      <c r="A2" t="s">
        <v>4221</v>
      </c>
      <c r="B2" s="3">
        <v>46266</v>
      </c>
      <c r="C2" t="s">
        <v>633</v>
      </c>
      <c r="D2" t="s">
        <v>587</v>
      </c>
      <c r="E2">
        <v>24</v>
      </c>
      <c r="F2" t="s">
        <v>2</v>
      </c>
      <c r="G2" t="s">
        <v>4222</v>
      </c>
      <c r="H2" t="s">
        <v>4223</v>
      </c>
      <c r="I2" t="s">
        <v>171</v>
      </c>
      <c r="J2" t="s">
        <v>2513</v>
      </c>
    </row>
    <row r="3" spans="1:10" x14ac:dyDescent="0.25">
      <c r="A3" t="s">
        <v>4224</v>
      </c>
      <c r="B3" s="3">
        <v>46266</v>
      </c>
      <c r="C3" t="s">
        <v>456</v>
      </c>
      <c r="D3" t="s">
        <v>351</v>
      </c>
      <c r="E3">
        <v>38</v>
      </c>
      <c r="F3" t="s">
        <v>2</v>
      </c>
      <c r="G3" t="s">
        <v>4225</v>
      </c>
      <c r="H3" t="s">
        <v>4226</v>
      </c>
      <c r="I3" t="s">
        <v>119</v>
      </c>
      <c r="J3" t="s">
        <v>2509</v>
      </c>
    </row>
    <row r="4" spans="1:10" x14ac:dyDescent="0.25">
      <c r="A4" t="s">
        <v>4227</v>
      </c>
      <c r="B4" s="3">
        <v>46266</v>
      </c>
      <c r="C4" t="s">
        <v>499</v>
      </c>
      <c r="D4" t="s">
        <v>479</v>
      </c>
      <c r="E4">
        <v>13</v>
      </c>
      <c r="F4" t="s">
        <v>469</v>
      </c>
      <c r="G4" t="s">
        <v>4228</v>
      </c>
      <c r="H4" t="s">
        <v>4229</v>
      </c>
      <c r="I4" t="s">
        <v>173</v>
      </c>
      <c r="J4" t="s">
        <v>2509</v>
      </c>
    </row>
    <row r="5" spans="1:10" x14ac:dyDescent="0.25">
      <c r="A5" t="s">
        <v>4230</v>
      </c>
      <c r="B5" s="3">
        <v>46266</v>
      </c>
      <c r="C5" t="s">
        <v>651</v>
      </c>
      <c r="D5" t="s">
        <v>612</v>
      </c>
      <c r="E5">
        <v>38</v>
      </c>
      <c r="F5" t="s">
        <v>2</v>
      </c>
      <c r="G5" t="s">
        <v>4231</v>
      </c>
      <c r="H5" t="s">
        <v>4232</v>
      </c>
      <c r="I5" t="s">
        <v>294</v>
      </c>
      <c r="J5" t="s">
        <v>2509</v>
      </c>
    </row>
    <row r="6" spans="1:10" x14ac:dyDescent="0.25">
      <c r="A6" t="s">
        <v>4233</v>
      </c>
      <c r="B6" s="3">
        <v>46266</v>
      </c>
      <c r="C6" t="s">
        <v>384</v>
      </c>
      <c r="D6" t="s">
        <v>366</v>
      </c>
      <c r="E6">
        <v>35</v>
      </c>
      <c r="F6" t="s">
        <v>2</v>
      </c>
      <c r="G6" t="s">
        <v>4234</v>
      </c>
      <c r="H6" t="s">
        <v>4235</v>
      </c>
      <c r="I6" t="s">
        <v>104</v>
      </c>
      <c r="J6" t="s">
        <v>2500</v>
      </c>
    </row>
    <row r="7" spans="1:10" x14ac:dyDescent="0.25">
      <c r="A7" t="s">
        <v>4236</v>
      </c>
      <c r="B7" s="3">
        <v>46266</v>
      </c>
      <c r="C7" t="s">
        <v>641</v>
      </c>
      <c r="D7" t="s">
        <v>589</v>
      </c>
      <c r="E7">
        <v>21</v>
      </c>
      <c r="F7" t="s">
        <v>469</v>
      </c>
      <c r="G7" t="s">
        <v>4234</v>
      </c>
      <c r="H7" t="s">
        <v>4237</v>
      </c>
      <c r="I7" t="s">
        <v>124</v>
      </c>
      <c r="J7" t="s">
        <v>2500</v>
      </c>
    </row>
    <row r="8" spans="1:10" x14ac:dyDescent="0.25">
      <c r="A8" t="s">
        <v>4238</v>
      </c>
      <c r="B8" s="3">
        <v>46266</v>
      </c>
      <c r="C8" t="s">
        <v>661</v>
      </c>
      <c r="D8" t="s">
        <v>587</v>
      </c>
      <c r="E8">
        <v>4</v>
      </c>
      <c r="F8" t="s">
        <v>2</v>
      </c>
      <c r="G8" t="s">
        <v>4222</v>
      </c>
      <c r="H8" t="s">
        <v>4239</v>
      </c>
      <c r="I8" t="s">
        <v>87</v>
      </c>
      <c r="J8" t="s">
        <v>2500</v>
      </c>
    </row>
    <row r="9" spans="1:10" x14ac:dyDescent="0.25">
      <c r="A9" t="s">
        <v>4240</v>
      </c>
      <c r="B9" s="3">
        <v>46266</v>
      </c>
      <c r="C9" t="s">
        <v>398</v>
      </c>
      <c r="D9" t="s">
        <v>344</v>
      </c>
      <c r="E9">
        <v>14</v>
      </c>
      <c r="F9" t="s">
        <v>346</v>
      </c>
      <c r="G9" t="s">
        <v>4234</v>
      </c>
      <c r="H9" t="s">
        <v>4241</v>
      </c>
      <c r="I9" t="s">
        <v>108</v>
      </c>
      <c r="J9" t="s">
        <v>2500</v>
      </c>
    </row>
    <row r="10" spans="1:10" x14ac:dyDescent="0.25">
      <c r="A10" t="s">
        <v>4242</v>
      </c>
      <c r="B10" s="3">
        <v>46266</v>
      </c>
      <c r="C10" t="s">
        <v>459</v>
      </c>
      <c r="D10" t="s">
        <v>351</v>
      </c>
      <c r="E10">
        <v>42</v>
      </c>
      <c r="F10" t="s">
        <v>2</v>
      </c>
      <c r="G10" t="s">
        <v>4234</v>
      </c>
      <c r="H10" t="s">
        <v>4243</v>
      </c>
      <c r="I10" t="s">
        <v>77</v>
      </c>
      <c r="J10" t="s">
        <v>2500</v>
      </c>
    </row>
    <row r="11" spans="1:10" x14ac:dyDescent="0.25">
      <c r="A11" t="s">
        <v>4244</v>
      </c>
      <c r="B11" s="3">
        <v>46266</v>
      </c>
      <c r="C11" t="s">
        <v>640</v>
      </c>
      <c r="D11" t="s">
        <v>629</v>
      </c>
      <c r="E11">
        <v>21</v>
      </c>
      <c r="F11" t="s">
        <v>355</v>
      </c>
      <c r="G11" t="s">
        <v>4222</v>
      </c>
      <c r="H11" t="s">
        <v>4245</v>
      </c>
      <c r="I11" t="s">
        <v>79</v>
      </c>
      <c r="J11" t="s">
        <v>2513</v>
      </c>
    </row>
    <row r="12" spans="1:10" x14ac:dyDescent="0.25">
      <c r="A12" t="s">
        <v>4246</v>
      </c>
      <c r="B12" s="3">
        <v>46266</v>
      </c>
      <c r="C12" t="s">
        <v>248</v>
      </c>
      <c r="D12" t="s">
        <v>240</v>
      </c>
      <c r="E12">
        <v>10</v>
      </c>
      <c r="F12" t="s">
        <v>2</v>
      </c>
      <c r="G12" t="s">
        <v>4222</v>
      </c>
      <c r="H12" t="s">
        <v>4247</v>
      </c>
      <c r="I12" t="s">
        <v>126</v>
      </c>
      <c r="J12" t="s">
        <v>2509</v>
      </c>
    </row>
    <row r="13" spans="1:10" x14ac:dyDescent="0.25">
      <c r="A13" t="s">
        <v>4248</v>
      </c>
      <c r="B13" s="3">
        <v>46266</v>
      </c>
      <c r="C13" t="s">
        <v>159</v>
      </c>
      <c r="D13" t="s">
        <v>29</v>
      </c>
      <c r="E13">
        <v>18</v>
      </c>
      <c r="F13" t="s">
        <v>2</v>
      </c>
      <c r="G13" t="s">
        <v>4228</v>
      </c>
      <c r="H13" t="s">
        <v>4249</v>
      </c>
      <c r="I13" t="s">
        <v>73</v>
      </c>
      <c r="J13" t="s">
        <v>2500</v>
      </c>
    </row>
    <row r="14" spans="1:10" x14ac:dyDescent="0.25">
      <c r="A14" t="s">
        <v>4250</v>
      </c>
      <c r="B14" s="3">
        <v>46266</v>
      </c>
      <c r="C14" t="s">
        <v>403</v>
      </c>
      <c r="D14" t="s">
        <v>364</v>
      </c>
      <c r="E14">
        <v>30</v>
      </c>
      <c r="F14" t="s">
        <v>358</v>
      </c>
      <c r="G14" t="s">
        <v>4228</v>
      </c>
      <c r="H14" t="s">
        <v>4251</v>
      </c>
      <c r="I14" t="s">
        <v>117</v>
      </c>
      <c r="J14" t="s">
        <v>2513</v>
      </c>
    </row>
    <row r="15" spans="1:10" x14ac:dyDescent="0.25">
      <c r="A15" t="s">
        <v>4252</v>
      </c>
      <c r="B15" s="3">
        <v>46266</v>
      </c>
      <c r="C15" t="s">
        <v>411</v>
      </c>
      <c r="D15" t="s">
        <v>366</v>
      </c>
      <c r="E15">
        <v>33</v>
      </c>
      <c r="F15" t="s">
        <v>2</v>
      </c>
      <c r="G15" t="s">
        <v>4222</v>
      </c>
      <c r="H15" t="s">
        <v>4253</v>
      </c>
      <c r="I15" t="s">
        <v>312</v>
      </c>
      <c r="J15" t="s">
        <v>2509</v>
      </c>
    </row>
    <row r="16" spans="1:10" x14ac:dyDescent="0.25">
      <c r="A16" t="s">
        <v>4254</v>
      </c>
      <c r="B16" s="3">
        <v>46266</v>
      </c>
      <c r="C16" t="s">
        <v>362</v>
      </c>
      <c r="D16" t="s">
        <v>360</v>
      </c>
      <c r="E16">
        <v>44</v>
      </c>
      <c r="F16" t="s">
        <v>358</v>
      </c>
      <c r="G16" t="s">
        <v>4231</v>
      </c>
      <c r="H16" t="s">
        <v>4255</v>
      </c>
      <c r="I16" t="s">
        <v>42</v>
      </c>
      <c r="J16" t="s">
        <v>2513</v>
      </c>
    </row>
    <row r="17" spans="1:10" x14ac:dyDescent="0.25">
      <c r="A17" t="s">
        <v>4256</v>
      </c>
      <c r="B17" s="3">
        <v>46266</v>
      </c>
      <c r="C17" t="s">
        <v>545</v>
      </c>
      <c r="D17" t="s">
        <v>502</v>
      </c>
      <c r="E17">
        <v>42</v>
      </c>
      <c r="F17" t="s">
        <v>469</v>
      </c>
      <c r="G17" t="s">
        <v>4231</v>
      </c>
      <c r="H17" t="s">
        <v>4257</v>
      </c>
      <c r="I17" t="s">
        <v>183</v>
      </c>
      <c r="J17" t="s">
        <v>2500</v>
      </c>
    </row>
    <row r="18" spans="1:10" x14ac:dyDescent="0.25">
      <c r="A18" t="s">
        <v>4258</v>
      </c>
      <c r="B18" s="3">
        <v>46266</v>
      </c>
      <c r="C18" t="s">
        <v>615</v>
      </c>
      <c r="D18" t="s">
        <v>589</v>
      </c>
      <c r="E18">
        <v>23</v>
      </c>
      <c r="F18" t="s">
        <v>469</v>
      </c>
      <c r="G18" t="s">
        <v>4225</v>
      </c>
      <c r="H18" t="s">
        <v>4259</v>
      </c>
      <c r="I18" t="s">
        <v>95</v>
      </c>
      <c r="J18" t="s">
        <v>2513</v>
      </c>
    </row>
    <row r="19" spans="1:10" x14ac:dyDescent="0.25">
      <c r="A19" t="s">
        <v>4260</v>
      </c>
      <c r="B19" s="3">
        <v>46266</v>
      </c>
      <c r="C19" t="s">
        <v>209</v>
      </c>
      <c r="D19" t="s">
        <v>210</v>
      </c>
      <c r="E19">
        <v>44</v>
      </c>
      <c r="F19" t="s">
        <v>2</v>
      </c>
      <c r="G19" t="s">
        <v>4222</v>
      </c>
      <c r="H19" t="s">
        <v>4261</v>
      </c>
      <c r="I19" t="s">
        <v>183</v>
      </c>
      <c r="J19" t="s">
        <v>2513</v>
      </c>
    </row>
    <row r="20" spans="1:10" x14ac:dyDescent="0.25">
      <c r="A20" t="s">
        <v>4262</v>
      </c>
      <c r="B20" s="3">
        <v>46266</v>
      </c>
      <c r="C20" t="s">
        <v>387</v>
      </c>
      <c r="D20" t="s">
        <v>378</v>
      </c>
      <c r="E20">
        <v>52</v>
      </c>
      <c r="F20" t="s">
        <v>2</v>
      </c>
      <c r="G20" t="s">
        <v>4228</v>
      </c>
      <c r="H20" t="s">
        <v>4263</v>
      </c>
      <c r="I20" t="s">
        <v>171</v>
      </c>
      <c r="J20" t="s">
        <v>2513</v>
      </c>
    </row>
    <row r="21" spans="1:10" x14ac:dyDescent="0.25">
      <c r="A21" t="s">
        <v>4264</v>
      </c>
      <c r="B21" s="3">
        <v>46266</v>
      </c>
      <c r="C21" t="s">
        <v>550</v>
      </c>
      <c r="D21" t="s">
        <v>481</v>
      </c>
      <c r="E21">
        <v>44</v>
      </c>
      <c r="F21" t="s">
        <v>2</v>
      </c>
      <c r="G21" t="s">
        <v>4228</v>
      </c>
      <c r="H21" t="s">
        <v>4265</v>
      </c>
      <c r="I21" t="s">
        <v>59</v>
      </c>
      <c r="J21" t="s">
        <v>2509</v>
      </c>
    </row>
    <row r="22" spans="1:10" x14ac:dyDescent="0.25">
      <c r="A22" t="s">
        <v>4266</v>
      </c>
      <c r="B22" s="3">
        <v>46266</v>
      </c>
      <c r="C22" t="s">
        <v>14</v>
      </c>
      <c r="D22" t="s">
        <v>15</v>
      </c>
      <c r="E22">
        <v>43</v>
      </c>
      <c r="F22" t="s">
        <v>2</v>
      </c>
      <c r="G22" t="s">
        <v>4231</v>
      </c>
      <c r="H22" t="s">
        <v>4267</v>
      </c>
      <c r="I22" t="s">
        <v>19</v>
      </c>
      <c r="J22" t="s">
        <v>2509</v>
      </c>
    </row>
    <row r="23" spans="1:10" x14ac:dyDescent="0.25">
      <c r="A23" t="s">
        <v>4268</v>
      </c>
      <c r="B23" s="3">
        <v>46266</v>
      </c>
      <c r="C23" t="s">
        <v>670</v>
      </c>
      <c r="D23" t="s">
        <v>599</v>
      </c>
      <c r="E23">
        <v>29</v>
      </c>
      <c r="F23" t="s">
        <v>2</v>
      </c>
      <c r="G23" t="s">
        <v>4225</v>
      </c>
      <c r="H23" t="s">
        <v>4269</v>
      </c>
      <c r="I23" t="s">
        <v>93</v>
      </c>
      <c r="J23" t="s">
        <v>2509</v>
      </c>
    </row>
    <row r="24" spans="1:10" x14ac:dyDescent="0.25">
      <c r="A24" t="s">
        <v>4270</v>
      </c>
      <c r="B24" s="3">
        <v>46266</v>
      </c>
      <c r="C24" t="s">
        <v>99</v>
      </c>
      <c r="D24" t="s">
        <v>26</v>
      </c>
      <c r="E24">
        <v>49</v>
      </c>
      <c r="F24" t="s">
        <v>2</v>
      </c>
      <c r="G24" t="s">
        <v>4231</v>
      </c>
      <c r="H24" t="s">
        <v>4271</v>
      </c>
      <c r="I24" t="s">
        <v>100</v>
      </c>
      <c r="J24" t="s">
        <v>2500</v>
      </c>
    </row>
    <row r="25" spans="1:10" x14ac:dyDescent="0.25">
      <c r="A25" t="s">
        <v>4272</v>
      </c>
      <c r="B25" s="3">
        <v>46266</v>
      </c>
      <c r="C25" t="s">
        <v>406</v>
      </c>
      <c r="D25" t="s">
        <v>366</v>
      </c>
      <c r="E25">
        <v>46</v>
      </c>
      <c r="F25" t="s">
        <v>2</v>
      </c>
      <c r="G25" t="s">
        <v>4222</v>
      </c>
      <c r="H25" t="s">
        <v>4273</v>
      </c>
      <c r="I25" t="s">
        <v>64</v>
      </c>
      <c r="J25" t="s">
        <v>2513</v>
      </c>
    </row>
    <row r="26" spans="1:10" x14ac:dyDescent="0.25">
      <c r="A26" t="s">
        <v>4274</v>
      </c>
      <c r="B26" s="3">
        <v>46266</v>
      </c>
      <c r="C26" t="s">
        <v>427</v>
      </c>
      <c r="D26" t="s">
        <v>364</v>
      </c>
      <c r="E26">
        <v>43</v>
      </c>
      <c r="F26" t="s">
        <v>358</v>
      </c>
      <c r="G26" t="s">
        <v>4225</v>
      </c>
      <c r="H26" t="s">
        <v>4275</v>
      </c>
      <c r="I26" t="s">
        <v>106</v>
      </c>
      <c r="J26" t="s">
        <v>2500</v>
      </c>
    </row>
    <row r="27" spans="1:10" x14ac:dyDescent="0.25">
      <c r="A27" t="s">
        <v>4276</v>
      </c>
      <c r="B27" s="3">
        <v>46266</v>
      </c>
      <c r="C27" t="s">
        <v>550</v>
      </c>
      <c r="D27" t="s">
        <v>481</v>
      </c>
      <c r="E27">
        <v>48</v>
      </c>
      <c r="F27" t="s">
        <v>2</v>
      </c>
      <c r="G27" t="s">
        <v>4228</v>
      </c>
      <c r="H27" t="s">
        <v>4277</v>
      </c>
      <c r="I27" t="s">
        <v>59</v>
      </c>
      <c r="J27" t="s">
        <v>2513</v>
      </c>
    </row>
    <row r="28" spans="1:10" x14ac:dyDescent="0.25">
      <c r="A28" t="s">
        <v>4278</v>
      </c>
      <c r="B28" s="3">
        <v>46266</v>
      </c>
      <c r="C28" t="s">
        <v>616</v>
      </c>
      <c r="D28" t="s">
        <v>589</v>
      </c>
      <c r="E28">
        <v>5</v>
      </c>
      <c r="F28" t="s">
        <v>469</v>
      </c>
      <c r="G28" t="s">
        <v>4225</v>
      </c>
      <c r="H28" t="s">
        <v>4279</v>
      </c>
      <c r="I28" t="s">
        <v>110</v>
      </c>
      <c r="J28" t="s">
        <v>2509</v>
      </c>
    </row>
    <row r="29" spans="1:10" x14ac:dyDescent="0.25">
      <c r="A29" t="s">
        <v>4280</v>
      </c>
      <c r="B29" s="3">
        <v>46266</v>
      </c>
      <c r="C29" t="s">
        <v>645</v>
      </c>
      <c r="D29" t="s">
        <v>612</v>
      </c>
      <c r="E29">
        <v>55</v>
      </c>
      <c r="F29" t="s">
        <v>2</v>
      </c>
      <c r="G29" t="s">
        <v>4222</v>
      </c>
      <c r="H29" t="s">
        <v>4281</v>
      </c>
      <c r="I29" t="s">
        <v>297</v>
      </c>
      <c r="J29" t="s">
        <v>2500</v>
      </c>
    </row>
    <row r="30" spans="1:10" x14ac:dyDescent="0.25">
      <c r="A30" t="s">
        <v>4282</v>
      </c>
      <c r="B30" s="3">
        <v>46266</v>
      </c>
      <c r="C30" t="s">
        <v>252</v>
      </c>
      <c r="D30" t="s">
        <v>216</v>
      </c>
      <c r="E30">
        <v>55</v>
      </c>
      <c r="F30" t="s">
        <v>2</v>
      </c>
      <c r="G30" t="s">
        <v>4225</v>
      </c>
      <c r="H30" t="s">
        <v>4283</v>
      </c>
      <c r="I30" t="s">
        <v>52</v>
      </c>
      <c r="J30" t="s">
        <v>2503</v>
      </c>
    </row>
    <row r="31" spans="1:10" x14ac:dyDescent="0.25">
      <c r="A31" t="s">
        <v>4284</v>
      </c>
      <c r="B31" s="3">
        <v>46266</v>
      </c>
      <c r="C31" t="s">
        <v>352</v>
      </c>
      <c r="D31" t="s">
        <v>344</v>
      </c>
      <c r="E31">
        <v>19</v>
      </c>
      <c r="F31" t="s">
        <v>346</v>
      </c>
      <c r="G31" t="s">
        <v>4222</v>
      </c>
      <c r="H31" t="s">
        <v>4285</v>
      </c>
      <c r="I31" t="s">
        <v>189</v>
      </c>
      <c r="J31" t="s">
        <v>2503</v>
      </c>
    </row>
    <row r="32" spans="1:10" x14ac:dyDescent="0.25">
      <c r="A32" t="s">
        <v>4286</v>
      </c>
      <c r="B32" s="3">
        <v>46266</v>
      </c>
      <c r="C32" t="s">
        <v>670</v>
      </c>
      <c r="D32" t="s">
        <v>599</v>
      </c>
      <c r="E32">
        <v>3</v>
      </c>
      <c r="F32" t="s">
        <v>2</v>
      </c>
      <c r="G32" t="s">
        <v>4222</v>
      </c>
      <c r="H32" t="s">
        <v>4287</v>
      </c>
      <c r="I32" t="s">
        <v>93</v>
      </c>
      <c r="J32" t="s">
        <v>2503</v>
      </c>
    </row>
    <row r="33" spans="1:10" x14ac:dyDescent="0.25">
      <c r="A33" t="s">
        <v>4288</v>
      </c>
      <c r="B33" s="3">
        <v>46266</v>
      </c>
      <c r="C33" t="s">
        <v>528</v>
      </c>
      <c r="D33" t="s">
        <v>479</v>
      </c>
      <c r="E33">
        <v>1</v>
      </c>
      <c r="F33" t="s">
        <v>469</v>
      </c>
      <c r="G33" t="s">
        <v>4225</v>
      </c>
      <c r="H33" t="s">
        <v>4289</v>
      </c>
      <c r="I33" t="s">
        <v>274</v>
      </c>
      <c r="J33" t="s">
        <v>2500</v>
      </c>
    </row>
    <row r="34" spans="1:10" x14ac:dyDescent="0.25">
      <c r="A34" t="s">
        <v>4290</v>
      </c>
      <c r="B34" s="3">
        <v>46266</v>
      </c>
      <c r="C34" t="s">
        <v>326</v>
      </c>
      <c r="D34" t="s">
        <v>223</v>
      </c>
      <c r="E34">
        <v>3</v>
      </c>
      <c r="F34" t="s">
        <v>2</v>
      </c>
      <c r="G34" t="s">
        <v>4225</v>
      </c>
      <c r="H34" t="s">
        <v>4291</v>
      </c>
      <c r="I34" t="s">
        <v>327</v>
      </c>
      <c r="J34" t="s">
        <v>2503</v>
      </c>
    </row>
    <row r="35" spans="1:10" x14ac:dyDescent="0.25">
      <c r="A35" t="s">
        <v>4292</v>
      </c>
      <c r="B35" s="3">
        <v>46266</v>
      </c>
      <c r="C35" t="s">
        <v>586</v>
      </c>
      <c r="D35" t="s">
        <v>587</v>
      </c>
      <c r="E35">
        <v>21</v>
      </c>
      <c r="F35" t="s">
        <v>2</v>
      </c>
      <c r="G35" t="s">
        <v>4234</v>
      </c>
      <c r="H35" t="s">
        <v>4293</v>
      </c>
      <c r="I35" t="s">
        <v>166</v>
      </c>
      <c r="J35" t="s">
        <v>2500</v>
      </c>
    </row>
    <row r="36" spans="1:10" x14ac:dyDescent="0.25">
      <c r="A36" t="s">
        <v>4294</v>
      </c>
      <c r="B36" s="3">
        <v>46266</v>
      </c>
      <c r="C36" t="s">
        <v>558</v>
      </c>
      <c r="D36" t="s">
        <v>471</v>
      </c>
      <c r="E36">
        <v>6</v>
      </c>
      <c r="F36" t="s">
        <v>355</v>
      </c>
      <c r="G36" t="s">
        <v>4231</v>
      </c>
      <c r="H36" t="s">
        <v>4295</v>
      </c>
      <c r="I36" t="s">
        <v>246</v>
      </c>
      <c r="J36" t="s">
        <v>2509</v>
      </c>
    </row>
    <row r="37" spans="1:10" x14ac:dyDescent="0.25">
      <c r="A37" t="s">
        <v>4296</v>
      </c>
      <c r="B37" s="3">
        <v>46266</v>
      </c>
      <c r="C37" t="s">
        <v>301</v>
      </c>
      <c r="D37" t="s">
        <v>240</v>
      </c>
      <c r="E37">
        <v>37</v>
      </c>
      <c r="F37" t="s">
        <v>2</v>
      </c>
      <c r="G37" t="s">
        <v>4225</v>
      </c>
      <c r="H37" t="s">
        <v>4297</v>
      </c>
      <c r="I37" t="s">
        <v>259</v>
      </c>
      <c r="J37" t="s">
        <v>2503</v>
      </c>
    </row>
    <row r="38" spans="1:10" x14ac:dyDescent="0.25">
      <c r="A38" t="s">
        <v>4298</v>
      </c>
      <c r="B38" s="3">
        <v>46266</v>
      </c>
      <c r="C38" t="s">
        <v>617</v>
      </c>
      <c r="D38" t="s">
        <v>594</v>
      </c>
      <c r="E38">
        <v>46</v>
      </c>
      <c r="F38" t="s">
        <v>595</v>
      </c>
      <c r="G38" t="s">
        <v>4231</v>
      </c>
      <c r="H38" t="s">
        <v>4299</v>
      </c>
      <c r="I38" t="s">
        <v>259</v>
      </c>
      <c r="J38" t="s">
        <v>2500</v>
      </c>
    </row>
    <row r="39" spans="1:10" x14ac:dyDescent="0.25">
      <c r="A39" t="s">
        <v>4300</v>
      </c>
      <c r="B39" s="3">
        <v>46266</v>
      </c>
      <c r="C39" t="s">
        <v>662</v>
      </c>
      <c r="D39" t="s">
        <v>599</v>
      </c>
      <c r="E39">
        <v>40</v>
      </c>
      <c r="F39" t="s">
        <v>2</v>
      </c>
      <c r="G39" t="s">
        <v>4234</v>
      </c>
      <c r="H39" t="s">
        <v>4301</v>
      </c>
      <c r="I39" t="s">
        <v>83</v>
      </c>
      <c r="J39" t="s">
        <v>2503</v>
      </c>
    </row>
    <row r="40" spans="1:10" x14ac:dyDescent="0.25">
      <c r="A40" t="s">
        <v>4302</v>
      </c>
      <c r="B40" s="3">
        <v>46266</v>
      </c>
      <c r="C40" t="s">
        <v>674</v>
      </c>
      <c r="D40" t="s">
        <v>587</v>
      </c>
      <c r="E40">
        <v>3</v>
      </c>
      <c r="F40" t="s">
        <v>2</v>
      </c>
      <c r="G40" t="s">
        <v>4222</v>
      </c>
      <c r="H40" t="s">
        <v>4303</v>
      </c>
      <c r="I40" t="s">
        <v>75</v>
      </c>
      <c r="J40" t="s">
        <v>2500</v>
      </c>
    </row>
    <row r="41" spans="1:10" x14ac:dyDescent="0.25">
      <c r="A41" t="s">
        <v>4304</v>
      </c>
      <c r="B41" s="3">
        <v>46266</v>
      </c>
      <c r="C41" t="s">
        <v>137</v>
      </c>
      <c r="D41" t="s">
        <v>44</v>
      </c>
      <c r="E41">
        <v>16</v>
      </c>
      <c r="F41" t="s">
        <v>2</v>
      </c>
      <c r="G41" t="s">
        <v>4228</v>
      </c>
      <c r="H41" t="s">
        <v>4305</v>
      </c>
      <c r="I41" t="s">
        <v>38</v>
      </c>
      <c r="J41" t="s">
        <v>2509</v>
      </c>
    </row>
    <row r="42" spans="1:10" x14ac:dyDescent="0.25">
      <c r="A42" t="s">
        <v>4306</v>
      </c>
      <c r="B42" s="3">
        <v>46266</v>
      </c>
      <c r="C42" t="s">
        <v>150</v>
      </c>
      <c r="D42" t="s">
        <v>47</v>
      </c>
      <c r="E42">
        <v>36</v>
      </c>
      <c r="F42" t="s">
        <v>2</v>
      </c>
      <c r="G42" t="s">
        <v>4222</v>
      </c>
      <c r="H42" t="s">
        <v>4307</v>
      </c>
      <c r="I42" t="s">
        <v>71</v>
      </c>
      <c r="J42" t="s">
        <v>2513</v>
      </c>
    </row>
    <row r="43" spans="1:10" x14ac:dyDescent="0.25">
      <c r="A43" t="s">
        <v>4308</v>
      </c>
      <c r="B43" s="3">
        <v>46266</v>
      </c>
      <c r="C43" t="s">
        <v>553</v>
      </c>
      <c r="D43" t="s">
        <v>476</v>
      </c>
      <c r="E43">
        <v>39</v>
      </c>
      <c r="F43" t="s">
        <v>477</v>
      </c>
      <c r="G43" t="s">
        <v>4222</v>
      </c>
      <c r="H43" t="s">
        <v>4309</v>
      </c>
      <c r="I43" t="s">
        <v>324</v>
      </c>
      <c r="J43" t="s">
        <v>2503</v>
      </c>
    </row>
    <row r="44" spans="1:10" x14ac:dyDescent="0.25">
      <c r="A44" t="s">
        <v>4310</v>
      </c>
      <c r="B44" s="3">
        <v>46266</v>
      </c>
      <c r="C44" t="s">
        <v>503</v>
      </c>
      <c r="D44" t="s">
        <v>476</v>
      </c>
      <c r="E44">
        <v>21</v>
      </c>
      <c r="F44" t="s">
        <v>477</v>
      </c>
      <c r="G44" t="s">
        <v>4228</v>
      </c>
      <c r="H44" t="s">
        <v>4311</v>
      </c>
      <c r="I44" t="s">
        <v>259</v>
      </c>
      <c r="J44" t="s">
        <v>2513</v>
      </c>
    </row>
    <row r="45" spans="1:10" x14ac:dyDescent="0.25">
      <c r="A45" t="s">
        <v>4312</v>
      </c>
      <c r="B45" s="3">
        <v>46266</v>
      </c>
      <c r="C45" t="s">
        <v>235</v>
      </c>
      <c r="D45" t="s">
        <v>216</v>
      </c>
      <c r="E45">
        <v>13</v>
      </c>
      <c r="F45" t="s">
        <v>2</v>
      </c>
      <c r="G45" t="s">
        <v>4228</v>
      </c>
      <c r="H45" t="s">
        <v>4313</v>
      </c>
      <c r="I45" t="s">
        <v>38</v>
      </c>
      <c r="J45" t="s">
        <v>2500</v>
      </c>
    </row>
    <row r="46" spans="1:10" x14ac:dyDescent="0.25">
      <c r="A46" t="s">
        <v>4314</v>
      </c>
      <c r="B46" s="3">
        <v>46266</v>
      </c>
      <c r="C46" t="s">
        <v>437</v>
      </c>
      <c r="D46" t="s">
        <v>354</v>
      </c>
      <c r="E46">
        <v>43</v>
      </c>
      <c r="F46" t="s">
        <v>355</v>
      </c>
      <c r="G46" t="s">
        <v>4234</v>
      </c>
      <c r="H46" t="s">
        <v>4315</v>
      </c>
      <c r="I46" t="s">
        <v>289</v>
      </c>
      <c r="J46" t="s">
        <v>2503</v>
      </c>
    </row>
    <row r="47" spans="1:10" x14ac:dyDescent="0.25">
      <c r="A47" t="s">
        <v>4316</v>
      </c>
      <c r="B47" s="3">
        <v>46266</v>
      </c>
      <c r="C47" t="s">
        <v>72</v>
      </c>
      <c r="D47" t="s">
        <v>29</v>
      </c>
      <c r="E47">
        <v>13</v>
      </c>
      <c r="F47" t="s">
        <v>2</v>
      </c>
      <c r="G47" t="s">
        <v>4222</v>
      </c>
      <c r="H47" t="s">
        <v>4317</v>
      </c>
      <c r="I47" t="s">
        <v>73</v>
      </c>
      <c r="J47" t="s">
        <v>2509</v>
      </c>
    </row>
    <row r="48" spans="1:10" x14ac:dyDescent="0.25">
      <c r="A48" t="s">
        <v>4318</v>
      </c>
      <c r="B48" s="3">
        <v>46266</v>
      </c>
      <c r="C48" t="s">
        <v>112</v>
      </c>
      <c r="D48" t="s">
        <v>29</v>
      </c>
      <c r="E48">
        <v>42</v>
      </c>
      <c r="F48" t="s">
        <v>2</v>
      </c>
      <c r="G48" t="s">
        <v>4225</v>
      </c>
      <c r="H48" t="s">
        <v>4319</v>
      </c>
      <c r="I48" t="s">
        <v>113</v>
      </c>
      <c r="J48" t="s">
        <v>2503</v>
      </c>
    </row>
    <row r="49" spans="1:10" x14ac:dyDescent="0.25">
      <c r="A49" t="s">
        <v>4320</v>
      </c>
      <c r="B49" s="3">
        <v>46266</v>
      </c>
      <c r="C49" t="s">
        <v>120</v>
      </c>
      <c r="D49" t="s">
        <v>54</v>
      </c>
      <c r="E49">
        <v>7</v>
      </c>
      <c r="F49" t="s">
        <v>2</v>
      </c>
      <c r="G49" t="s">
        <v>4225</v>
      </c>
      <c r="H49" t="s">
        <v>4321</v>
      </c>
      <c r="I49" t="s">
        <v>121</v>
      </c>
      <c r="J49" t="s">
        <v>2509</v>
      </c>
    </row>
    <row r="50" spans="1:10" x14ac:dyDescent="0.25">
      <c r="A50" t="s">
        <v>4322</v>
      </c>
      <c r="B50" s="3">
        <v>46267</v>
      </c>
      <c r="C50" t="s">
        <v>650</v>
      </c>
      <c r="D50" t="s">
        <v>587</v>
      </c>
      <c r="E50">
        <v>32</v>
      </c>
      <c r="F50" t="s">
        <v>2</v>
      </c>
      <c r="G50" t="s">
        <v>4231</v>
      </c>
      <c r="H50" t="s">
        <v>4323</v>
      </c>
      <c r="I50" t="s">
        <v>289</v>
      </c>
      <c r="J50" t="s">
        <v>2503</v>
      </c>
    </row>
    <row r="51" spans="1:10" x14ac:dyDescent="0.25">
      <c r="A51" t="s">
        <v>4324</v>
      </c>
      <c r="B51" s="3">
        <v>46267</v>
      </c>
      <c r="C51" t="s">
        <v>690</v>
      </c>
      <c r="D51" t="s">
        <v>597</v>
      </c>
      <c r="E51">
        <v>12</v>
      </c>
      <c r="F51" t="s">
        <v>355</v>
      </c>
      <c r="G51" t="s">
        <v>4231</v>
      </c>
      <c r="H51" t="s">
        <v>4325</v>
      </c>
      <c r="I51" t="s">
        <v>52</v>
      </c>
      <c r="J51" t="s">
        <v>2509</v>
      </c>
    </row>
    <row r="52" spans="1:10" x14ac:dyDescent="0.25">
      <c r="A52" t="s">
        <v>4326</v>
      </c>
      <c r="B52" s="3">
        <v>46267</v>
      </c>
      <c r="C52" t="s">
        <v>306</v>
      </c>
      <c r="D52" t="s">
        <v>223</v>
      </c>
      <c r="E52">
        <v>31</v>
      </c>
      <c r="F52" t="s">
        <v>2</v>
      </c>
      <c r="G52" t="s">
        <v>4222</v>
      </c>
      <c r="H52" t="s">
        <v>4327</v>
      </c>
      <c r="I52" t="s">
        <v>274</v>
      </c>
      <c r="J52" t="s">
        <v>2509</v>
      </c>
    </row>
    <row r="53" spans="1:10" x14ac:dyDescent="0.25">
      <c r="A53" t="s">
        <v>4328</v>
      </c>
      <c r="B53" s="3">
        <v>46267</v>
      </c>
      <c r="C53" t="s">
        <v>393</v>
      </c>
      <c r="D53" t="s">
        <v>382</v>
      </c>
      <c r="E53">
        <v>55</v>
      </c>
      <c r="F53" t="s">
        <v>383</v>
      </c>
      <c r="G53" t="s">
        <v>4234</v>
      </c>
      <c r="H53" t="s">
        <v>4329</v>
      </c>
      <c r="I53" t="s">
        <v>219</v>
      </c>
      <c r="J53" t="s">
        <v>2509</v>
      </c>
    </row>
    <row r="54" spans="1:10" x14ac:dyDescent="0.25">
      <c r="A54" t="s">
        <v>4330</v>
      </c>
      <c r="B54" s="3">
        <v>46267</v>
      </c>
      <c r="C54" t="s">
        <v>437</v>
      </c>
      <c r="D54" t="s">
        <v>354</v>
      </c>
      <c r="E54">
        <v>26</v>
      </c>
      <c r="F54" t="s">
        <v>355</v>
      </c>
      <c r="G54" t="s">
        <v>4225</v>
      </c>
      <c r="H54" t="s">
        <v>4331</v>
      </c>
      <c r="I54" t="s">
        <v>289</v>
      </c>
      <c r="J54" t="s">
        <v>2500</v>
      </c>
    </row>
    <row r="55" spans="1:10" x14ac:dyDescent="0.25">
      <c r="A55" t="s">
        <v>4332</v>
      </c>
      <c r="B55" s="3">
        <v>46267</v>
      </c>
      <c r="C55" t="s">
        <v>667</v>
      </c>
      <c r="D55" t="s">
        <v>602</v>
      </c>
      <c r="E55">
        <v>37</v>
      </c>
      <c r="F55" t="s">
        <v>2</v>
      </c>
      <c r="G55" t="s">
        <v>4225</v>
      </c>
      <c r="H55" t="s">
        <v>4333</v>
      </c>
      <c r="I55" t="s">
        <v>201</v>
      </c>
      <c r="J55" t="s">
        <v>2509</v>
      </c>
    </row>
    <row r="56" spans="1:10" x14ac:dyDescent="0.25">
      <c r="A56" t="s">
        <v>4334</v>
      </c>
      <c r="B56" s="3">
        <v>46267</v>
      </c>
      <c r="C56" t="s">
        <v>332</v>
      </c>
      <c r="D56" t="s">
        <v>223</v>
      </c>
      <c r="E56">
        <v>40</v>
      </c>
      <c r="F56" t="s">
        <v>2</v>
      </c>
      <c r="G56" t="s">
        <v>4234</v>
      </c>
      <c r="H56" t="s">
        <v>4335</v>
      </c>
      <c r="I56" t="s">
        <v>279</v>
      </c>
      <c r="J56" t="s">
        <v>2513</v>
      </c>
    </row>
    <row r="57" spans="1:10" x14ac:dyDescent="0.25">
      <c r="A57" t="s">
        <v>4336</v>
      </c>
      <c r="B57" s="3">
        <v>46267</v>
      </c>
      <c r="C57" t="s">
        <v>306</v>
      </c>
      <c r="D57" t="s">
        <v>223</v>
      </c>
      <c r="E57">
        <v>45</v>
      </c>
      <c r="F57" t="s">
        <v>2</v>
      </c>
      <c r="G57" t="s">
        <v>4222</v>
      </c>
      <c r="H57" t="s">
        <v>4337</v>
      </c>
      <c r="I57" t="s">
        <v>274</v>
      </c>
      <c r="J57" t="s">
        <v>2509</v>
      </c>
    </row>
    <row r="58" spans="1:10" x14ac:dyDescent="0.25">
      <c r="A58" t="s">
        <v>4338</v>
      </c>
      <c r="B58" s="3">
        <v>46267</v>
      </c>
      <c r="C58" t="s">
        <v>363</v>
      </c>
      <c r="D58" t="s">
        <v>364</v>
      </c>
      <c r="E58">
        <v>22</v>
      </c>
      <c r="F58" t="s">
        <v>358</v>
      </c>
      <c r="G58" t="s">
        <v>4234</v>
      </c>
      <c r="H58" t="s">
        <v>4339</v>
      </c>
      <c r="I58" t="s">
        <v>57</v>
      </c>
      <c r="J58" t="s">
        <v>2500</v>
      </c>
    </row>
    <row r="59" spans="1:10" x14ac:dyDescent="0.25">
      <c r="A59" t="s">
        <v>4340</v>
      </c>
      <c r="B59" s="3">
        <v>46267</v>
      </c>
      <c r="C59" t="s">
        <v>334</v>
      </c>
      <c r="D59" t="s">
        <v>218</v>
      </c>
      <c r="E59">
        <v>21</v>
      </c>
      <c r="F59" t="s">
        <v>2</v>
      </c>
      <c r="G59" t="s">
        <v>4225</v>
      </c>
      <c r="H59" t="s">
        <v>4341</v>
      </c>
      <c r="I59" t="s">
        <v>181</v>
      </c>
      <c r="J59" t="s">
        <v>2500</v>
      </c>
    </row>
    <row r="60" spans="1:10" x14ac:dyDescent="0.25">
      <c r="A60" t="s">
        <v>4342</v>
      </c>
      <c r="B60" s="3">
        <v>46267</v>
      </c>
      <c r="C60" t="s">
        <v>123</v>
      </c>
      <c r="D60" t="s">
        <v>26</v>
      </c>
      <c r="E60">
        <v>6</v>
      </c>
      <c r="F60" t="s">
        <v>2</v>
      </c>
      <c r="G60" t="s">
        <v>4234</v>
      </c>
      <c r="H60" t="s">
        <v>4343</v>
      </c>
      <c r="I60" t="s">
        <v>124</v>
      </c>
      <c r="J60" t="s">
        <v>2513</v>
      </c>
    </row>
    <row r="61" spans="1:10" x14ac:dyDescent="0.25">
      <c r="A61" t="s">
        <v>4344</v>
      </c>
      <c r="B61" s="3">
        <v>46267</v>
      </c>
      <c r="C61" t="s">
        <v>453</v>
      </c>
      <c r="D61" t="s">
        <v>354</v>
      </c>
      <c r="E61">
        <v>19</v>
      </c>
      <c r="F61" t="s">
        <v>355</v>
      </c>
      <c r="G61" t="s">
        <v>4225</v>
      </c>
      <c r="H61" t="s">
        <v>4345</v>
      </c>
      <c r="I61" t="s">
        <v>124</v>
      </c>
      <c r="J61" t="s">
        <v>2500</v>
      </c>
    </row>
    <row r="62" spans="1:10" x14ac:dyDescent="0.25">
      <c r="A62" t="s">
        <v>4346</v>
      </c>
      <c r="B62" s="3">
        <v>46267</v>
      </c>
      <c r="C62" t="s">
        <v>338</v>
      </c>
      <c r="D62" t="s">
        <v>213</v>
      </c>
      <c r="E62">
        <v>32</v>
      </c>
      <c r="F62" t="s">
        <v>2</v>
      </c>
      <c r="G62" t="s">
        <v>4225</v>
      </c>
      <c r="H62" t="s">
        <v>4347</v>
      </c>
      <c r="I62" t="s">
        <v>34</v>
      </c>
      <c r="J62" t="s">
        <v>2500</v>
      </c>
    </row>
    <row r="63" spans="1:10" x14ac:dyDescent="0.25">
      <c r="A63" t="s">
        <v>4348</v>
      </c>
      <c r="B63" s="3">
        <v>46267</v>
      </c>
      <c r="C63" t="s">
        <v>613</v>
      </c>
      <c r="D63" t="s">
        <v>597</v>
      </c>
      <c r="E63">
        <v>10</v>
      </c>
      <c r="F63" t="s">
        <v>355</v>
      </c>
      <c r="G63" t="s">
        <v>4228</v>
      </c>
      <c r="H63" t="s">
        <v>4349</v>
      </c>
      <c r="I63" t="s">
        <v>221</v>
      </c>
      <c r="J63" t="s">
        <v>2513</v>
      </c>
    </row>
    <row r="64" spans="1:10" x14ac:dyDescent="0.25">
      <c r="A64" t="s">
        <v>4350</v>
      </c>
      <c r="B64" s="3">
        <v>46267</v>
      </c>
      <c r="C64" t="s">
        <v>508</v>
      </c>
      <c r="D64" t="s">
        <v>476</v>
      </c>
      <c r="E64">
        <v>15</v>
      </c>
      <c r="F64" t="s">
        <v>477</v>
      </c>
      <c r="G64" t="s">
        <v>4222</v>
      </c>
      <c r="H64" t="s">
        <v>4351</v>
      </c>
      <c r="I64" t="s">
        <v>89</v>
      </c>
      <c r="J64" t="s">
        <v>2500</v>
      </c>
    </row>
    <row r="65" spans="1:10" x14ac:dyDescent="0.25">
      <c r="A65" t="s">
        <v>4352</v>
      </c>
      <c r="B65" s="3">
        <v>46267</v>
      </c>
      <c r="C65" t="s">
        <v>630</v>
      </c>
      <c r="D65" t="s">
        <v>594</v>
      </c>
      <c r="E65">
        <v>54</v>
      </c>
      <c r="F65" t="s">
        <v>595</v>
      </c>
      <c r="G65" t="s">
        <v>4234</v>
      </c>
      <c r="H65" t="s">
        <v>4353</v>
      </c>
      <c r="I65" t="s">
        <v>312</v>
      </c>
      <c r="J65" t="s">
        <v>2513</v>
      </c>
    </row>
    <row r="66" spans="1:10" x14ac:dyDescent="0.25">
      <c r="A66" t="s">
        <v>4354</v>
      </c>
      <c r="B66" s="3">
        <v>46267</v>
      </c>
      <c r="C66" t="s">
        <v>398</v>
      </c>
      <c r="D66" t="s">
        <v>344</v>
      </c>
      <c r="E66">
        <v>52</v>
      </c>
      <c r="F66" t="s">
        <v>346</v>
      </c>
      <c r="G66" t="s">
        <v>4234</v>
      </c>
      <c r="H66" t="s">
        <v>4355</v>
      </c>
      <c r="I66" t="s">
        <v>108</v>
      </c>
      <c r="J66" t="s">
        <v>2503</v>
      </c>
    </row>
    <row r="67" spans="1:10" x14ac:dyDescent="0.25">
      <c r="A67" t="s">
        <v>4356</v>
      </c>
      <c r="B67" s="3">
        <v>46267</v>
      </c>
      <c r="C67" t="s">
        <v>160</v>
      </c>
      <c r="D67" t="s">
        <v>47</v>
      </c>
      <c r="E67">
        <v>9</v>
      </c>
      <c r="F67" t="s">
        <v>2</v>
      </c>
      <c r="G67" t="s">
        <v>4228</v>
      </c>
      <c r="H67" t="s">
        <v>4357</v>
      </c>
      <c r="I67" t="s">
        <v>161</v>
      </c>
      <c r="J67" t="s">
        <v>2500</v>
      </c>
    </row>
    <row r="68" spans="1:10" x14ac:dyDescent="0.25">
      <c r="A68" t="s">
        <v>4358</v>
      </c>
      <c r="B68" s="3">
        <v>46267</v>
      </c>
      <c r="C68" t="s">
        <v>267</v>
      </c>
      <c r="D68" t="s">
        <v>227</v>
      </c>
      <c r="E68">
        <v>45</v>
      </c>
      <c r="F68" t="s">
        <v>2</v>
      </c>
      <c r="G68" t="s">
        <v>4231</v>
      </c>
      <c r="H68" t="s">
        <v>4359</v>
      </c>
      <c r="I68" t="s">
        <v>183</v>
      </c>
      <c r="J68" t="s">
        <v>2500</v>
      </c>
    </row>
    <row r="69" spans="1:10" x14ac:dyDescent="0.25">
      <c r="A69" t="s">
        <v>4360</v>
      </c>
      <c r="B69" s="3">
        <v>46267</v>
      </c>
      <c r="C69" t="s">
        <v>134</v>
      </c>
      <c r="D69" t="s">
        <v>47</v>
      </c>
      <c r="E69">
        <v>35</v>
      </c>
      <c r="F69" t="s">
        <v>2</v>
      </c>
      <c r="G69" t="s">
        <v>4231</v>
      </c>
      <c r="H69" t="s">
        <v>4361</v>
      </c>
      <c r="I69" t="s">
        <v>38</v>
      </c>
      <c r="J69" t="s">
        <v>2513</v>
      </c>
    </row>
    <row r="70" spans="1:10" x14ac:dyDescent="0.25">
      <c r="A70" t="s">
        <v>4362</v>
      </c>
      <c r="B70" s="3">
        <v>46267</v>
      </c>
      <c r="C70" t="s">
        <v>329</v>
      </c>
      <c r="D70" t="s">
        <v>227</v>
      </c>
      <c r="E70">
        <v>42</v>
      </c>
      <c r="F70" t="s">
        <v>2</v>
      </c>
      <c r="G70" t="s">
        <v>4225</v>
      </c>
      <c r="H70" t="s">
        <v>4363</v>
      </c>
      <c r="I70" t="s">
        <v>330</v>
      </c>
      <c r="J70" t="s">
        <v>2503</v>
      </c>
    </row>
    <row r="71" spans="1:10" x14ac:dyDescent="0.25">
      <c r="A71" t="s">
        <v>4364</v>
      </c>
      <c r="B71" s="3">
        <v>46267</v>
      </c>
      <c r="C71" t="s">
        <v>236</v>
      </c>
      <c r="D71" t="s">
        <v>223</v>
      </c>
      <c r="E71">
        <v>46</v>
      </c>
      <c r="F71" t="s">
        <v>2</v>
      </c>
      <c r="G71" t="s">
        <v>4228</v>
      </c>
      <c r="H71" t="s">
        <v>4365</v>
      </c>
      <c r="I71" t="s">
        <v>34</v>
      </c>
      <c r="J71" t="s">
        <v>2500</v>
      </c>
    </row>
    <row r="72" spans="1:10" x14ac:dyDescent="0.25">
      <c r="A72" t="s">
        <v>4366</v>
      </c>
      <c r="B72" s="3">
        <v>46267</v>
      </c>
      <c r="C72" t="s">
        <v>424</v>
      </c>
      <c r="D72" t="s">
        <v>349</v>
      </c>
      <c r="E72">
        <v>20</v>
      </c>
      <c r="F72" t="s">
        <v>2</v>
      </c>
      <c r="G72" t="s">
        <v>4222</v>
      </c>
      <c r="H72" t="s">
        <v>4367</v>
      </c>
      <c r="I72" t="s">
        <v>152</v>
      </c>
      <c r="J72" t="s">
        <v>2513</v>
      </c>
    </row>
    <row r="73" spans="1:10" x14ac:dyDescent="0.25">
      <c r="A73" t="s">
        <v>4368</v>
      </c>
      <c r="B73" s="3">
        <v>46267</v>
      </c>
      <c r="C73" t="s">
        <v>391</v>
      </c>
      <c r="D73" t="s">
        <v>357</v>
      </c>
      <c r="E73">
        <v>29</v>
      </c>
      <c r="F73" t="s">
        <v>358</v>
      </c>
      <c r="G73" t="s">
        <v>4231</v>
      </c>
      <c r="H73" t="s">
        <v>4369</v>
      </c>
      <c r="I73" t="s">
        <v>221</v>
      </c>
      <c r="J73" t="s">
        <v>2509</v>
      </c>
    </row>
    <row r="74" spans="1:10" x14ac:dyDescent="0.25">
      <c r="A74" t="s">
        <v>4370</v>
      </c>
      <c r="B74" s="3">
        <v>46267</v>
      </c>
      <c r="C74" t="s">
        <v>374</v>
      </c>
      <c r="D74" t="s">
        <v>366</v>
      </c>
      <c r="E74">
        <v>39</v>
      </c>
      <c r="F74" t="s">
        <v>2</v>
      </c>
      <c r="G74" t="s">
        <v>4228</v>
      </c>
      <c r="H74" t="s">
        <v>4371</v>
      </c>
      <c r="I74" t="s">
        <v>161</v>
      </c>
      <c r="J74" t="s">
        <v>2500</v>
      </c>
    </row>
    <row r="75" spans="1:10" x14ac:dyDescent="0.25">
      <c r="A75" t="s">
        <v>4372</v>
      </c>
      <c r="B75" s="3">
        <v>46267</v>
      </c>
      <c r="C75" t="s">
        <v>414</v>
      </c>
      <c r="D75" t="s">
        <v>378</v>
      </c>
      <c r="E75">
        <v>43</v>
      </c>
      <c r="F75" t="s">
        <v>2</v>
      </c>
      <c r="G75" t="s">
        <v>4225</v>
      </c>
      <c r="H75" t="s">
        <v>4373</v>
      </c>
      <c r="I75" t="s">
        <v>147</v>
      </c>
      <c r="J75" t="s">
        <v>2500</v>
      </c>
    </row>
    <row r="76" spans="1:10" x14ac:dyDescent="0.25">
      <c r="A76" t="s">
        <v>4374</v>
      </c>
      <c r="B76" s="3">
        <v>46267</v>
      </c>
      <c r="C76" t="s">
        <v>586</v>
      </c>
      <c r="D76" t="s">
        <v>587</v>
      </c>
      <c r="E76">
        <v>50</v>
      </c>
      <c r="F76" t="s">
        <v>2</v>
      </c>
      <c r="G76" t="s">
        <v>4231</v>
      </c>
      <c r="H76" t="s">
        <v>4375</v>
      </c>
      <c r="I76" t="s">
        <v>166</v>
      </c>
      <c r="J76" t="s">
        <v>2513</v>
      </c>
    </row>
    <row r="77" spans="1:10" x14ac:dyDescent="0.25">
      <c r="A77" t="s">
        <v>4376</v>
      </c>
      <c r="B77" s="3">
        <v>46267</v>
      </c>
      <c r="C77" t="s">
        <v>504</v>
      </c>
      <c r="D77" t="s">
        <v>474</v>
      </c>
      <c r="E77">
        <v>40</v>
      </c>
      <c r="F77" t="s">
        <v>2</v>
      </c>
      <c r="G77" t="s">
        <v>4234</v>
      </c>
      <c r="H77" t="s">
        <v>4377</v>
      </c>
      <c r="I77" t="s">
        <v>274</v>
      </c>
      <c r="J77" t="s">
        <v>2500</v>
      </c>
    </row>
    <row r="78" spans="1:10" x14ac:dyDescent="0.25">
      <c r="A78" t="s">
        <v>4378</v>
      </c>
      <c r="B78" s="3">
        <v>46267</v>
      </c>
      <c r="C78" t="s">
        <v>105</v>
      </c>
      <c r="D78" t="s">
        <v>44</v>
      </c>
      <c r="E78">
        <v>14</v>
      </c>
      <c r="F78" t="s">
        <v>2</v>
      </c>
      <c r="G78" t="s">
        <v>4231</v>
      </c>
      <c r="H78" t="s">
        <v>4379</v>
      </c>
      <c r="I78" t="s">
        <v>106</v>
      </c>
      <c r="J78" t="s">
        <v>2509</v>
      </c>
    </row>
    <row r="79" spans="1:10" x14ac:dyDescent="0.25">
      <c r="A79" t="s">
        <v>4380</v>
      </c>
      <c r="B79" s="3">
        <v>46267</v>
      </c>
      <c r="C79" t="s">
        <v>101</v>
      </c>
      <c r="D79" t="s">
        <v>29</v>
      </c>
      <c r="E79">
        <v>2</v>
      </c>
      <c r="F79" t="s">
        <v>2</v>
      </c>
      <c r="G79" t="s">
        <v>4231</v>
      </c>
      <c r="H79" t="s">
        <v>4381</v>
      </c>
      <c r="I79" t="s">
        <v>102</v>
      </c>
      <c r="J79" t="s">
        <v>2509</v>
      </c>
    </row>
    <row r="80" spans="1:10" x14ac:dyDescent="0.25">
      <c r="A80" t="s">
        <v>4382</v>
      </c>
      <c r="B80" s="3">
        <v>46267</v>
      </c>
      <c r="C80" t="s">
        <v>514</v>
      </c>
      <c r="D80" t="s">
        <v>467</v>
      </c>
      <c r="E80">
        <v>3</v>
      </c>
      <c r="F80" t="s">
        <v>469</v>
      </c>
      <c r="G80" t="s">
        <v>4228</v>
      </c>
      <c r="H80" t="s">
        <v>4383</v>
      </c>
      <c r="I80" t="s">
        <v>310</v>
      </c>
      <c r="J80" t="s">
        <v>2503</v>
      </c>
    </row>
    <row r="81" spans="1:10" x14ac:dyDescent="0.25">
      <c r="A81" t="s">
        <v>4384</v>
      </c>
      <c r="B81" s="3">
        <v>46267</v>
      </c>
      <c r="C81" t="s">
        <v>648</v>
      </c>
      <c r="D81" t="s">
        <v>585</v>
      </c>
      <c r="E81">
        <v>26</v>
      </c>
      <c r="F81" t="s">
        <v>355</v>
      </c>
      <c r="G81" t="s">
        <v>4231</v>
      </c>
      <c r="H81" t="s">
        <v>4385</v>
      </c>
      <c r="I81" t="s">
        <v>203</v>
      </c>
      <c r="J81" t="s">
        <v>2500</v>
      </c>
    </row>
    <row r="82" spans="1:10" x14ac:dyDescent="0.25">
      <c r="A82" t="s">
        <v>4386</v>
      </c>
      <c r="B82" s="3">
        <v>46267</v>
      </c>
      <c r="C82" t="s">
        <v>500</v>
      </c>
      <c r="D82" t="s">
        <v>488</v>
      </c>
      <c r="E82">
        <v>50</v>
      </c>
      <c r="F82" t="s">
        <v>469</v>
      </c>
      <c r="G82" t="s">
        <v>4228</v>
      </c>
      <c r="H82" t="s">
        <v>4387</v>
      </c>
      <c r="I82" t="s">
        <v>27</v>
      </c>
      <c r="J82" t="s">
        <v>2509</v>
      </c>
    </row>
    <row r="83" spans="1:10" x14ac:dyDescent="0.25">
      <c r="A83" t="s">
        <v>4388</v>
      </c>
      <c r="B83" s="3">
        <v>46267</v>
      </c>
      <c r="C83" t="s">
        <v>359</v>
      </c>
      <c r="D83" t="s">
        <v>360</v>
      </c>
      <c r="E83">
        <v>24</v>
      </c>
      <c r="F83" t="s">
        <v>358</v>
      </c>
      <c r="G83" t="s">
        <v>4228</v>
      </c>
      <c r="H83" t="s">
        <v>4389</v>
      </c>
      <c r="I83" t="s">
        <v>361</v>
      </c>
      <c r="J83" t="s">
        <v>2509</v>
      </c>
    </row>
    <row r="84" spans="1:10" x14ac:dyDescent="0.25">
      <c r="A84" t="s">
        <v>4390</v>
      </c>
      <c r="B84" s="3">
        <v>46267</v>
      </c>
      <c r="C84" t="s">
        <v>692</v>
      </c>
      <c r="D84" t="s">
        <v>582</v>
      </c>
      <c r="E84">
        <v>13</v>
      </c>
      <c r="F84" t="s">
        <v>2</v>
      </c>
      <c r="G84" t="s">
        <v>4228</v>
      </c>
      <c r="H84" t="s">
        <v>4391</v>
      </c>
      <c r="I84" t="s">
        <v>181</v>
      </c>
      <c r="J84" t="s">
        <v>2500</v>
      </c>
    </row>
    <row r="85" spans="1:10" x14ac:dyDescent="0.25">
      <c r="A85" t="s">
        <v>4392</v>
      </c>
      <c r="B85" s="3">
        <v>46267</v>
      </c>
      <c r="C85" t="s">
        <v>288</v>
      </c>
      <c r="D85" t="s">
        <v>261</v>
      </c>
      <c r="E85">
        <v>52</v>
      </c>
      <c r="F85" t="s">
        <v>2</v>
      </c>
      <c r="G85" t="s">
        <v>4231</v>
      </c>
      <c r="H85" t="s">
        <v>4393</v>
      </c>
      <c r="I85" t="s">
        <v>289</v>
      </c>
      <c r="J85" t="s">
        <v>2500</v>
      </c>
    </row>
    <row r="86" spans="1:10" x14ac:dyDescent="0.25">
      <c r="A86" t="s">
        <v>4394</v>
      </c>
      <c r="B86" s="3">
        <v>46267</v>
      </c>
      <c r="C86" t="s">
        <v>202</v>
      </c>
      <c r="D86" t="s">
        <v>54</v>
      </c>
      <c r="E86">
        <v>33</v>
      </c>
      <c r="F86" t="s">
        <v>2</v>
      </c>
      <c r="G86" t="s">
        <v>4231</v>
      </c>
      <c r="H86" t="s">
        <v>4395</v>
      </c>
      <c r="I86" t="s">
        <v>203</v>
      </c>
      <c r="J86" t="s">
        <v>2513</v>
      </c>
    </row>
    <row r="87" spans="1:10" x14ac:dyDescent="0.25">
      <c r="A87" t="s">
        <v>4396</v>
      </c>
      <c r="B87" s="3">
        <v>46267</v>
      </c>
      <c r="C87" t="s">
        <v>46</v>
      </c>
      <c r="D87" t="s">
        <v>47</v>
      </c>
      <c r="E87">
        <v>19</v>
      </c>
      <c r="F87" t="s">
        <v>2</v>
      </c>
      <c r="G87" t="s">
        <v>4222</v>
      </c>
      <c r="H87" t="s">
        <v>4397</v>
      </c>
      <c r="I87" t="s">
        <v>50</v>
      </c>
      <c r="J87" t="s">
        <v>2513</v>
      </c>
    </row>
    <row r="88" spans="1:10" x14ac:dyDescent="0.25">
      <c r="A88" t="s">
        <v>4398</v>
      </c>
      <c r="B88" s="3">
        <v>46267</v>
      </c>
      <c r="C88" t="s">
        <v>148</v>
      </c>
      <c r="D88" t="s">
        <v>44</v>
      </c>
      <c r="E88">
        <v>17</v>
      </c>
      <c r="F88" t="s">
        <v>2</v>
      </c>
      <c r="G88" t="s">
        <v>4234</v>
      </c>
      <c r="H88" t="s">
        <v>4399</v>
      </c>
      <c r="I88" t="s">
        <v>149</v>
      </c>
      <c r="J88" t="s">
        <v>2503</v>
      </c>
    </row>
    <row r="89" spans="1:10" x14ac:dyDescent="0.25">
      <c r="A89" t="s">
        <v>4400</v>
      </c>
      <c r="B89" s="3">
        <v>46267</v>
      </c>
      <c r="C89" t="s">
        <v>613</v>
      </c>
      <c r="D89" t="s">
        <v>597</v>
      </c>
      <c r="E89">
        <v>4</v>
      </c>
      <c r="F89" t="s">
        <v>355</v>
      </c>
      <c r="G89" t="s">
        <v>4222</v>
      </c>
      <c r="H89" t="s">
        <v>4401</v>
      </c>
      <c r="I89" t="s">
        <v>221</v>
      </c>
      <c r="J89" t="s">
        <v>2500</v>
      </c>
    </row>
    <row r="90" spans="1:10" x14ac:dyDescent="0.25">
      <c r="A90" t="s">
        <v>4402</v>
      </c>
      <c r="B90" s="3">
        <v>46267</v>
      </c>
      <c r="C90" t="s">
        <v>565</v>
      </c>
      <c r="D90" t="s">
        <v>474</v>
      </c>
      <c r="E90">
        <v>29</v>
      </c>
      <c r="F90" t="s">
        <v>2</v>
      </c>
      <c r="G90" t="s">
        <v>4231</v>
      </c>
      <c r="H90" t="s">
        <v>4403</v>
      </c>
      <c r="I90" t="s">
        <v>45</v>
      </c>
      <c r="J90" t="s">
        <v>2509</v>
      </c>
    </row>
    <row r="91" spans="1:10" x14ac:dyDescent="0.25">
      <c r="A91" t="s">
        <v>4404</v>
      </c>
      <c r="B91" s="3">
        <v>46267</v>
      </c>
      <c r="C91" t="s">
        <v>533</v>
      </c>
      <c r="D91" t="s">
        <v>474</v>
      </c>
      <c r="E91">
        <v>9</v>
      </c>
      <c r="F91" t="s">
        <v>2</v>
      </c>
      <c r="G91" t="s">
        <v>4222</v>
      </c>
      <c r="H91" t="s">
        <v>4405</v>
      </c>
      <c r="I91" t="s">
        <v>59</v>
      </c>
      <c r="J91" t="s">
        <v>2503</v>
      </c>
    </row>
    <row r="92" spans="1:10" x14ac:dyDescent="0.25">
      <c r="A92" t="s">
        <v>4406</v>
      </c>
      <c r="B92" s="3">
        <v>46267</v>
      </c>
      <c r="C92" t="s">
        <v>634</v>
      </c>
      <c r="D92" t="s">
        <v>597</v>
      </c>
      <c r="E92">
        <v>8</v>
      </c>
      <c r="F92" t="s">
        <v>355</v>
      </c>
      <c r="G92" t="s">
        <v>4225</v>
      </c>
      <c r="H92" t="s">
        <v>4407</v>
      </c>
      <c r="I92" t="s">
        <v>265</v>
      </c>
      <c r="J92" t="s">
        <v>2503</v>
      </c>
    </row>
    <row r="93" spans="1:10" x14ac:dyDescent="0.25">
      <c r="A93" t="s">
        <v>4408</v>
      </c>
      <c r="B93" s="3">
        <v>46267</v>
      </c>
      <c r="C93" t="s">
        <v>365</v>
      </c>
      <c r="D93" t="s">
        <v>366</v>
      </c>
      <c r="E93">
        <v>29</v>
      </c>
      <c r="F93" t="s">
        <v>2</v>
      </c>
      <c r="G93" t="s">
        <v>4228</v>
      </c>
      <c r="H93" t="s">
        <v>4409</v>
      </c>
      <c r="I93" t="s">
        <v>126</v>
      </c>
      <c r="J93" t="s">
        <v>2503</v>
      </c>
    </row>
    <row r="94" spans="1:10" x14ac:dyDescent="0.25">
      <c r="A94" t="s">
        <v>4410</v>
      </c>
      <c r="B94" s="3">
        <v>46267</v>
      </c>
      <c r="C94" t="s">
        <v>374</v>
      </c>
      <c r="D94" t="s">
        <v>366</v>
      </c>
      <c r="E94">
        <v>40</v>
      </c>
      <c r="F94" t="s">
        <v>2</v>
      </c>
      <c r="G94" t="s">
        <v>4222</v>
      </c>
      <c r="H94" t="s">
        <v>4411</v>
      </c>
      <c r="I94" t="s">
        <v>161</v>
      </c>
      <c r="J94" t="s">
        <v>2503</v>
      </c>
    </row>
    <row r="95" spans="1:10" x14ac:dyDescent="0.25">
      <c r="A95" t="s">
        <v>4412</v>
      </c>
      <c r="B95" s="3">
        <v>46268</v>
      </c>
      <c r="C95" t="s">
        <v>544</v>
      </c>
      <c r="D95" t="s">
        <v>488</v>
      </c>
      <c r="E95">
        <v>15</v>
      </c>
      <c r="F95" t="s">
        <v>469</v>
      </c>
      <c r="G95" t="s">
        <v>4234</v>
      </c>
      <c r="H95" t="s">
        <v>4413</v>
      </c>
      <c r="I95" t="s">
        <v>219</v>
      </c>
      <c r="J95" t="s">
        <v>2500</v>
      </c>
    </row>
    <row r="96" spans="1:10" x14ac:dyDescent="0.25">
      <c r="A96" t="s">
        <v>4414</v>
      </c>
      <c r="B96" s="3">
        <v>46268</v>
      </c>
      <c r="C96" t="s">
        <v>35</v>
      </c>
      <c r="D96" t="s">
        <v>29</v>
      </c>
      <c r="E96">
        <v>20</v>
      </c>
      <c r="F96" t="s">
        <v>2</v>
      </c>
      <c r="G96" t="s">
        <v>4228</v>
      </c>
      <c r="H96" t="s">
        <v>4415</v>
      </c>
      <c r="I96" t="s">
        <v>38</v>
      </c>
      <c r="J96" t="s">
        <v>2503</v>
      </c>
    </row>
    <row r="97" spans="1:10" x14ac:dyDescent="0.25">
      <c r="A97" t="s">
        <v>4416</v>
      </c>
      <c r="B97" s="3">
        <v>46268</v>
      </c>
      <c r="C97" t="s">
        <v>630</v>
      </c>
      <c r="D97" t="s">
        <v>594</v>
      </c>
      <c r="E97">
        <v>47</v>
      </c>
      <c r="F97" t="s">
        <v>595</v>
      </c>
      <c r="G97" t="s">
        <v>4222</v>
      </c>
      <c r="H97" t="s">
        <v>4417</v>
      </c>
      <c r="I97" t="s">
        <v>312</v>
      </c>
      <c r="J97" t="s">
        <v>2509</v>
      </c>
    </row>
    <row r="98" spans="1:10" x14ac:dyDescent="0.25">
      <c r="A98" t="s">
        <v>4418</v>
      </c>
      <c r="B98" s="3">
        <v>46268</v>
      </c>
      <c r="C98" t="s">
        <v>191</v>
      </c>
      <c r="D98" t="s">
        <v>163</v>
      </c>
      <c r="E98">
        <v>3</v>
      </c>
      <c r="F98" t="s">
        <v>2</v>
      </c>
      <c r="G98" t="s">
        <v>4228</v>
      </c>
      <c r="H98" t="s">
        <v>4419</v>
      </c>
      <c r="I98" t="s">
        <v>95</v>
      </c>
      <c r="J98" t="s">
        <v>2509</v>
      </c>
    </row>
    <row r="99" spans="1:10" x14ac:dyDescent="0.25">
      <c r="A99" t="s">
        <v>4420</v>
      </c>
      <c r="B99" s="3">
        <v>46268</v>
      </c>
      <c r="C99" t="s">
        <v>167</v>
      </c>
      <c r="D99" t="s">
        <v>26</v>
      </c>
      <c r="E99">
        <v>34</v>
      </c>
      <c r="F99" t="s">
        <v>2</v>
      </c>
      <c r="G99" t="s">
        <v>4228</v>
      </c>
      <c r="H99" t="s">
        <v>4421</v>
      </c>
      <c r="I99" t="s">
        <v>64</v>
      </c>
      <c r="J99" t="s">
        <v>2500</v>
      </c>
    </row>
    <row r="100" spans="1:10" x14ac:dyDescent="0.25">
      <c r="A100" t="s">
        <v>4422</v>
      </c>
      <c r="B100" s="3">
        <v>46268</v>
      </c>
      <c r="C100" t="s">
        <v>84</v>
      </c>
      <c r="D100" t="s">
        <v>1</v>
      </c>
      <c r="E100">
        <v>30</v>
      </c>
      <c r="F100" t="s">
        <v>2</v>
      </c>
      <c r="G100" t="s">
        <v>4222</v>
      </c>
      <c r="H100" t="s">
        <v>4423</v>
      </c>
      <c r="I100" t="s">
        <v>87</v>
      </c>
      <c r="J100" t="s">
        <v>2503</v>
      </c>
    </row>
    <row r="101" spans="1:10" x14ac:dyDescent="0.25">
      <c r="A101" t="s">
        <v>4424</v>
      </c>
      <c r="B101" s="3">
        <v>46268</v>
      </c>
      <c r="C101" t="s">
        <v>453</v>
      </c>
      <c r="D101" t="s">
        <v>354</v>
      </c>
      <c r="E101">
        <v>48</v>
      </c>
      <c r="F101" t="s">
        <v>355</v>
      </c>
      <c r="G101" t="s">
        <v>4231</v>
      </c>
      <c r="H101" t="s">
        <v>4425</v>
      </c>
      <c r="I101" t="s">
        <v>124</v>
      </c>
      <c r="J101" t="s">
        <v>2500</v>
      </c>
    </row>
    <row r="102" spans="1:10" x14ac:dyDescent="0.25">
      <c r="A102" t="s">
        <v>4426</v>
      </c>
      <c r="B102" s="3">
        <v>46268</v>
      </c>
      <c r="C102" t="s">
        <v>362</v>
      </c>
      <c r="D102" t="s">
        <v>360</v>
      </c>
      <c r="E102">
        <v>14</v>
      </c>
      <c r="F102" t="s">
        <v>358</v>
      </c>
      <c r="G102" t="s">
        <v>4234</v>
      </c>
      <c r="H102" t="s">
        <v>4427</v>
      </c>
      <c r="I102" t="s">
        <v>42</v>
      </c>
      <c r="J102" t="s">
        <v>2500</v>
      </c>
    </row>
    <row r="103" spans="1:10" x14ac:dyDescent="0.25">
      <c r="A103" t="s">
        <v>4428</v>
      </c>
      <c r="B103" s="3">
        <v>46268</v>
      </c>
      <c r="C103" t="s">
        <v>618</v>
      </c>
      <c r="D103" t="s">
        <v>587</v>
      </c>
      <c r="E103">
        <v>21</v>
      </c>
      <c r="F103" t="s">
        <v>2</v>
      </c>
      <c r="G103" t="s">
        <v>4225</v>
      </c>
      <c r="H103" t="s">
        <v>4429</v>
      </c>
      <c r="I103" t="s">
        <v>79</v>
      </c>
      <c r="J103" t="s">
        <v>2513</v>
      </c>
    </row>
    <row r="104" spans="1:10" x14ac:dyDescent="0.25">
      <c r="A104" t="s">
        <v>4430</v>
      </c>
      <c r="B104" s="3">
        <v>46268</v>
      </c>
      <c r="C104" t="s">
        <v>569</v>
      </c>
      <c r="D104" t="s">
        <v>474</v>
      </c>
      <c r="E104">
        <v>31</v>
      </c>
      <c r="F104" t="s">
        <v>2</v>
      </c>
      <c r="G104" t="s">
        <v>4228</v>
      </c>
      <c r="H104" t="s">
        <v>4431</v>
      </c>
      <c r="I104" t="s">
        <v>161</v>
      </c>
      <c r="J104" t="s">
        <v>2503</v>
      </c>
    </row>
    <row r="105" spans="1:10" x14ac:dyDescent="0.25">
      <c r="A105" t="s">
        <v>4432</v>
      </c>
      <c r="B105" s="3">
        <v>46268</v>
      </c>
      <c r="C105" t="s">
        <v>153</v>
      </c>
      <c r="D105" t="s">
        <v>26</v>
      </c>
      <c r="E105">
        <v>14</v>
      </c>
      <c r="F105" t="s">
        <v>2</v>
      </c>
      <c r="G105" t="s">
        <v>4222</v>
      </c>
      <c r="H105" t="s">
        <v>4433</v>
      </c>
      <c r="I105" t="s">
        <v>93</v>
      </c>
      <c r="J105" t="s">
        <v>2503</v>
      </c>
    </row>
    <row r="106" spans="1:10" x14ac:dyDescent="0.25">
      <c r="A106" t="s">
        <v>4434</v>
      </c>
      <c r="B106" s="3">
        <v>46268</v>
      </c>
      <c r="C106" t="s">
        <v>281</v>
      </c>
      <c r="D106" t="s">
        <v>216</v>
      </c>
      <c r="E106">
        <v>55</v>
      </c>
      <c r="F106" t="s">
        <v>2</v>
      </c>
      <c r="G106" t="s">
        <v>4222</v>
      </c>
      <c r="H106" t="s">
        <v>4435</v>
      </c>
      <c r="I106" t="s">
        <v>166</v>
      </c>
      <c r="J106" t="s">
        <v>2503</v>
      </c>
    </row>
    <row r="107" spans="1:10" x14ac:dyDescent="0.25">
      <c r="A107" t="s">
        <v>4436</v>
      </c>
      <c r="B107" s="3">
        <v>46268</v>
      </c>
      <c r="C107" t="s">
        <v>264</v>
      </c>
      <c r="D107" t="s">
        <v>240</v>
      </c>
      <c r="E107">
        <v>38</v>
      </c>
      <c r="F107" t="s">
        <v>2</v>
      </c>
      <c r="G107" t="s">
        <v>4228</v>
      </c>
      <c r="H107" t="s">
        <v>4437</v>
      </c>
      <c r="I107" t="s">
        <v>265</v>
      </c>
      <c r="J107" t="s">
        <v>2500</v>
      </c>
    </row>
    <row r="108" spans="1:10" x14ac:dyDescent="0.25">
      <c r="A108" t="s">
        <v>4438</v>
      </c>
      <c r="B108" s="3">
        <v>46268</v>
      </c>
      <c r="C108" t="s">
        <v>592</v>
      </c>
      <c r="D108" t="s">
        <v>585</v>
      </c>
      <c r="E108">
        <v>6</v>
      </c>
      <c r="F108" t="s">
        <v>355</v>
      </c>
      <c r="G108" t="s">
        <v>4228</v>
      </c>
      <c r="H108" t="s">
        <v>4439</v>
      </c>
      <c r="I108" t="s">
        <v>287</v>
      </c>
      <c r="J108" t="s">
        <v>2509</v>
      </c>
    </row>
    <row r="109" spans="1:10" x14ac:dyDescent="0.25">
      <c r="A109" t="s">
        <v>4440</v>
      </c>
      <c r="B109" s="3">
        <v>46268</v>
      </c>
      <c r="C109" t="s">
        <v>553</v>
      </c>
      <c r="D109" t="s">
        <v>476</v>
      </c>
      <c r="E109">
        <v>36</v>
      </c>
      <c r="F109" t="s">
        <v>477</v>
      </c>
      <c r="G109" t="s">
        <v>4222</v>
      </c>
      <c r="H109" t="s">
        <v>4441</v>
      </c>
      <c r="I109" t="s">
        <v>324</v>
      </c>
      <c r="J109" t="s">
        <v>2500</v>
      </c>
    </row>
    <row r="110" spans="1:10" x14ac:dyDescent="0.25">
      <c r="A110" t="s">
        <v>4442</v>
      </c>
      <c r="B110" s="3">
        <v>46268</v>
      </c>
      <c r="C110" t="s">
        <v>565</v>
      </c>
      <c r="D110" t="s">
        <v>474</v>
      </c>
      <c r="E110">
        <v>20</v>
      </c>
      <c r="F110" t="s">
        <v>2</v>
      </c>
      <c r="G110" t="s">
        <v>4225</v>
      </c>
      <c r="H110" t="s">
        <v>4443</v>
      </c>
      <c r="I110" t="s">
        <v>45</v>
      </c>
      <c r="J110" t="s">
        <v>2503</v>
      </c>
    </row>
    <row r="111" spans="1:10" x14ac:dyDescent="0.25">
      <c r="A111" t="s">
        <v>4444</v>
      </c>
      <c r="B111" s="3">
        <v>46268</v>
      </c>
      <c r="C111" t="s">
        <v>489</v>
      </c>
      <c r="D111" t="s">
        <v>490</v>
      </c>
      <c r="E111">
        <v>47</v>
      </c>
      <c r="F111" t="s">
        <v>355</v>
      </c>
      <c r="G111" t="s">
        <v>4228</v>
      </c>
      <c r="H111" t="s">
        <v>4445</v>
      </c>
      <c r="I111" t="s">
        <v>183</v>
      </c>
      <c r="J111" t="s">
        <v>2509</v>
      </c>
    </row>
    <row r="112" spans="1:10" x14ac:dyDescent="0.25">
      <c r="A112" t="s">
        <v>4446</v>
      </c>
      <c r="B112" s="3">
        <v>46268</v>
      </c>
      <c r="C112" t="s">
        <v>63</v>
      </c>
      <c r="D112" t="s">
        <v>26</v>
      </c>
      <c r="E112">
        <v>39</v>
      </c>
      <c r="F112" t="s">
        <v>2</v>
      </c>
      <c r="G112" t="s">
        <v>4222</v>
      </c>
      <c r="H112" t="s">
        <v>4447</v>
      </c>
      <c r="I112" t="s">
        <v>64</v>
      </c>
      <c r="J112" t="s">
        <v>2503</v>
      </c>
    </row>
    <row r="113" spans="1:10" x14ac:dyDescent="0.25">
      <c r="A113" t="s">
        <v>4448</v>
      </c>
      <c r="B113" s="3">
        <v>46268</v>
      </c>
      <c r="C113" t="s">
        <v>370</v>
      </c>
      <c r="D113" t="s">
        <v>344</v>
      </c>
      <c r="E113">
        <v>50</v>
      </c>
      <c r="F113" t="s">
        <v>346</v>
      </c>
      <c r="G113" t="s">
        <v>4222</v>
      </c>
      <c r="H113" t="s">
        <v>4449</v>
      </c>
      <c r="I113" t="s">
        <v>24</v>
      </c>
      <c r="J113" t="s">
        <v>2503</v>
      </c>
    </row>
    <row r="114" spans="1:10" x14ac:dyDescent="0.25">
      <c r="A114" t="s">
        <v>4450</v>
      </c>
      <c r="B114" s="3">
        <v>46268</v>
      </c>
      <c r="C114" t="s">
        <v>551</v>
      </c>
      <c r="D114" t="s">
        <v>484</v>
      </c>
      <c r="E114">
        <v>20</v>
      </c>
      <c r="F114" t="s">
        <v>469</v>
      </c>
      <c r="G114" t="s">
        <v>4234</v>
      </c>
      <c r="H114" t="s">
        <v>4327</v>
      </c>
      <c r="I114" t="s">
        <v>230</v>
      </c>
      <c r="J114" t="s">
        <v>2509</v>
      </c>
    </row>
    <row r="115" spans="1:10" x14ac:dyDescent="0.25">
      <c r="A115" t="s">
        <v>4451</v>
      </c>
      <c r="B115" s="3">
        <v>46268</v>
      </c>
      <c r="C115" t="s">
        <v>554</v>
      </c>
      <c r="D115" t="s">
        <v>502</v>
      </c>
      <c r="E115">
        <v>35</v>
      </c>
      <c r="F115" t="s">
        <v>469</v>
      </c>
      <c r="G115" t="s">
        <v>4225</v>
      </c>
      <c r="H115" t="s">
        <v>4452</v>
      </c>
      <c r="I115" t="s">
        <v>265</v>
      </c>
      <c r="J115" t="s">
        <v>2513</v>
      </c>
    </row>
    <row r="116" spans="1:10" x14ac:dyDescent="0.25">
      <c r="A116" t="s">
        <v>4453</v>
      </c>
      <c r="B116" s="3">
        <v>46268</v>
      </c>
      <c r="C116" t="s">
        <v>492</v>
      </c>
      <c r="D116" t="s">
        <v>467</v>
      </c>
      <c r="E116">
        <v>28</v>
      </c>
      <c r="F116" t="s">
        <v>469</v>
      </c>
      <c r="G116" t="s">
        <v>4234</v>
      </c>
      <c r="H116" t="s">
        <v>4454</v>
      </c>
      <c r="I116" t="s">
        <v>102</v>
      </c>
      <c r="J116" t="s">
        <v>2509</v>
      </c>
    </row>
    <row r="117" spans="1:10" x14ac:dyDescent="0.25">
      <c r="A117" t="s">
        <v>4455</v>
      </c>
      <c r="B117" s="3">
        <v>46268</v>
      </c>
      <c r="C117" t="s">
        <v>241</v>
      </c>
      <c r="D117" t="s">
        <v>223</v>
      </c>
      <c r="E117">
        <v>52</v>
      </c>
      <c r="F117" t="s">
        <v>2</v>
      </c>
      <c r="G117" t="s">
        <v>4222</v>
      </c>
      <c r="H117" t="s">
        <v>4456</v>
      </c>
      <c r="I117" t="s">
        <v>242</v>
      </c>
      <c r="J117" t="s">
        <v>2509</v>
      </c>
    </row>
    <row r="118" spans="1:10" x14ac:dyDescent="0.25">
      <c r="A118" t="s">
        <v>4457</v>
      </c>
      <c r="B118" s="3">
        <v>46268</v>
      </c>
      <c r="C118" t="s">
        <v>640</v>
      </c>
      <c r="D118" t="s">
        <v>629</v>
      </c>
      <c r="E118">
        <v>53</v>
      </c>
      <c r="F118" t="s">
        <v>355</v>
      </c>
      <c r="G118" t="s">
        <v>4225</v>
      </c>
      <c r="H118" t="s">
        <v>4458</v>
      </c>
      <c r="I118" t="s">
        <v>79</v>
      </c>
      <c r="J118" t="s">
        <v>2509</v>
      </c>
    </row>
    <row r="119" spans="1:10" x14ac:dyDescent="0.25">
      <c r="A119" t="s">
        <v>4459</v>
      </c>
      <c r="B119" s="3">
        <v>46268</v>
      </c>
      <c r="C119" t="s">
        <v>249</v>
      </c>
      <c r="D119" t="s">
        <v>216</v>
      </c>
      <c r="E119">
        <v>4</v>
      </c>
      <c r="F119" t="s">
        <v>2</v>
      </c>
      <c r="G119" t="s">
        <v>4222</v>
      </c>
      <c r="H119" t="s">
        <v>4460</v>
      </c>
      <c r="I119" t="s">
        <v>250</v>
      </c>
      <c r="J119" t="s">
        <v>2503</v>
      </c>
    </row>
    <row r="120" spans="1:10" x14ac:dyDescent="0.25">
      <c r="A120" t="s">
        <v>4461</v>
      </c>
      <c r="B120" s="3">
        <v>46268</v>
      </c>
      <c r="C120" t="s">
        <v>150</v>
      </c>
      <c r="D120" t="s">
        <v>47</v>
      </c>
      <c r="E120">
        <v>53</v>
      </c>
      <c r="F120" t="s">
        <v>2</v>
      </c>
      <c r="G120" t="s">
        <v>4222</v>
      </c>
      <c r="H120" t="s">
        <v>4462</v>
      </c>
      <c r="I120" t="s">
        <v>71</v>
      </c>
      <c r="J120" t="s">
        <v>2513</v>
      </c>
    </row>
    <row r="121" spans="1:10" x14ac:dyDescent="0.25">
      <c r="A121" t="s">
        <v>4463</v>
      </c>
      <c r="B121" s="3">
        <v>46268</v>
      </c>
      <c r="C121" t="s">
        <v>153</v>
      </c>
      <c r="D121" t="s">
        <v>26</v>
      </c>
      <c r="E121">
        <v>54</v>
      </c>
      <c r="F121" t="s">
        <v>2</v>
      </c>
      <c r="G121" t="s">
        <v>4225</v>
      </c>
      <c r="H121" t="s">
        <v>4464</v>
      </c>
      <c r="I121" t="s">
        <v>93</v>
      </c>
      <c r="J121" t="s">
        <v>2513</v>
      </c>
    </row>
    <row r="122" spans="1:10" x14ac:dyDescent="0.25">
      <c r="A122" t="s">
        <v>4465</v>
      </c>
      <c r="B122" s="3">
        <v>46268</v>
      </c>
      <c r="C122" t="s">
        <v>170</v>
      </c>
      <c r="D122" t="s">
        <v>66</v>
      </c>
      <c r="E122">
        <v>24</v>
      </c>
      <c r="F122" t="s">
        <v>2</v>
      </c>
      <c r="G122" t="s">
        <v>4225</v>
      </c>
      <c r="H122" t="s">
        <v>4466</v>
      </c>
      <c r="I122" t="s">
        <v>171</v>
      </c>
      <c r="J122" t="s">
        <v>2500</v>
      </c>
    </row>
    <row r="123" spans="1:10" x14ac:dyDescent="0.25">
      <c r="A123" t="s">
        <v>4467</v>
      </c>
      <c r="B123" s="3">
        <v>46268</v>
      </c>
      <c r="C123" t="s">
        <v>307</v>
      </c>
      <c r="D123" t="s">
        <v>210</v>
      </c>
      <c r="E123">
        <v>10</v>
      </c>
      <c r="F123" t="s">
        <v>2</v>
      </c>
      <c r="G123" t="s">
        <v>4228</v>
      </c>
      <c r="H123" t="s">
        <v>4468</v>
      </c>
      <c r="I123" t="s">
        <v>57</v>
      </c>
      <c r="J123" t="s">
        <v>2513</v>
      </c>
    </row>
    <row r="124" spans="1:10" x14ac:dyDescent="0.25">
      <c r="A124" t="s">
        <v>4469</v>
      </c>
      <c r="B124" s="3">
        <v>46268</v>
      </c>
      <c r="C124" t="s">
        <v>375</v>
      </c>
      <c r="D124" t="s">
        <v>364</v>
      </c>
      <c r="E124">
        <v>33</v>
      </c>
      <c r="F124" t="s">
        <v>358</v>
      </c>
      <c r="G124" t="s">
        <v>4225</v>
      </c>
      <c r="H124" t="s">
        <v>4470</v>
      </c>
      <c r="I124" t="s">
        <v>110</v>
      </c>
      <c r="J124" t="s">
        <v>2513</v>
      </c>
    </row>
    <row r="125" spans="1:10" x14ac:dyDescent="0.25">
      <c r="A125" t="s">
        <v>4471</v>
      </c>
      <c r="B125" s="3">
        <v>46268</v>
      </c>
      <c r="C125" t="s">
        <v>648</v>
      </c>
      <c r="D125" t="s">
        <v>585</v>
      </c>
      <c r="E125">
        <v>22</v>
      </c>
      <c r="F125" t="s">
        <v>355</v>
      </c>
      <c r="G125" t="s">
        <v>4231</v>
      </c>
      <c r="H125" t="s">
        <v>4472</v>
      </c>
      <c r="I125" t="s">
        <v>203</v>
      </c>
      <c r="J125" t="s">
        <v>2503</v>
      </c>
    </row>
    <row r="126" spans="1:10" x14ac:dyDescent="0.25">
      <c r="A126" t="s">
        <v>4473</v>
      </c>
      <c r="B126" s="3">
        <v>46268</v>
      </c>
      <c r="C126" t="s">
        <v>446</v>
      </c>
      <c r="D126" t="s">
        <v>382</v>
      </c>
      <c r="E126">
        <v>9</v>
      </c>
      <c r="F126" t="s">
        <v>383</v>
      </c>
      <c r="G126" t="s">
        <v>4231</v>
      </c>
      <c r="H126" t="s">
        <v>4474</v>
      </c>
      <c r="I126" t="s">
        <v>183</v>
      </c>
      <c r="J126" t="s">
        <v>2500</v>
      </c>
    </row>
    <row r="127" spans="1:10" x14ac:dyDescent="0.25">
      <c r="A127" t="s">
        <v>4475</v>
      </c>
      <c r="B127" s="3">
        <v>46268</v>
      </c>
      <c r="C127" t="s">
        <v>625</v>
      </c>
      <c r="D127" t="s">
        <v>594</v>
      </c>
      <c r="E127">
        <v>25</v>
      </c>
      <c r="F127" t="s">
        <v>595</v>
      </c>
      <c r="G127" t="s">
        <v>4228</v>
      </c>
      <c r="H127" t="s">
        <v>4476</v>
      </c>
      <c r="I127" t="s">
        <v>19</v>
      </c>
      <c r="J127" t="s">
        <v>2513</v>
      </c>
    </row>
    <row r="128" spans="1:10" x14ac:dyDescent="0.25">
      <c r="A128" t="s">
        <v>4477</v>
      </c>
      <c r="B128" s="3">
        <v>46269</v>
      </c>
      <c r="C128" t="s">
        <v>362</v>
      </c>
      <c r="D128" t="s">
        <v>360</v>
      </c>
      <c r="E128">
        <v>10</v>
      </c>
      <c r="F128" t="s">
        <v>358</v>
      </c>
      <c r="G128" t="s">
        <v>4234</v>
      </c>
      <c r="H128" t="s">
        <v>4478</v>
      </c>
      <c r="I128" t="s">
        <v>42</v>
      </c>
      <c r="J128" t="s">
        <v>2503</v>
      </c>
    </row>
    <row r="129" spans="1:10" x14ac:dyDescent="0.25">
      <c r="A129" t="s">
        <v>4479</v>
      </c>
      <c r="B129" s="3">
        <v>46269</v>
      </c>
      <c r="C129" t="s">
        <v>437</v>
      </c>
      <c r="D129" t="s">
        <v>354</v>
      </c>
      <c r="E129">
        <v>21</v>
      </c>
      <c r="F129" t="s">
        <v>355</v>
      </c>
      <c r="G129" t="s">
        <v>4222</v>
      </c>
      <c r="H129" t="s">
        <v>4480</v>
      </c>
      <c r="I129" t="s">
        <v>289</v>
      </c>
      <c r="J129" t="s">
        <v>2509</v>
      </c>
    </row>
    <row r="130" spans="1:10" x14ac:dyDescent="0.25">
      <c r="A130" t="s">
        <v>4481</v>
      </c>
      <c r="B130" s="3">
        <v>46269</v>
      </c>
      <c r="C130" t="s">
        <v>362</v>
      </c>
      <c r="D130" t="s">
        <v>360</v>
      </c>
      <c r="E130">
        <v>49</v>
      </c>
      <c r="F130" t="s">
        <v>358</v>
      </c>
      <c r="G130" t="s">
        <v>4225</v>
      </c>
      <c r="H130" t="s">
        <v>4482</v>
      </c>
      <c r="I130" t="s">
        <v>42</v>
      </c>
      <c r="J130" t="s">
        <v>2503</v>
      </c>
    </row>
    <row r="131" spans="1:10" x14ac:dyDescent="0.25">
      <c r="A131" t="s">
        <v>4483</v>
      </c>
      <c r="B131" s="3">
        <v>46269</v>
      </c>
      <c r="C131" t="s">
        <v>84</v>
      </c>
      <c r="D131" t="s">
        <v>1</v>
      </c>
      <c r="E131">
        <v>26</v>
      </c>
      <c r="F131" t="s">
        <v>2</v>
      </c>
      <c r="G131" t="s">
        <v>4231</v>
      </c>
      <c r="H131" t="s">
        <v>4484</v>
      </c>
      <c r="I131" t="s">
        <v>87</v>
      </c>
      <c r="J131" t="s">
        <v>2513</v>
      </c>
    </row>
    <row r="132" spans="1:10" x14ac:dyDescent="0.25">
      <c r="A132" t="s">
        <v>4485</v>
      </c>
      <c r="B132" s="3">
        <v>46269</v>
      </c>
      <c r="C132" t="s">
        <v>666</v>
      </c>
      <c r="D132" t="s">
        <v>599</v>
      </c>
      <c r="E132">
        <v>1</v>
      </c>
      <c r="F132" t="s">
        <v>2</v>
      </c>
      <c r="G132" t="s">
        <v>4225</v>
      </c>
      <c r="H132" t="s">
        <v>4486</v>
      </c>
      <c r="I132" t="s">
        <v>455</v>
      </c>
      <c r="J132" t="s">
        <v>2513</v>
      </c>
    </row>
    <row r="133" spans="1:10" x14ac:dyDescent="0.25">
      <c r="A133" t="s">
        <v>4487</v>
      </c>
      <c r="B133" s="3">
        <v>46269</v>
      </c>
      <c r="C133" t="s">
        <v>375</v>
      </c>
      <c r="D133" t="s">
        <v>364</v>
      </c>
      <c r="E133">
        <v>53</v>
      </c>
      <c r="F133" t="s">
        <v>358</v>
      </c>
      <c r="G133" t="s">
        <v>4231</v>
      </c>
      <c r="H133" t="s">
        <v>4488</v>
      </c>
      <c r="I133" t="s">
        <v>110</v>
      </c>
      <c r="J133" t="s">
        <v>2503</v>
      </c>
    </row>
    <row r="134" spans="1:10" x14ac:dyDescent="0.25">
      <c r="A134" t="s">
        <v>4489</v>
      </c>
      <c r="B134" s="3">
        <v>46269</v>
      </c>
      <c r="C134" t="s">
        <v>313</v>
      </c>
      <c r="D134" t="s">
        <v>225</v>
      </c>
      <c r="E134">
        <v>37</v>
      </c>
      <c r="F134" t="s">
        <v>2</v>
      </c>
      <c r="G134" t="s">
        <v>4231</v>
      </c>
      <c r="H134" t="s">
        <v>4490</v>
      </c>
      <c r="I134" t="s">
        <v>314</v>
      </c>
      <c r="J134" t="s">
        <v>2509</v>
      </c>
    </row>
    <row r="135" spans="1:10" x14ac:dyDescent="0.25">
      <c r="A135" t="s">
        <v>4491</v>
      </c>
      <c r="B135" s="3">
        <v>46269</v>
      </c>
      <c r="C135" t="s">
        <v>322</v>
      </c>
      <c r="D135" t="s">
        <v>227</v>
      </c>
      <c r="E135">
        <v>53</v>
      </c>
      <c r="F135" t="s">
        <v>2</v>
      </c>
      <c r="G135" t="s">
        <v>4225</v>
      </c>
      <c r="H135" t="s">
        <v>4492</v>
      </c>
      <c r="I135" t="s">
        <v>95</v>
      </c>
      <c r="J135" t="s">
        <v>2513</v>
      </c>
    </row>
    <row r="136" spans="1:10" x14ac:dyDescent="0.25">
      <c r="A136" t="s">
        <v>4493</v>
      </c>
      <c r="B136" s="3">
        <v>46269</v>
      </c>
      <c r="C136" t="s">
        <v>392</v>
      </c>
      <c r="D136" t="s">
        <v>349</v>
      </c>
      <c r="E136">
        <v>53</v>
      </c>
      <c r="F136" t="s">
        <v>2</v>
      </c>
      <c r="G136" t="s">
        <v>4225</v>
      </c>
      <c r="H136" t="s">
        <v>4494</v>
      </c>
      <c r="I136" t="s">
        <v>24</v>
      </c>
      <c r="J136" t="s">
        <v>2500</v>
      </c>
    </row>
    <row r="137" spans="1:10" x14ac:dyDescent="0.25">
      <c r="A137" t="s">
        <v>4495</v>
      </c>
      <c r="B137" s="3">
        <v>46269</v>
      </c>
      <c r="C137" t="s">
        <v>151</v>
      </c>
      <c r="D137" t="s">
        <v>44</v>
      </c>
      <c r="E137">
        <v>21</v>
      </c>
      <c r="F137" t="s">
        <v>2</v>
      </c>
      <c r="G137" t="s">
        <v>4231</v>
      </c>
      <c r="H137" t="s">
        <v>4496</v>
      </c>
      <c r="I137" t="s">
        <v>152</v>
      </c>
      <c r="J137" t="s">
        <v>2503</v>
      </c>
    </row>
    <row r="138" spans="1:10" x14ac:dyDescent="0.25">
      <c r="A138" t="s">
        <v>4497</v>
      </c>
      <c r="B138" s="3">
        <v>46269</v>
      </c>
      <c r="C138" t="s">
        <v>407</v>
      </c>
      <c r="D138" t="s">
        <v>344</v>
      </c>
      <c r="E138">
        <v>28</v>
      </c>
      <c r="F138" t="s">
        <v>346</v>
      </c>
      <c r="G138" t="s">
        <v>4222</v>
      </c>
      <c r="H138" t="s">
        <v>4498</v>
      </c>
      <c r="I138" t="s">
        <v>30</v>
      </c>
      <c r="J138" t="s">
        <v>2513</v>
      </c>
    </row>
    <row r="139" spans="1:10" x14ac:dyDescent="0.25">
      <c r="A139" t="s">
        <v>4499</v>
      </c>
      <c r="B139" s="3">
        <v>46269</v>
      </c>
      <c r="C139" t="s">
        <v>141</v>
      </c>
      <c r="D139" t="s">
        <v>66</v>
      </c>
      <c r="E139">
        <v>35</v>
      </c>
      <c r="F139" t="s">
        <v>2</v>
      </c>
      <c r="G139" t="s">
        <v>4231</v>
      </c>
      <c r="H139" t="s">
        <v>4500</v>
      </c>
      <c r="I139" t="s">
        <v>142</v>
      </c>
      <c r="J139" t="s">
        <v>2509</v>
      </c>
    </row>
    <row r="140" spans="1:10" x14ac:dyDescent="0.25">
      <c r="A140" t="s">
        <v>4501</v>
      </c>
      <c r="B140" s="3">
        <v>46269</v>
      </c>
      <c r="C140" t="s">
        <v>442</v>
      </c>
      <c r="D140" t="s">
        <v>382</v>
      </c>
      <c r="E140">
        <v>39</v>
      </c>
      <c r="F140" t="s">
        <v>383</v>
      </c>
      <c r="G140" t="s">
        <v>4234</v>
      </c>
      <c r="H140" t="s">
        <v>4502</v>
      </c>
      <c r="I140" t="s">
        <v>203</v>
      </c>
      <c r="J140" t="s">
        <v>2500</v>
      </c>
    </row>
    <row r="141" spans="1:10" x14ac:dyDescent="0.25">
      <c r="A141" t="s">
        <v>4503</v>
      </c>
      <c r="B141" s="3">
        <v>46269</v>
      </c>
      <c r="C141" t="s">
        <v>224</v>
      </c>
      <c r="D141" t="s">
        <v>225</v>
      </c>
      <c r="E141">
        <v>46</v>
      </c>
      <c r="F141" t="s">
        <v>2</v>
      </c>
      <c r="G141" t="s">
        <v>4222</v>
      </c>
      <c r="H141" t="s">
        <v>4504</v>
      </c>
      <c r="I141" t="s">
        <v>106</v>
      </c>
      <c r="J141" t="s">
        <v>2503</v>
      </c>
    </row>
    <row r="142" spans="1:10" x14ac:dyDescent="0.25">
      <c r="A142" t="s">
        <v>4505</v>
      </c>
      <c r="B142" s="3">
        <v>46269</v>
      </c>
      <c r="C142" t="s">
        <v>518</v>
      </c>
      <c r="D142" t="s">
        <v>467</v>
      </c>
      <c r="E142">
        <v>24</v>
      </c>
      <c r="F142" t="s">
        <v>469</v>
      </c>
      <c r="G142" t="s">
        <v>4228</v>
      </c>
      <c r="H142" t="s">
        <v>4506</v>
      </c>
      <c r="I142" t="s">
        <v>98</v>
      </c>
      <c r="J142" t="s">
        <v>2509</v>
      </c>
    </row>
    <row r="143" spans="1:10" x14ac:dyDescent="0.25">
      <c r="A143" t="s">
        <v>4507</v>
      </c>
      <c r="B143" s="3">
        <v>46269</v>
      </c>
      <c r="C143" t="s">
        <v>449</v>
      </c>
      <c r="D143" t="s">
        <v>378</v>
      </c>
      <c r="E143">
        <v>44</v>
      </c>
      <c r="F143" t="s">
        <v>2</v>
      </c>
      <c r="G143" t="s">
        <v>4228</v>
      </c>
      <c r="H143" t="s">
        <v>4508</v>
      </c>
      <c r="I143" t="s">
        <v>77</v>
      </c>
      <c r="J143" t="s">
        <v>2513</v>
      </c>
    </row>
    <row r="144" spans="1:10" x14ac:dyDescent="0.25">
      <c r="A144" t="s">
        <v>4509</v>
      </c>
      <c r="B144" s="3">
        <v>46269</v>
      </c>
      <c r="C144" t="s">
        <v>486</v>
      </c>
      <c r="D144" t="s">
        <v>479</v>
      </c>
      <c r="E144">
        <v>33</v>
      </c>
      <c r="F144" t="s">
        <v>469</v>
      </c>
      <c r="G144" t="s">
        <v>4228</v>
      </c>
      <c r="H144" t="s">
        <v>4510</v>
      </c>
      <c r="I144" t="s">
        <v>52</v>
      </c>
      <c r="J144" t="s">
        <v>2503</v>
      </c>
    </row>
    <row r="145" spans="1:10" x14ac:dyDescent="0.25">
      <c r="A145" t="s">
        <v>4511</v>
      </c>
      <c r="B145" s="3">
        <v>46269</v>
      </c>
      <c r="C145" t="s">
        <v>388</v>
      </c>
      <c r="D145" t="s">
        <v>351</v>
      </c>
      <c r="E145">
        <v>21</v>
      </c>
      <c r="F145" t="s">
        <v>2</v>
      </c>
      <c r="G145" t="s">
        <v>4225</v>
      </c>
      <c r="H145" t="s">
        <v>4512</v>
      </c>
      <c r="I145" t="s">
        <v>147</v>
      </c>
      <c r="J145" t="s">
        <v>2513</v>
      </c>
    </row>
    <row r="146" spans="1:10" x14ac:dyDescent="0.25">
      <c r="A146" t="s">
        <v>4513</v>
      </c>
      <c r="B146" s="3">
        <v>46269</v>
      </c>
      <c r="C146" t="s">
        <v>495</v>
      </c>
      <c r="D146" t="s">
        <v>467</v>
      </c>
      <c r="E146">
        <v>37</v>
      </c>
      <c r="F146" t="s">
        <v>469</v>
      </c>
      <c r="G146" t="s">
        <v>4234</v>
      </c>
      <c r="H146" t="s">
        <v>4514</v>
      </c>
      <c r="I146" t="s">
        <v>368</v>
      </c>
      <c r="J146" t="s">
        <v>2509</v>
      </c>
    </row>
    <row r="147" spans="1:10" x14ac:dyDescent="0.25">
      <c r="A147" t="s">
        <v>4515</v>
      </c>
      <c r="B147" s="3">
        <v>46269</v>
      </c>
      <c r="C147" t="s">
        <v>276</v>
      </c>
      <c r="D147" t="s">
        <v>225</v>
      </c>
      <c r="E147">
        <v>32</v>
      </c>
      <c r="F147" t="s">
        <v>2</v>
      </c>
      <c r="G147" t="s">
        <v>4225</v>
      </c>
      <c r="H147" t="s">
        <v>4516</v>
      </c>
      <c r="I147" t="s">
        <v>38</v>
      </c>
      <c r="J147" t="s">
        <v>2513</v>
      </c>
    </row>
    <row r="148" spans="1:10" x14ac:dyDescent="0.25">
      <c r="A148" t="s">
        <v>4517</v>
      </c>
      <c r="B148" s="3">
        <v>46269</v>
      </c>
      <c r="C148" t="s">
        <v>588</v>
      </c>
      <c r="D148" t="s">
        <v>589</v>
      </c>
      <c r="E148">
        <v>6</v>
      </c>
      <c r="F148" t="s">
        <v>469</v>
      </c>
      <c r="G148" t="s">
        <v>4228</v>
      </c>
      <c r="H148" t="s">
        <v>4518</v>
      </c>
      <c r="I148" t="s">
        <v>19</v>
      </c>
      <c r="J148" t="s">
        <v>2503</v>
      </c>
    </row>
    <row r="149" spans="1:10" x14ac:dyDescent="0.25">
      <c r="A149" t="s">
        <v>4519</v>
      </c>
      <c r="B149" s="3">
        <v>46269</v>
      </c>
      <c r="C149" t="s">
        <v>380</v>
      </c>
      <c r="D149" t="s">
        <v>344</v>
      </c>
      <c r="E149">
        <v>30</v>
      </c>
      <c r="F149" t="s">
        <v>346</v>
      </c>
      <c r="G149" t="s">
        <v>4228</v>
      </c>
      <c r="H149" t="s">
        <v>4520</v>
      </c>
      <c r="I149" t="s">
        <v>129</v>
      </c>
      <c r="J149" t="s">
        <v>2500</v>
      </c>
    </row>
    <row r="150" spans="1:10" x14ac:dyDescent="0.25">
      <c r="A150" t="s">
        <v>4521</v>
      </c>
      <c r="B150" s="3">
        <v>46269</v>
      </c>
      <c r="C150" t="s">
        <v>400</v>
      </c>
      <c r="D150" t="s">
        <v>349</v>
      </c>
      <c r="E150">
        <v>33</v>
      </c>
      <c r="F150" t="s">
        <v>2</v>
      </c>
      <c r="G150" t="s">
        <v>4225</v>
      </c>
      <c r="H150" t="s">
        <v>4522</v>
      </c>
      <c r="I150" t="s">
        <v>171</v>
      </c>
      <c r="J150" t="s">
        <v>2513</v>
      </c>
    </row>
    <row r="151" spans="1:10" x14ac:dyDescent="0.25">
      <c r="A151" t="s">
        <v>4523</v>
      </c>
      <c r="B151" s="3">
        <v>46269</v>
      </c>
      <c r="C151" t="s">
        <v>596</v>
      </c>
      <c r="D151" t="s">
        <v>597</v>
      </c>
      <c r="E151">
        <v>54</v>
      </c>
      <c r="F151" t="s">
        <v>355</v>
      </c>
      <c r="G151" t="s">
        <v>4231</v>
      </c>
      <c r="H151" t="s">
        <v>4524</v>
      </c>
      <c r="I151" t="s">
        <v>142</v>
      </c>
      <c r="J151" t="s">
        <v>2503</v>
      </c>
    </row>
    <row r="152" spans="1:10" x14ac:dyDescent="0.25">
      <c r="A152" t="s">
        <v>4525</v>
      </c>
      <c r="B152" s="3">
        <v>46269</v>
      </c>
      <c r="C152" t="s">
        <v>665</v>
      </c>
      <c r="D152" t="s">
        <v>589</v>
      </c>
      <c r="E152">
        <v>11</v>
      </c>
      <c r="F152" t="s">
        <v>469</v>
      </c>
      <c r="G152" t="s">
        <v>4231</v>
      </c>
      <c r="H152" t="s">
        <v>4526</v>
      </c>
      <c r="I152" t="s">
        <v>274</v>
      </c>
      <c r="J152" t="s">
        <v>2503</v>
      </c>
    </row>
    <row r="153" spans="1:10" x14ac:dyDescent="0.25">
      <c r="A153" t="s">
        <v>4527</v>
      </c>
      <c r="B153" s="3">
        <v>46269</v>
      </c>
      <c r="C153" t="s">
        <v>555</v>
      </c>
      <c r="D153" t="s">
        <v>502</v>
      </c>
      <c r="E153">
        <v>48</v>
      </c>
      <c r="F153" t="s">
        <v>469</v>
      </c>
      <c r="G153" t="s">
        <v>4234</v>
      </c>
      <c r="H153" t="s">
        <v>4528</v>
      </c>
      <c r="I153" t="s">
        <v>124</v>
      </c>
      <c r="J153" t="s">
        <v>2503</v>
      </c>
    </row>
    <row r="154" spans="1:10" x14ac:dyDescent="0.25">
      <c r="A154" t="s">
        <v>4529</v>
      </c>
      <c r="B154" s="3">
        <v>46269</v>
      </c>
      <c r="C154" t="s">
        <v>575</v>
      </c>
      <c r="D154" t="s">
        <v>467</v>
      </c>
      <c r="E154">
        <v>20</v>
      </c>
      <c r="F154" t="s">
        <v>469</v>
      </c>
      <c r="G154" t="s">
        <v>4225</v>
      </c>
      <c r="H154" t="s">
        <v>4530</v>
      </c>
      <c r="I154" t="s">
        <v>108</v>
      </c>
      <c r="J154" t="s">
        <v>2500</v>
      </c>
    </row>
    <row r="155" spans="1:10" x14ac:dyDescent="0.25">
      <c r="A155" t="s">
        <v>4531</v>
      </c>
      <c r="B155" s="3">
        <v>46269</v>
      </c>
      <c r="C155" t="s">
        <v>235</v>
      </c>
      <c r="D155" t="s">
        <v>216</v>
      </c>
      <c r="E155">
        <v>38</v>
      </c>
      <c r="F155" t="s">
        <v>2</v>
      </c>
      <c r="G155" t="s">
        <v>4228</v>
      </c>
      <c r="H155" t="s">
        <v>4532</v>
      </c>
      <c r="I155" t="s">
        <v>38</v>
      </c>
      <c r="J155" t="s">
        <v>2509</v>
      </c>
    </row>
    <row r="156" spans="1:10" x14ac:dyDescent="0.25">
      <c r="A156" t="s">
        <v>4533</v>
      </c>
      <c r="B156" s="3">
        <v>46269</v>
      </c>
      <c r="C156" t="s">
        <v>239</v>
      </c>
      <c r="D156" t="s">
        <v>240</v>
      </c>
      <c r="E156">
        <v>39</v>
      </c>
      <c r="F156" t="s">
        <v>2</v>
      </c>
      <c r="G156" t="s">
        <v>4231</v>
      </c>
      <c r="H156" t="s">
        <v>4534</v>
      </c>
      <c r="I156" t="s">
        <v>100</v>
      </c>
      <c r="J156" t="s">
        <v>2500</v>
      </c>
    </row>
    <row r="157" spans="1:10" x14ac:dyDescent="0.25">
      <c r="A157" t="s">
        <v>4535</v>
      </c>
      <c r="B157" s="3">
        <v>46269</v>
      </c>
      <c r="C157" t="s">
        <v>31</v>
      </c>
      <c r="D157" t="s">
        <v>29</v>
      </c>
      <c r="E157">
        <v>22</v>
      </c>
      <c r="F157" t="s">
        <v>2</v>
      </c>
      <c r="G157" t="s">
        <v>4222</v>
      </c>
      <c r="H157" t="s">
        <v>4536</v>
      </c>
      <c r="I157" t="s">
        <v>34</v>
      </c>
      <c r="J157" t="s">
        <v>2503</v>
      </c>
    </row>
    <row r="158" spans="1:10" x14ac:dyDescent="0.25">
      <c r="A158" t="s">
        <v>4537</v>
      </c>
      <c r="B158" s="3">
        <v>46269</v>
      </c>
      <c r="C158" t="s">
        <v>269</v>
      </c>
      <c r="D158" t="s">
        <v>210</v>
      </c>
      <c r="E158">
        <v>30</v>
      </c>
      <c r="F158" t="s">
        <v>2</v>
      </c>
      <c r="G158" t="s">
        <v>4234</v>
      </c>
      <c r="H158" t="s">
        <v>4538</v>
      </c>
      <c r="I158" t="s">
        <v>117</v>
      </c>
      <c r="J158" t="s">
        <v>2513</v>
      </c>
    </row>
    <row r="159" spans="1:10" x14ac:dyDescent="0.25">
      <c r="A159" t="s">
        <v>4539</v>
      </c>
      <c r="B159" s="3">
        <v>46269</v>
      </c>
      <c r="C159" t="s">
        <v>690</v>
      </c>
      <c r="D159" t="s">
        <v>597</v>
      </c>
      <c r="E159">
        <v>29</v>
      </c>
      <c r="F159" t="s">
        <v>355</v>
      </c>
      <c r="G159" t="s">
        <v>4231</v>
      </c>
      <c r="H159" t="s">
        <v>4540</v>
      </c>
      <c r="I159" t="s">
        <v>52</v>
      </c>
      <c r="J159" t="s">
        <v>2513</v>
      </c>
    </row>
    <row r="160" spans="1:10" x14ac:dyDescent="0.25">
      <c r="A160" t="s">
        <v>4541</v>
      </c>
      <c r="B160" s="3">
        <v>46269</v>
      </c>
      <c r="C160" t="s">
        <v>494</v>
      </c>
      <c r="D160" t="s">
        <v>471</v>
      </c>
      <c r="E160">
        <v>35</v>
      </c>
      <c r="F160" t="s">
        <v>355</v>
      </c>
      <c r="G160" t="s">
        <v>4222</v>
      </c>
      <c r="H160" t="s">
        <v>4542</v>
      </c>
      <c r="I160" t="s">
        <v>181</v>
      </c>
      <c r="J160" t="s">
        <v>2503</v>
      </c>
    </row>
    <row r="161" spans="1:10" x14ac:dyDescent="0.25">
      <c r="A161" t="s">
        <v>4543</v>
      </c>
      <c r="B161" s="3">
        <v>46269</v>
      </c>
      <c r="C161" t="s">
        <v>156</v>
      </c>
      <c r="D161" t="s">
        <v>15</v>
      </c>
      <c r="E161">
        <v>45</v>
      </c>
      <c r="F161" t="s">
        <v>2</v>
      </c>
      <c r="G161" t="s">
        <v>4234</v>
      </c>
      <c r="H161" t="s">
        <v>4544</v>
      </c>
      <c r="I161" t="s">
        <v>98</v>
      </c>
      <c r="J161" t="s">
        <v>2509</v>
      </c>
    </row>
    <row r="162" spans="1:10" x14ac:dyDescent="0.25">
      <c r="A162" t="s">
        <v>4545</v>
      </c>
      <c r="B162" s="3">
        <v>46269</v>
      </c>
      <c r="C162" t="s">
        <v>501</v>
      </c>
      <c r="D162" t="s">
        <v>502</v>
      </c>
      <c r="E162">
        <v>51</v>
      </c>
      <c r="F162" t="s">
        <v>469</v>
      </c>
      <c r="G162" t="s">
        <v>4234</v>
      </c>
      <c r="H162" t="s">
        <v>4546</v>
      </c>
      <c r="I162" t="s">
        <v>292</v>
      </c>
      <c r="J162" t="s">
        <v>2500</v>
      </c>
    </row>
    <row r="163" spans="1:10" x14ac:dyDescent="0.25">
      <c r="A163" t="s">
        <v>4547</v>
      </c>
      <c r="B163" s="3">
        <v>46269</v>
      </c>
      <c r="C163" t="s">
        <v>639</v>
      </c>
      <c r="D163" t="s">
        <v>585</v>
      </c>
      <c r="E163">
        <v>1</v>
      </c>
      <c r="F163" t="s">
        <v>355</v>
      </c>
      <c r="G163" t="s">
        <v>4234</v>
      </c>
      <c r="H163" t="s">
        <v>4548</v>
      </c>
      <c r="I163" t="s">
        <v>64</v>
      </c>
      <c r="J163" t="s">
        <v>2500</v>
      </c>
    </row>
    <row r="164" spans="1:10" x14ac:dyDescent="0.25">
      <c r="A164" t="s">
        <v>4549</v>
      </c>
      <c r="B164" s="3">
        <v>46269</v>
      </c>
      <c r="C164" t="s">
        <v>657</v>
      </c>
      <c r="D164" t="s">
        <v>585</v>
      </c>
      <c r="E164">
        <v>36</v>
      </c>
      <c r="F164" t="s">
        <v>355</v>
      </c>
      <c r="G164" t="s">
        <v>4225</v>
      </c>
      <c r="H164" t="s">
        <v>4550</v>
      </c>
      <c r="I164" t="s">
        <v>250</v>
      </c>
      <c r="J164" t="s">
        <v>2513</v>
      </c>
    </row>
    <row r="165" spans="1:10" x14ac:dyDescent="0.25">
      <c r="A165" t="s">
        <v>4551</v>
      </c>
      <c r="B165" s="3">
        <v>46270</v>
      </c>
      <c r="C165" t="s">
        <v>120</v>
      </c>
      <c r="D165" t="s">
        <v>54</v>
      </c>
      <c r="E165">
        <v>45</v>
      </c>
      <c r="F165" t="s">
        <v>2</v>
      </c>
      <c r="G165" t="s">
        <v>4234</v>
      </c>
      <c r="H165" t="s">
        <v>4552</v>
      </c>
      <c r="I165" t="s">
        <v>121</v>
      </c>
      <c r="J165" t="s">
        <v>2513</v>
      </c>
    </row>
    <row r="166" spans="1:10" x14ac:dyDescent="0.25">
      <c r="A166" t="s">
        <v>4553</v>
      </c>
      <c r="B166" s="3">
        <v>46270</v>
      </c>
      <c r="C166" t="s">
        <v>101</v>
      </c>
      <c r="D166" t="s">
        <v>29</v>
      </c>
      <c r="E166">
        <v>32</v>
      </c>
      <c r="F166" t="s">
        <v>2</v>
      </c>
      <c r="G166" t="s">
        <v>4228</v>
      </c>
      <c r="H166" t="s">
        <v>4554</v>
      </c>
      <c r="I166" t="s">
        <v>102</v>
      </c>
      <c r="J166" t="s">
        <v>2509</v>
      </c>
    </row>
    <row r="167" spans="1:10" x14ac:dyDescent="0.25">
      <c r="A167" t="s">
        <v>4555</v>
      </c>
      <c r="B167" s="3">
        <v>46270</v>
      </c>
      <c r="C167" t="s">
        <v>371</v>
      </c>
      <c r="D167" t="s">
        <v>364</v>
      </c>
      <c r="E167">
        <v>6</v>
      </c>
      <c r="F167" t="s">
        <v>358</v>
      </c>
      <c r="G167" t="s">
        <v>4228</v>
      </c>
      <c r="H167" t="s">
        <v>4556</v>
      </c>
      <c r="I167" t="s">
        <v>121</v>
      </c>
      <c r="J167" t="s">
        <v>2503</v>
      </c>
    </row>
    <row r="168" spans="1:10" x14ac:dyDescent="0.25">
      <c r="A168" t="s">
        <v>4557</v>
      </c>
      <c r="B168" s="3">
        <v>46270</v>
      </c>
      <c r="C168" t="s">
        <v>466</v>
      </c>
      <c r="D168" t="s">
        <v>467</v>
      </c>
      <c r="E168">
        <v>23</v>
      </c>
      <c r="F168" t="s">
        <v>469</v>
      </c>
      <c r="G168" t="s">
        <v>4222</v>
      </c>
      <c r="H168" t="s">
        <v>4558</v>
      </c>
      <c r="I168" t="s">
        <v>106</v>
      </c>
      <c r="J168" t="s">
        <v>2509</v>
      </c>
    </row>
    <row r="169" spans="1:10" x14ac:dyDescent="0.25">
      <c r="A169" t="s">
        <v>4559</v>
      </c>
      <c r="B169" s="3">
        <v>46270</v>
      </c>
      <c r="C169" t="s">
        <v>492</v>
      </c>
      <c r="D169" t="s">
        <v>467</v>
      </c>
      <c r="E169">
        <v>34</v>
      </c>
      <c r="F169" t="s">
        <v>469</v>
      </c>
      <c r="G169" t="s">
        <v>4225</v>
      </c>
      <c r="H169" t="s">
        <v>4560</v>
      </c>
      <c r="I169" t="s">
        <v>102</v>
      </c>
      <c r="J169" t="s">
        <v>2513</v>
      </c>
    </row>
    <row r="170" spans="1:10" x14ac:dyDescent="0.25">
      <c r="A170" t="s">
        <v>4561</v>
      </c>
      <c r="B170" s="3">
        <v>46270</v>
      </c>
      <c r="C170" t="s">
        <v>78</v>
      </c>
      <c r="D170" t="s">
        <v>21</v>
      </c>
      <c r="E170">
        <v>21</v>
      </c>
      <c r="F170" t="s">
        <v>2</v>
      </c>
      <c r="G170" t="s">
        <v>4228</v>
      </c>
      <c r="H170" t="s">
        <v>4562</v>
      </c>
      <c r="I170" t="s">
        <v>79</v>
      </c>
      <c r="J170" t="s">
        <v>2513</v>
      </c>
    </row>
    <row r="171" spans="1:10" x14ac:dyDescent="0.25">
      <c r="A171" t="s">
        <v>4563</v>
      </c>
      <c r="B171" s="3">
        <v>46270</v>
      </c>
      <c r="C171" t="s">
        <v>620</v>
      </c>
      <c r="D171" t="s">
        <v>587</v>
      </c>
      <c r="E171">
        <v>9</v>
      </c>
      <c r="F171" t="s">
        <v>2</v>
      </c>
      <c r="G171" t="s">
        <v>4234</v>
      </c>
      <c r="H171" t="s">
        <v>4564</v>
      </c>
      <c r="I171" t="s">
        <v>129</v>
      </c>
      <c r="J171" t="s">
        <v>2500</v>
      </c>
    </row>
    <row r="172" spans="1:10" x14ac:dyDescent="0.25">
      <c r="A172" t="s">
        <v>4565</v>
      </c>
      <c r="B172" s="3">
        <v>46270</v>
      </c>
      <c r="C172" t="s">
        <v>248</v>
      </c>
      <c r="D172" t="s">
        <v>240</v>
      </c>
      <c r="E172">
        <v>12</v>
      </c>
      <c r="F172" t="s">
        <v>2</v>
      </c>
      <c r="G172" t="s">
        <v>4228</v>
      </c>
      <c r="H172" t="s">
        <v>4566</v>
      </c>
      <c r="I172" t="s">
        <v>126</v>
      </c>
      <c r="J172" t="s">
        <v>2513</v>
      </c>
    </row>
    <row r="173" spans="1:10" x14ac:dyDescent="0.25">
      <c r="A173" t="s">
        <v>4567</v>
      </c>
      <c r="B173" s="3">
        <v>46270</v>
      </c>
      <c r="C173" t="s">
        <v>621</v>
      </c>
      <c r="D173" t="s">
        <v>582</v>
      </c>
      <c r="E173">
        <v>52</v>
      </c>
      <c r="F173" t="s">
        <v>2</v>
      </c>
      <c r="G173" t="s">
        <v>4222</v>
      </c>
      <c r="H173" t="s">
        <v>4568</v>
      </c>
      <c r="I173" t="s">
        <v>312</v>
      </c>
      <c r="J173" t="s">
        <v>2503</v>
      </c>
    </row>
    <row r="174" spans="1:10" x14ac:dyDescent="0.25">
      <c r="A174" t="s">
        <v>4569</v>
      </c>
      <c r="B174" s="3">
        <v>46270</v>
      </c>
      <c r="C174" t="s">
        <v>667</v>
      </c>
      <c r="D174" t="s">
        <v>602</v>
      </c>
      <c r="E174">
        <v>9</v>
      </c>
      <c r="F174" t="s">
        <v>2</v>
      </c>
      <c r="G174" t="s">
        <v>4234</v>
      </c>
      <c r="H174" t="s">
        <v>4570</v>
      </c>
      <c r="I174" t="s">
        <v>201</v>
      </c>
      <c r="J174" t="s">
        <v>2513</v>
      </c>
    </row>
    <row r="175" spans="1:10" x14ac:dyDescent="0.25">
      <c r="A175" t="s">
        <v>4571</v>
      </c>
      <c r="B175" s="3">
        <v>46270</v>
      </c>
      <c r="C175" t="s">
        <v>371</v>
      </c>
      <c r="D175" t="s">
        <v>364</v>
      </c>
      <c r="E175">
        <v>8</v>
      </c>
      <c r="F175" t="s">
        <v>358</v>
      </c>
      <c r="G175" t="s">
        <v>4225</v>
      </c>
      <c r="H175" t="s">
        <v>4572</v>
      </c>
      <c r="I175" t="s">
        <v>121</v>
      </c>
      <c r="J175" t="s">
        <v>2509</v>
      </c>
    </row>
    <row r="176" spans="1:10" x14ac:dyDescent="0.25">
      <c r="A176" t="s">
        <v>4573</v>
      </c>
      <c r="B176" s="3">
        <v>46270</v>
      </c>
      <c r="C176" t="s">
        <v>153</v>
      </c>
      <c r="D176" t="s">
        <v>26</v>
      </c>
      <c r="E176">
        <v>4</v>
      </c>
      <c r="F176" t="s">
        <v>2</v>
      </c>
      <c r="G176" t="s">
        <v>4228</v>
      </c>
      <c r="H176" t="s">
        <v>4574</v>
      </c>
      <c r="I176" t="s">
        <v>93</v>
      </c>
      <c r="J176" t="s">
        <v>2500</v>
      </c>
    </row>
    <row r="177" spans="1:10" x14ac:dyDescent="0.25">
      <c r="A177" t="s">
        <v>4575</v>
      </c>
      <c r="B177" s="3">
        <v>46270</v>
      </c>
      <c r="C177" t="s">
        <v>138</v>
      </c>
      <c r="D177" t="s">
        <v>44</v>
      </c>
      <c r="E177">
        <v>33</v>
      </c>
      <c r="F177" t="s">
        <v>2</v>
      </c>
      <c r="G177" t="s">
        <v>4225</v>
      </c>
      <c r="H177" t="s">
        <v>4576</v>
      </c>
      <c r="I177" t="s">
        <v>98</v>
      </c>
      <c r="J177" t="s">
        <v>2500</v>
      </c>
    </row>
    <row r="178" spans="1:10" x14ac:dyDescent="0.25">
      <c r="A178" t="s">
        <v>4577</v>
      </c>
      <c r="B178" s="3">
        <v>46270</v>
      </c>
      <c r="C178" t="s">
        <v>555</v>
      </c>
      <c r="D178" t="s">
        <v>502</v>
      </c>
      <c r="E178">
        <v>34</v>
      </c>
      <c r="F178" t="s">
        <v>469</v>
      </c>
      <c r="G178" t="s">
        <v>4234</v>
      </c>
      <c r="H178" t="s">
        <v>4578</v>
      </c>
      <c r="I178" t="s">
        <v>124</v>
      </c>
      <c r="J178" t="s">
        <v>2513</v>
      </c>
    </row>
    <row r="179" spans="1:10" x14ac:dyDescent="0.25">
      <c r="A179" t="s">
        <v>4579</v>
      </c>
      <c r="B179" s="3">
        <v>46270</v>
      </c>
      <c r="C179" t="s">
        <v>258</v>
      </c>
      <c r="D179" t="s">
        <v>210</v>
      </c>
      <c r="E179">
        <v>48</v>
      </c>
      <c r="F179" t="s">
        <v>2</v>
      </c>
      <c r="G179" t="s">
        <v>4234</v>
      </c>
      <c r="H179" t="s">
        <v>4580</v>
      </c>
      <c r="I179" t="s">
        <v>259</v>
      </c>
      <c r="J179" t="s">
        <v>2513</v>
      </c>
    </row>
    <row r="180" spans="1:10" x14ac:dyDescent="0.25">
      <c r="A180" t="s">
        <v>4581</v>
      </c>
      <c r="B180" s="3">
        <v>46270</v>
      </c>
      <c r="C180" t="s">
        <v>338</v>
      </c>
      <c r="D180" t="s">
        <v>213</v>
      </c>
      <c r="E180">
        <v>10</v>
      </c>
      <c r="F180" t="s">
        <v>2</v>
      </c>
      <c r="G180" t="s">
        <v>4231</v>
      </c>
      <c r="H180" t="s">
        <v>4582</v>
      </c>
      <c r="I180" t="s">
        <v>34</v>
      </c>
      <c r="J180" t="s">
        <v>2500</v>
      </c>
    </row>
    <row r="181" spans="1:10" x14ac:dyDescent="0.25">
      <c r="A181" t="s">
        <v>4583</v>
      </c>
      <c r="B181" s="3">
        <v>46270</v>
      </c>
      <c r="C181" t="s">
        <v>192</v>
      </c>
      <c r="D181" t="s">
        <v>1</v>
      </c>
      <c r="E181">
        <v>30</v>
      </c>
      <c r="F181" t="s">
        <v>2</v>
      </c>
      <c r="G181" t="s">
        <v>4234</v>
      </c>
      <c r="H181" t="s">
        <v>4584</v>
      </c>
      <c r="I181" t="s">
        <v>193</v>
      </c>
      <c r="J181" t="s">
        <v>2509</v>
      </c>
    </row>
    <row r="182" spans="1:10" x14ac:dyDescent="0.25">
      <c r="A182" t="s">
        <v>4585</v>
      </c>
      <c r="B182" s="3">
        <v>46270</v>
      </c>
      <c r="C182" t="s">
        <v>90</v>
      </c>
      <c r="D182" t="s">
        <v>15</v>
      </c>
      <c r="E182">
        <v>52</v>
      </c>
      <c r="F182" t="s">
        <v>2</v>
      </c>
      <c r="G182" t="s">
        <v>4228</v>
      </c>
      <c r="H182" t="s">
        <v>4586</v>
      </c>
      <c r="I182" t="s">
        <v>73</v>
      </c>
      <c r="J182" t="s">
        <v>2509</v>
      </c>
    </row>
    <row r="183" spans="1:10" x14ac:dyDescent="0.25">
      <c r="A183" t="s">
        <v>4587</v>
      </c>
      <c r="B183" s="3">
        <v>46270</v>
      </c>
      <c r="C183" t="s">
        <v>556</v>
      </c>
      <c r="D183" t="s">
        <v>474</v>
      </c>
      <c r="E183">
        <v>37</v>
      </c>
      <c r="F183" t="s">
        <v>2</v>
      </c>
      <c r="G183" t="s">
        <v>4222</v>
      </c>
      <c r="H183" t="s">
        <v>4588</v>
      </c>
      <c r="I183" t="s">
        <v>45</v>
      </c>
      <c r="J183" t="s">
        <v>2513</v>
      </c>
    </row>
    <row r="184" spans="1:10" x14ac:dyDescent="0.25">
      <c r="A184" t="s">
        <v>4589</v>
      </c>
      <c r="B184" s="3">
        <v>46270</v>
      </c>
      <c r="C184" t="s">
        <v>669</v>
      </c>
      <c r="D184" t="s">
        <v>594</v>
      </c>
      <c r="E184">
        <v>46</v>
      </c>
      <c r="F184" t="s">
        <v>595</v>
      </c>
      <c r="G184" t="s">
        <v>4225</v>
      </c>
      <c r="H184" t="s">
        <v>4590</v>
      </c>
      <c r="I184" t="s">
        <v>410</v>
      </c>
      <c r="J184" t="s">
        <v>2513</v>
      </c>
    </row>
    <row r="185" spans="1:10" x14ac:dyDescent="0.25">
      <c r="A185" t="s">
        <v>4591</v>
      </c>
      <c r="B185" s="3">
        <v>46270</v>
      </c>
      <c r="C185" t="s">
        <v>485</v>
      </c>
      <c r="D185" t="s">
        <v>474</v>
      </c>
      <c r="E185">
        <v>52</v>
      </c>
      <c r="F185" t="s">
        <v>2</v>
      </c>
      <c r="G185" t="s">
        <v>4222</v>
      </c>
      <c r="H185" t="s">
        <v>4592</v>
      </c>
      <c r="I185" t="s">
        <v>171</v>
      </c>
      <c r="J185" t="s">
        <v>2503</v>
      </c>
    </row>
    <row r="186" spans="1:10" x14ac:dyDescent="0.25">
      <c r="A186" t="s">
        <v>4593</v>
      </c>
      <c r="B186" s="3">
        <v>46270</v>
      </c>
      <c r="C186" t="s">
        <v>122</v>
      </c>
      <c r="D186" t="s">
        <v>54</v>
      </c>
      <c r="E186">
        <v>15</v>
      </c>
      <c r="F186" t="s">
        <v>2</v>
      </c>
      <c r="G186" t="s">
        <v>4231</v>
      </c>
      <c r="H186" t="s">
        <v>4594</v>
      </c>
      <c r="I186" t="s">
        <v>98</v>
      </c>
      <c r="J186" t="s">
        <v>2500</v>
      </c>
    </row>
    <row r="187" spans="1:10" x14ac:dyDescent="0.25">
      <c r="A187" t="s">
        <v>4595</v>
      </c>
      <c r="B187" s="3">
        <v>46270</v>
      </c>
      <c r="C187" t="s">
        <v>538</v>
      </c>
      <c r="D187" t="s">
        <v>490</v>
      </c>
      <c r="E187">
        <v>25</v>
      </c>
      <c r="F187" t="s">
        <v>355</v>
      </c>
      <c r="G187" t="s">
        <v>4234</v>
      </c>
      <c r="H187" t="s">
        <v>4596</v>
      </c>
      <c r="I187" t="s">
        <v>327</v>
      </c>
      <c r="J187" t="s">
        <v>2513</v>
      </c>
    </row>
    <row r="188" spans="1:10" x14ac:dyDescent="0.25">
      <c r="A188" t="s">
        <v>4597</v>
      </c>
      <c r="B188" s="3">
        <v>46270</v>
      </c>
      <c r="C188" t="s">
        <v>14</v>
      </c>
      <c r="D188" t="s">
        <v>15</v>
      </c>
      <c r="E188">
        <v>11</v>
      </c>
      <c r="F188" t="s">
        <v>2</v>
      </c>
      <c r="G188" t="s">
        <v>4222</v>
      </c>
      <c r="H188" t="s">
        <v>4598</v>
      </c>
      <c r="I188" t="s">
        <v>19</v>
      </c>
      <c r="J188" t="s">
        <v>2509</v>
      </c>
    </row>
    <row r="189" spans="1:10" x14ac:dyDescent="0.25">
      <c r="A189" t="s">
        <v>4599</v>
      </c>
      <c r="B189" s="3">
        <v>46270</v>
      </c>
      <c r="C189" t="s">
        <v>608</v>
      </c>
      <c r="D189" t="s">
        <v>582</v>
      </c>
      <c r="E189">
        <v>35</v>
      </c>
      <c r="F189" t="s">
        <v>2</v>
      </c>
      <c r="G189" t="s">
        <v>4225</v>
      </c>
      <c r="H189" t="s">
        <v>4600</v>
      </c>
      <c r="I189" t="s">
        <v>206</v>
      </c>
      <c r="J189" t="s">
        <v>2503</v>
      </c>
    </row>
    <row r="190" spans="1:10" x14ac:dyDescent="0.25">
      <c r="A190" t="s">
        <v>4601</v>
      </c>
      <c r="B190" s="3">
        <v>46270</v>
      </c>
      <c r="C190" t="s">
        <v>586</v>
      </c>
      <c r="D190" t="s">
        <v>587</v>
      </c>
      <c r="E190">
        <v>15</v>
      </c>
      <c r="F190" t="s">
        <v>2</v>
      </c>
      <c r="G190" t="s">
        <v>4225</v>
      </c>
      <c r="H190" t="s">
        <v>4602</v>
      </c>
      <c r="I190" t="s">
        <v>166</v>
      </c>
      <c r="J190" t="s">
        <v>2509</v>
      </c>
    </row>
    <row r="191" spans="1:10" x14ac:dyDescent="0.25">
      <c r="A191" t="s">
        <v>4603</v>
      </c>
      <c r="B191" s="3">
        <v>46270</v>
      </c>
      <c r="C191" t="s">
        <v>137</v>
      </c>
      <c r="D191" t="s">
        <v>44</v>
      </c>
      <c r="E191">
        <v>16</v>
      </c>
      <c r="F191" t="s">
        <v>2</v>
      </c>
      <c r="G191" t="s">
        <v>4234</v>
      </c>
      <c r="H191" t="s">
        <v>4604</v>
      </c>
      <c r="I191" t="s">
        <v>38</v>
      </c>
      <c r="J191" t="s">
        <v>2509</v>
      </c>
    </row>
    <row r="192" spans="1:10" x14ac:dyDescent="0.25">
      <c r="A192" t="s">
        <v>4605</v>
      </c>
      <c r="B192" s="3">
        <v>46270</v>
      </c>
      <c r="C192" t="s">
        <v>426</v>
      </c>
      <c r="D192" t="s">
        <v>357</v>
      </c>
      <c r="E192">
        <v>54</v>
      </c>
      <c r="F192" t="s">
        <v>358</v>
      </c>
      <c r="G192" t="s">
        <v>4225</v>
      </c>
      <c r="H192" t="s">
        <v>4606</v>
      </c>
      <c r="I192" t="s">
        <v>42</v>
      </c>
      <c r="J192" t="s">
        <v>2513</v>
      </c>
    </row>
    <row r="193" spans="1:10" x14ac:dyDescent="0.25">
      <c r="A193" t="s">
        <v>4607</v>
      </c>
      <c r="B193" s="3">
        <v>46270</v>
      </c>
      <c r="C193" t="s">
        <v>436</v>
      </c>
      <c r="D193" t="s">
        <v>366</v>
      </c>
      <c r="E193">
        <v>23</v>
      </c>
      <c r="F193" t="s">
        <v>2</v>
      </c>
      <c r="G193" t="s">
        <v>4225</v>
      </c>
      <c r="H193" t="s">
        <v>4608</v>
      </c>
      <c r="I193" t="s">
        <v>19</v>
      </c>
      <c r="J193" t="s">
        <v>2513</v>
      </c>
    </row>
    <row r="194" spans="1:10" x14ac:dyDescent="0.25">
      <c r="A194" t="s">
        <v>4609</v>
      </c>
      <c r="B194" s="3">
        <v>46270</v>
      </c>
      <c r="C194" t="s">
        <v>516</v>
      </c>
      <c r="D194" t="s">
        <v>481</v>
      </c>
      <c r="E194">
        <v>50</v>
      </c>
      <c r="F194" t="s">
        <v>2</v>
      </c>
      <c r="G194" t="s">
        <v>4228</v>
      </c>
      <c r="H194" t="s">
        <v>4610</v>
      </c>
      <c r="I194" t="s">
        <v>314</v>
      </c>
      <c r="J194" t="s">
        <v>2509</v>
      </c>
    </row>
    <row r="195" spans="1:10" x14ac:dyDescent="0.25">
      <c r="A195" t="s">
        <v>4611</v>
      </c>
      <c r="B195" s="3">
        <v>46270</v>
      </c>
      <c r="C195" t="s">
        <v>14</v>
      </c>
      <c r="D195" t="s">
        <v>15</v>
      </c>
      <c r="E195">
        <v>17</v>
      </c>
      <c r="F195" t="s">
        <v>2</v>
      </c>
      <c r="G195" t="s">
        <v>4231</v>
      </c>
      <c r="H195" t="s">
        <v>4612</v>
      </c>
      <c r="I195" t="s">
        <v>19</v>
      </c>
      <c r="J195" t="s">
        <v>2513</v>
      </c>
    </row>
    <row r="196" spans="1:10" x14ac:dyDescent="0.25">
      <c r="A196" t="s">
        <v>4613</v>
      </c>
      <c r="B196" s="3">
        <v>46270</v>
      </c>
      <c r="C196" t="s">
        <v>532</v>
      </c>
      <c r="D196" t="s">
        <v>488</v>
      </c>
      <c r="E196">
        <v>31</v>
      </c>
      <c r="F196" t="s">
        <v>469</v>
      </c>
      <c r="G196" t="s">
        <v>4231</v>
      </c>
      <c r="H196" t="s">
        <v>4614</v>
      </c>
      <c r="I196" t="s">
        <v>106</v>
      </c>
      <c r="J196" t="s">
        <v>2509</v>
      </c>
    </row>
    <row r="197" spans="1:10" x14ac:dyDescent="0.25">
      <c r="A197" t="s">
        <v>4615</v>
      </c>
      <c r="B197" s="3">
        <v>46270</v>
      </c>
      <c r="C197" t="s">
        <v>168</v>
      </c>
      <c r="D197" t="s">
        <v>1</v>
      </c>
      <c r="E197">
        <v>29</v>
      </c>
      <c r="F197" t="s">
        <v>2</v>
      </c>
      <c r="G197" t="s">
        <v>4231</v>
      </c>
      <c r="H197" t="s">
        <v>4616</v>
      </c>
      <c r="I197" t="s">
        <v>124</v>
      </c>
      <c r="J197" t="s">
        <v>2500</v>
      </c>
    </row>
    <row r="198" spans="1:10" x14ac:dyDescent="0.25">
      <c r="A198" t="s">
        <v>4617</v>
      </c>
      <c r="B198" s="3">
        <v>46270</v>
      </c>
      <c r="C198" t="s">
        <v>564</v>
      </c>
      <c r="D198" t="s">
        <v>481</v>
      </c>
      <c r="E198">
        <v>50</v>
      </c>
      <c r="F198" t="s">
        <v>2</v>
      </c>
      <c r="G198" t="s">
        <v>4225</v>
      </c>
      <c r="H198" t="s">
        <v>4618</v>
      </c>
      <c r="I198" t="s">
        <v>164</v>
      </c>
      <c r="J198" t="s">
        <v>2509</v>
      </c>
    </row>
    <row r="199" spans="1:10" x14ac:dyDescent="0.25">
      <c r="A199" t="s">
        <v>4619</v>
      </c>
      <c r="B199" s="3">
        <v>46270</v>
      </c>
      <c r="C199" t="s">
        <v>550</v>
      </c>
      <c r="D199" t="s">
        <v>481</v>
      </c>
      <c r="E199">
        <v>34</v>
      </c>
      <c r="F199" t="s">
        <v>2</v>
      </c>
      <c r="G199" t="s">
        <v>4231</v>
      </c>
      <c r="H199" t="s">
        <v>4620</v>
      </c>
      <c r="I199" t="s">
        <v>59</v>
      </c>
      <c r="J199" t="s">
        <v>2509</v>
      </c>
    </row>
    <row r="200" spans="1:10" x14ac:dyDescent="0.25">
      <c r="A200" t="s">
        <v>4621</v>
      </c>
      <c r="B200" s="3">
        <v>46270</v>
      </c>
      <c r="C200" t="s">
        <v>389</v>
      </c>
      <c r="D200" t="s">
        <v>364</v>
      </c>
      <c r="E200">
        <v>4</v>
      </c>
      <c r="F200" t="s">
        <v>358</v>
      </c>
      <c r="G200" t="s">
        <v>4228</v>
      </c>
      <c r="H200" t="s">
        <v>4245</v>
      </c>
      <c r="I200" t="s">
        <v>77</v>
      </c>
      <c r="J200" t="s">
        <v>2500</v>
      </c>
    </row>
    <row r="201" spans="1:10" x14ac:dyDescent="0.25">
      <c r="A201" t="s">
        <v>4622</v>
      </c>
      <c r="B201" s="3">
        <v>46271</v>
      </c>
      <c r="C201" t="s">
        <v>212</v>
      </c>
      <c r="D201" t="s">
        <v>213</v>
      </c>
      <c r="E201">
        <v>6</v>
      </c>
      <c r="F201" t="s">
        <v>2</v>
      </c>
      <c r="G201" t="s">
        <v>4231</v>
      </c>
      <c r="H201" t="s">
        <v>4623</v>
      </c>
      <c r="I201" t="s">
        <v>129</v>
      </c>
      <c r="J201" t="s">
        <v>2503</v>
      </c>
    </row>
    <row r="202" spans="1:10" x14ac:dyDescent="0.25">
      <c r="A202" t="s">
        <v>4624</v>
      </c>
      <c r="B202" s="3">
        <v>46271</v>
      </c>
      <c r="C202" t="s">
        <v>454</v>
      </c>
      <c r="D202" t="s">
        <v>344</v>
      </c>
      <c r="E202">
        <v>52</v>
      </c>
      <c r="F202" t="s">
        <v>346</v>
      </c>
      <c r="G202" t="s">
        <v>4234</v>
      </c>
      <c r="H202" t="s">
        <v>4625</v>
      </c>
      <c r="I202" t="s">
        <v>455</v>
      </c>
      <c r="J202" t="s">
        <v>2509</v>
      </c>
    </row>
    <row r="203" spans="1:10" x14ac:dyDescent="0.25">
      <c r="A203" t="s">
        <v>4626</v>
      </c>
      <c r="B203" s="3">
        <v>46271</v>
      </c>
      <c r="C203" t="s">
        <v>577</v>
      </c>
      <c r="D203" t="s">
        <v>481</v>
      </c>
      <c r="E203">
        <v>37</v>
      </c>
      <c r="F203" t="s">
        <v>2</v>
      </c>
      <c r="G203" t="s">
        <v>4234</v>
      </c>
      <c r="H203" t="s">
        <v>4627</v>
      </c>
      <c r="I203" t="s">
        <v>102</v>
      </c>
      <c r="J203" t="s">
        <v>2500</v>
      </c>
    </row>
    <row r="204" spans="1:10" x14ac:dyDescent="0.25">
      <c r="A204" t="s">
        <v>4628</v>
      </c>
      <c r="B204" s="3">
        <v>46271</v>
      </c>
      <c r="C204" t="s">
        <v>399</v>
      </c>
      <c r="D204" t="s">
        <v>360</v>
      </c>
      <c r="E204">
        <v>23</v>
      </c>
      <c r="F204" t="s">
        <v>358</v>
      </c>
      <c r="G204" t="s">
        <v>4222</v>
      </c>
      <c r="H204" t="s">
        <v>4629</v>
      </c>
      <c r="I204" t="s">
        <v>164</v>
      </c>
      <c r="J204" t="s">
        <v>2500</v>
      </c>
    </row>
    <row r="205" spans="1:10" x14ac:dyDescent="0.25">
      <c r="A205" t="s">
        <v>4630</v>
      </c>
      <c r="B205" s="3">
        <v>46271</v>
      </c>
      <c r="C205" t="s">
        <v>398</v>
      </c>
      <c r="D205" t="s">
        <v>344</v>
      </c>
      <c r="E205">
        <v>13</v>
      </c>
      <c r="F205" t="s">
        <v>346</v>
      </c>
      <c r="G205" t="s">
        <v>4231</v>
      </c>
      <c r="H205" t="s">
        <v>4631</v>
      </c>
      <c r="I205" t="s">
        <v>108</v>
      </c>
      <c r="J205" t="s">
        <v>2509</v>
      </c>
    </row>
    <row r="206" spans="1:10" x14ac:dyDescent="0.25">
      <c r="A206" t="s">
        <v>4632</v>
      </c>
      <c r="B206" s="3">
        <v>46271</v>
      </c>
      <c r="C206" t="s">
        <v>328</v>
      </c>
      <c r="D206" t="s">
        <v>240</v>
      </c>
      <c r="E206">
        <v>39</v>
      </c>
      <c r="F206" t="s">
        <v>2</v>
      </c>
      <c r="G206" t="s">
        <v>4228</v>
      </c>
      <c r="H206" t="s">
        <v>4633</v>
      </c>
      <c r="I206" t="s">
        <v>189</v>
      </c>
      <c r="J206" t="s">
        <v>2509</v>
      </c>
    </row>
    <row r="207" spans="1:10" x14ac:dyDescent="0.25">
      <c r="A207" t="s">
        <v>4634</v>
      </c>
      <c r="B207" s="3">
        <v>46271</v>
      </c>
      <c r="C207" t="s">
        <v>298</v>
      </c>
      <c r="D207" t="s">
        <v>216</v>
      </c>
      <c r="E207">
        <v>43</v>
      </c>
      <c r="F207" t="s">
        <v>2</v>
      </c>
      <c r="G207" t="s">
        <v>4231</v>
      </c>
      <c r="H207" t="s">
        <v>4635</v>
      </c>
      <c r="I207" t="s">
        <v>161</v>
      </c>
      <c r="J207" t="s">
        <v>2503</v>
      </c>
    </row>
    <row r="208" spans="1:10" x14ac:dyDescent="0.25">
      <c r="A208" t="s">
        <v>4636</v>
      </c>
      <c r="B208" s="3">
        <v>46271</v>
      </c>
      <c r="C208" t="s">
        <v>258</v>
      </c>
      <c r="D208" t="s">
        <v>210</v>
      </c>
      <c r="E208">
        <v>51</v>
      </c>
      <c r="F208" t="s">
        <v>2</v>
      </c>
      <c r="G208" t="s">
        <v>4231</v>
      </c>
      <c r="H208" t="s">
        <v>4637</v>
      </c>
      <c r="I208" t="s">
        <v>259</v>
      </c>
      <c r="J208" t="s">
        <v>2500</v>
      </c>
    </row>
    <row r="209" spans="1:10" x14ac:dyDescent="0.25">
      <c r="A209" t="s">
        <v>4638</v>
      </c>
      <c r="B209" s="3">
        <v>46271</v>
      </c>
      <c r="C209" t="s">
        <v>307</v>
      </c>
      <c r="D209" t="s">
        <v>210</v>
      </c>
      <c r="E209">
        <v>4</v>
      </c>
      <c r="F209" t="s">
        <v>2</v>
      </c>
      <c r="G209" t="s">
        <v>4228</v>
      </c>
      <c r="H209" t="s">
        <v>4639</v>
      </c>
      <c r="I209" t="s">
        <v>57</v>
      </c>
      <c r="J209" t="s">
        <v>2503</v>
      </c>
    </row>
    <row r="210" spans="1:10" x14ac:dyDescent="0.25">
      <c r="A210" t="s">
        <v>4640</v>
      </c>
      <c r="B210" s="3">
        <v>46271</v>
      </c>
      <c r="C210" t="s">
        <v>115</v>
      </c>
      <c r="D210" t="s">
        <v>1</v>
      </c>
      <c r="E210">
        <v>46</v>
      </c>
      <c r="F210" t="s">
        <v>2</v>
      </c>
      <c r="G210" t="s">
        <v>4228</v>
      </c>
      <c r="H210" t="s">
        <v>4641</v>
      </c>
      <c r="I210" t="s">
        <v>104</v>
      </c>
      <c r="J210" t="s">
        <v>2509</v>
      </c>
    </row>
    <row r="211" spans="1:10" x14ac:dyDescent="0.25">
      <c r="A211" t="s">
        <v>4642</v>
      </c>
      <c r="B211" s="3">
        <v>46271</v>
      </c>
      <c r="C211" t="s">
        <v>452</v>
      </c>
      <c r="D211" t="s">
        <v>344</v>
      </c>
      <c r="E211">
        <v>20</v>
      </c>
      <c r="F211" t="s">
        <v>346</v>
      </c>
      <c r="G211" t="s">
        <v>4231</v>
      </c>
      <c r="H211" t="s">
        <v>4643</v>
      </c>
      <c r="I211" t="s">
        <v>250</v>
      </c>
      <c r="J211" t="s">
        <v>2500</v>
      </c>
    </row>
    <row r="212" spans="1:10" x14ac:dyDescent="0.25">
      <c r="A212" t="s">
        <v>4644</v>
      </c>
      <c r="B212" s="3">
        <v>46271</v>
      </c>
      <c r="C212" t="s">
        <v>400</v>
      </c>
      <c r="D212" t="s">
        <v>349</v>
      </c>
      <c r="E212">
        <v>43</v>
      </c>
      <c r="F212" t="s">
        <v>2</v>
      </c>
      <c r="G212" t="s">
        <v>4234</v>
      </c>
      <c r="H212" t="s">
        <v>4645</v>
      </c>
      <c r="I212" t="s">
        <v>171</v>
      </c>
      <c r="J212" t="s">
        <v>2513</v>
      </c>
    </row>
    <row r="213" spans="1:10" x14ac:dyDescent="0.25">
      <c r="A213" t="s">
        <v>4646</v>
      </c>
      <c r="B213" s="3">
        <v>46271</v>
      </c>
      <c r="C213" t="s">
        <v>137</v>
      </c>
      <c r="D213" t="s">
        <v>44</v>
      </c>
      <c r="E213">
        <v>27</v>
      </c>
      <c r="F213" t="s">
        <v>2</v>
      </c>
      <c r="G213" t="s">
        <v>4222</v>
      </c>
      <c r="H213" t="s">
        <v>4647</v>
      </c>
      <c r="I213" t="s">
        <v>38</v>
      </c>
      <c r="J213" t="s">
        <v>2500</v>
      </c>
    </row>
    <row r="214" spans="1:10" x14ac:dyDescent="0.25">
      <c r="A214" t="s">
        <v>4648</v>
      </c>
      <c r="B214" s="3">
        <v>46271</v>
      </c>
      <c r="C214" t="s">
        <v>272</v>
      </c>
      <c r="D214" t="s">
        <v>213</v>
      </c>
      <c r="E214">
        <v>39</v>
      </c>
      <c r="F214" t="s">
        <v>2</v>
      </c>
      <c r="G214" t="s">
        <v>4231</v>
      </c>
      <c r="H214" t="s">
        <v>4649</v>
      </c>
      <c r="I214" t="s">
        <v>113</v>
      </c>
      <c r="J214" t="s">
        <v>2513</v>
      </c>
    </row>
    <row r="215" spans="1:10" x14ac:dyDescent="0.25">
      <c r="A215" t="s">
        <v>4650</v>
      </c>
      <c r="B215" s="3">
        <v>46271</v>
      </c>
      <c r="C215" t="s">
        <v>290</v>
      </c>
      <c r="D215" t="s">
        <v>210</v>
      </c>
      <c r="E215">
        <v>21</v>
      </c>
      <c r="F215" t="s">
        <v>2</v>
      </c>
      <c r="G215" t="s">
        <v>4228</v>
      </c>
      <c r="H215" t="s">
        <v>4651</v>
      </c>
      <c r="I215" t="s">
        <v>124</v>
      </c>
      <c r="J215" t="s">
        <v>2500</v>
      </c>
    </row>
    <row r="216" spans="1:10" x14ac:dyDescent="0.25">
      <c r="A216" t="s">
        <v>4652</v>
      </c>
      <c r="B216" s="3">
        <v>46271</v>
      </c>
      <c r="C216" t="s">
        <v>239</v>
      </c>
      <c r="D216" t="s">
        <v>240</v>
      </c>
      <c r="E216">
        <v>38</v>
      </c>
      <c r="F216" t="s">
        <v>2</v>
      </c>
      <c r="G216" t="s">
        <v>4222</v>
      </c>
      <c r="H216" t="s">
        <v>4653</v>
      </c>
      <c r="I216" t="s">
        <v>100</v>
      </c>
      <c r="J216" t="s">
        <v>2509</v>
      </c>
    </row>
    <row r="217" spans="1:10" x14ac:dyDescent="0.25">
      <c r="A217" t="s">
        <v>4654</v>
      </c>
      <c r="B217" s="3">
        <v>46271</v>
      </c>
      <c r="C217" t="s">
        <v>691</v>
      </c>
      <c r="D217" t="s">
        <v>585</v>
      </c>
      <c r="E217">
        <v>37</v>
      </c>
      <c r="F217" t="s">
        <v>355</v>
      </c>
      <c r="G217" t="s">
        <v>4231</v>
      </c>
      <c r="H217" t="s">
        <v>4655</v>
      </c>
      <c r="I217" t="s">
        <v>19</v>
      </c>
      <c r="J217" t="s">
        <v>2500</v>
      </c>
    </row>
    <row r="218" spans="1:10" x14ac:dyDescent="0.25">
      <c r="A218" t="s">
        <v>4656</v>
      </c>
      <c r="B218" s="3">
        <v>46271</v>
      </c>
      <c r="C218" t="s">
        <v>243</v>
      </c>
      <c r="D218" t="s">
        <v>213</v>
      </c>
      <c r="E218">
        <v>55</v>
      </c>
      <c r="F218" t="s">
        <v>2</v>
      </c>
      <c r="G218" t="s">
        <v>4228</v>
      </c>
      <c r="H218" t="s">
        <v>4657</v>
      </c>
      <c r="I218" t="s">
        <v>177</v>
      </c>
      <c r="J218" t="s">
        <v>2503</v>
      </c>
    </row>
    <row r="219" spans="1:10" x14ac:dyDescent="0.25">
      <c r="A219" t="s">
        <v>4658</v>
      </c>
      <c r="B219" s="3">
        <v>46271</v>
      </c>
      <c r="C219" t="s">
        <v>143</v>
      </c>
      <c r="D219" t="s">
        <v>47</v>
      </c>
      <c r="E219">
        <v>43</v>
      </c>
      <c r="F219" t="s">
        <v>2</v>
      </c>
      <c r="G219" t="s">
        <v>4225</v>
      </c>
      <c r="H219" t="s">
        <v>4659</v>
      </c>
      <c r="I219" t="s">
        <v>144</v>
      </c>
      <c r="J219" t="s">
        <v>2503</v>
      </c>
    </row>
    <row r="220" spans="1:10" x14ac:dyDescent="0.25">
      <c r="A220" t="s">
        <v>4660</v>
      </c>
      <c r="B220" s="3">
        <v>46271</v>
      </c>
      <c r="C220" t="s">
        <v>537</v>
      </c>
      <c r="D220" t="s">
        <v>479</v>
      </c>
      <c r="E220">
        <v>44</v>
      </c>
      <c r="F220" t="s">
        <v>469</v>
      </c>
      <c r="G220" t="s">
        <v>4234</v>
      </c>
      <c r="H220" t="s">
        <v>4661</v>
      </c>
      <c r="I220" t="s">
        <v>173</v>
      </c>
      <c r="J220" t="s">
        <v>2500</v>
      </c>
    </row>
    <row r="221" spans="1:10" x14ac:dyDescent="0.25">
      <c r="A221" t="s">
        <v>4662</v>
      </c>
      <c r="B221" s="3">
        <v>46271</v>
      </c>
      <c r="C221" t="s">
        <v>311</v>
      </c>
      <c r="D221" t="s">
        <v>227</v>
      </c>
      <c r="E221">
        <v>27</v>
      </c>
      <c r="F221" t="s">
        <v>2</v>
      </c>
      <c r="G221" t="s">
        <v>4228</v>
      </c>
      <c r="H221" t="s">
        <v>4663</v>
      </c>
      <c r="I221" t="s">
        <v>312</v>
      </c>
      <c r="J221" t="s">
        <v>2509</v>
      </c>
    </row>
    <row r="222" spans="1:10" x14ac:dyDescent="0.25">
      <c r="A222" t="s">
        <v>4664</v>
      </c>
      <c r="B222" s="3">
        <v>46271</v>
      </c>
      <c r="C222" t="s">
        <v>510</v>
      </c>
      <c r="D222" t="s">
        <v>479</v>
      </c>
      <c r="E222">
        <v>19</v>
      </c>
      <c r="F222" t="s">
        <v>469</v>
      </c>
      <c r="G222" t="s">
        <v>4228</v>
      </c>
      <c r="H222" t="s">
        <v>4665</v>
      </c>
      <c r="I222" t="s">
        <v>117</v>
      </c>
      <c r="J222" t="s">
        <v>2509</v>
      </c>
    </row>
    <row r="223" spans="1:10" x14ac:dyDescent="0.25">
      <c r="A223" t="s">
        <v>4666</v>
      </c>
      <c r="B223" s="3">
        <v>46271</v>
      </c>
      <c r="C223" t="s">
        <v>401</v>
      </c>
      <c r="D223" t="s">
        <v>382</v>
      </c>
      <c r="E223">
        <v>14</v>
      </c>
      <c r="F223" t="s">
        <v>383</v>
      </c>
      <c r="G223" t="s">
        <v>4231</v>
      </c>
      <c r="H223" t="s">
        <v>4667</v>
      </c>
      <c r="I223" t="s">
        <v>19</v>
      </c>
      <c r="J223" t="s">
        <v>2500</v>
      </c>
    </row>
    <row r="224" spans="1:10" x14ac:dyDescent="0.25">
      <c r="A224" t="s">
        <v>4668</v>
      </c>
      <c r="B224" s="3">
        <v>46271</v>
      </c>
      <c r="C224" t="s">
        <v>448</v>
      </c>
      <c r="D224" t="s">
        <v>360</v>
      </c>
      <c r="E224">
        <v>48</v>
      </c>
      <c r="F224" t="s">
        <v>358</v>
      </c>
      <c r="G224" t="s">
        <v>4225</v>
      </c>
      <c r="H224" t="s">
        <v>4669</v>
      </c>
      <c r="I224" t="s">
        <v>24</v>
      </c>
      <c r="J224" t="s">
        <v>2509</v>
      </c>
    </row>
    <row r="225" spans="1:10" x14ac:dyDescent="0.25">
      <c r="A225" t="s">
        <v>4670</v>
      </c>
      <c r="B225" s="3">
        <v>46271</v>
      </c>
      <c r="C225" t="s">
        <v>522</v>
      </c>
      <c r="D225" t="s">
        <v>484</v>
      </c>
      <c r="E225">
        <v>31</v>
      </c>
      <c r="F225" t="s">
        <v>469</v>
      </c>
      <c r="G225" t="s">
        <v>4225</v>
      </c>
      <c r="H225" t="s">
        <v>4671</v>
      </c>
      <c r="I225" t="s">
        <v>124</v>
      </c>
      <c r="J225" t="s">
        <v>2509</v>
      </c>
    </row>
    <row r="226" spans="1:10" x14ac:dyDescent="0.25">
      <c r="A226" t="s">
        <v>4672</v>
      </c>
      <c r="B226" s="3">
        <v>46271</v>
      </c>
      <c r="C226" t="s">
        <v>309</v>
      </c>
      <c r="D226" t="s">
        <v>225</v>
      </c>
      <c r="E226">
        <v>45</v>
      </c>
      <c r="F226" t="s">
        <v>2</v>
      </c>
      <c r="G226" t="s">
        <v>4225</v>
      </c>
      <c r="H226" t="s">
        <v>4673</v>
      </c>
      <c r="I226" t="s">
        <v>310</v>
      </c>
      <c r="J226" t="s">
        <v>2500</v>
      </c>
    </row>
    <row r="227" spans="1:10" x14ac:dyDescent="0.25">
      <c r="A227" t="s">
        <v>4674</v>
      </c>
      <c r="B227" s="3">
        <v>46271</v>
      </c>
      <c r="C227" t="s">
        <v>371</v>
      </c>
      <c r="D227" t="s">
        <v>364</v>
      </c>
      <c r="E227">
        <v>26</v>
      </c>
      <c r="F227" t="s">
        <v>358</v>
      </c>
      <c r="G227" t="s">
        <v>4228</v>
      </c>
      <c r="H227" t="s">
        <v>4675</v>
      </c>
      <c r="I227" t="s">
        <v>121</v>
      </c>
      <c r="J227" t="s">
        <v>2500</v>
      </c>
    </row>
    <row r="228" spans="1:10" x14ac:dyDescent="0.25">
      <c r="A228" t="s">
        <v>4676</v>
      </c>
      <c r="B228" s="3">
        <v>46271</v>
      </c>
      <c r="C228" t="s">
        <v>120</v>
      </c>
      <c r="D228" t="s">
        <v>54</v>
      </c>
      <c r="E228">
        <v>51</v>
      </c>
      <c r="F228" t="s">
        <v>2</v>
      </c>
      <c r="G228" t="s">
        <v>4222</v>
      </c>
      <c r="H228" t="s">
        <v>4677</v>
      </c>
      <c r="I228" t="s">
        <v>121</v>
      </c>
      <c r="J228" t="s">
        <v>2509</v>
      </c>
    </row>
    <row r="229" spans="1:10" x14ac:dyDescent="0.25">
      <c r="A229" t="s">
        <v>4678</v>
      </c>
      <c r="B229" s="3">
        <v>46271</v>
      </c>
      <c r="C229" t="s">
        <v>414</v>
      </c>
      <c r="D229" t="s">
        <v>378</v>
      </c>
      <c r="E229">
        <v>51</v>
      </c>
      <c r="F229" t="s">
        <v>2</v>
      </c>
      <c r="G229" t="s">
        <v>4234</v>
      </c>
      <c r="H229" t="s">
        <v>4679</v>
      </c>
      <c r="I229" t="s">
        <v>147</v>
      </c>
      <c r="J229" t="s">
        <v>2500</v>
      </c>
    </row>
    <row r="230" spans="1:10" x14ac:dyDescent="0.25">
      <c r="A230" t="s">
        <v>4680</v>
      </c>
      <c r="B230" s="3">
        <v>46271</v>
      </c>
      <c r="C230" t="s">
        <v>263</v>
      </c>
      <c r="D230" t="s">
        <v>213</v>
      </c>
      <c r="E230">
        <v>32</v>
      </c>
      <c r="F230" t="s">
        <v>2</v>
      </c>
      <c r="G230" t="s">
        <v>4228</v>
      </c>
      <c r="H230" t="s">
        <v>4681</v>
      </c>
      <c r="I230" t="s">
        <v>175</v>
      </c>
      <c r="J230" t="s">
        <v>2503</v>
      </c>
    </row>
    <row r="231" spans="1:10" x14ac:dyDescent="0.25">
      <c r="A231" t="s">
        <v>4682</v>
      </c>
      <c r="B231" s="3">
        <v>46271</v>
      </c>
      <c r="C231" t="s">
        <v>637</v>
      </c>
      <c r="D231" t="s">
        <v>629</v>
      </c>
      <c r="E231">
        <v>46</v>
      </c>
      <c r="F231" t="s">
        <v>355</v>
      </c>
      <c r="G231" t="s">
        <v>4222</v>
      </c>
      <c r="H231" t="s">
        <v>4683</v>
      </c>
      <c r="I231" t="s">
        <v>19</v>
      </c>
      <c r="J231" t="s">
        <v>2503</v>
      </c>
    </row>
    <row r="232" spans="1:10" x14ac:dyDescent="0.25">
      <c r="A232" t="s">
        <v>4684</v>
      </c>
      <c r="B232" s="3">
        <v>46271</v>
      </c>
      <c r="C232" t="s">
        <v>134</v>
      </c>
      <c r="D232" t="s">
        <v>47</v>
      </c>
      <c r="E232">
        <v>7</v>
      </c>
      <c r="F232" t="s">
        <v>2</v>
      </c>
      <c r="G232" t="s">
        <v>4225</v>
      </c>
      <c r="H232" t="s">
        <v>4685</v>
      </c>
      <c r="I232" t="s">
        <v>38</v>
      </c>
      <c r="J232" t="s">
        <v>2509</v>
      </c>
    </row>
    <row r="233" spans="1:10" x14ac:dyDescent="0.25">
      <c r="A233" t="s">
        <v>4686</v>
      </c>
      <c r="B233" s="3">
        <v>46271</v>
      </c>
      <c r="C233" t="s">
        <v>134</v>
      </c>
      <c r="D233" t="s">
        <v>47</v>
      </c>
      <c r="E233">
        <v>19</v>
      </c>
      <c r="F233" t="s">
        <v>2</v>
      </c>
      <c r="G233" t="s">
        <v>4222</v>
      </c>
      <c r="H233" t="s">
        <v>4687</v>
      </c>
      <c r="I233" t="s">
        <v>38</v>
      </c>
      <c r="J233" t="s">
        <v>2513</v>
      </c>
    </row>
    <row r="234" spans="1:10" x14ac:dyDescent="0.25">
      <c r="A234" t="s">
        <v>4688</v>
      </c>
      <c r="B234" s="3">
        <v>46271</v>
      </c>
      <c r="C234" t="s">
        <v>675</v>
      </c>
      <c r="D234" t="s">
        <v>594</v>
      </c>
      <c r="E234">
        <v>9</v>
      </c>
      <c r="F234" t="s">
        <v>595</v>
      </c>
      <c r="G234" t="s">
        <v>4225</v>
      </c>
      <c r="H234" t="s">
        <v>4689</v>
      </c>
      <c r="I234" t="s">
        <v>361</v>
      </c>
      <c r="J234" t="s">
        <v>2509</v>
      </c>
    </row>
    <row r="235" spans="1:10" x14ac:dyDescent="0.25">
      <c r="A235" t="s">
        <v>4690</v>
      </c>
      <c r="B235" s="3">
        <v>46271</v>
      </c>
      <c r="C235" t="s">
        <v>646</v>
      </c>
      <c r="D235" t="s">
        <v>599</v>
      </c>
      <c r="E235">
        <v>27</v>
      </c>
      <c r="F235" t="s">
        <v>2</v>
      </c>
      <c r="G235" t="s">
        <v>4234</v>
      </c>
      <c r="H235" t="s">
        <v>4691</v>
      </c>
      <c r="I235" t="s">
        <v>294</v>
      </c>
      <c r="J235" t="s">
        <v>2503</v>
      </c>
    </row>
    <row r="236" spans="1:10" x14ac:dyDescent="0.25">
      <c r="A236" t="s">
        <v>4692</v>
      </c>
      <c r="B236" s="3">
        <v>46271</v>
      </c>
      <c r="C236" t="s">
        <v>281</v>
      </c>
      <c r="D236" t="s">
        <v>216</v>
      </c>
      <c r="E236">
        <v>11</v>
      </c>
      <c r="F236" t="s">
        <v>2</v>
      </c>
      <c r="G236" t="s">
        <v>4231</v>
      </c>
      <c r="H236" t="s">
        <v>4693</v>
      </c>
      <c r="I236" t="s">
        <v>166</v>
      </c>
      <c r="J236" t="s">
        <v>2513</v>
      </c>
    </row>
    <row r="237" spans="1:10" x14ac:dyDescent="0.25">
      <c r="A237" t="s">
        <v>4694</v>
      </c>
      <c r="B237" s="3">
        <v>46271</v>
      </c>
      <c r="C237" t="s">
        <v>202</v>
      </c>
      <c r="D237" t="s">
        <v>54</v>
      </c>
      <c r="E237">
        <v>20</v>
      </c>
      <c r="F237" t="s">
        <v>2</v>
      </c>
      <c r="G237" t="s">
        <v>4231</v>
      </c>
      <c r="H237" t="s">
        <v>4695</v>
      </c>
      <c r="I237" t="s">
        <v>203</v>
      </c>
      <c r="J237" t="s">
        <v>2513</v>
      </c>
    </row>
    <row r="238" spans="1:10" x14ac:dyDescent="0.25">
      <c r="A238" t="s">
        <v>4696</v>
      </c>
      <c r="B238" s="3">
        <v>46271</v>
      </c>
      <c r="C238" t="s">
        <v>322</v>
      </c>
      <c r="D238" t="s">
        <v>227</v>
      </c>
      <c r="E238">
        <v>23</v>
      </c>
      <c r="F238" t="s">
        <v>2</v>
      </c>
      <c r="G238" t="s">
        <v>4234</v>
      </c>
      <c r="H238" t="s">
        <v>4697</v>
      </c>
      <c r="I238" t="s">
        <v>95</v>
      </c>
      <c r="J238" t="s">
        <v>2513</v>
      </c>
    </row>
    <row r="239" spans="1:10" x14ac:dyDescent="0.25">
      <c r="A239" t="s">
        <v>4698</v>
      </c>
      <c r="B239" s="3">
        <v>46271</v>
      </c>
      <c r="C239" t="s">
        <v>326</v>
      </c>
      <c r="D239" t="s">
        <v>223</v>
      </c>
      <c r="E239">
        <v>23</v>
      </c>
      <c r="F239" t="s">
        <v>2</v>
      </c>
      <c r="G239" t="s">
        <v>4231</v>
      </c>
      <c r="H239" t="s">
        <v>4699</v>
      </c>
      <c r="I239" t="s">
        <v>327</v>
      </c>
      <c r="J239" t="s">
        <v>2500</v>
      </c>
    </row>
    <row r="240" spans="1:10" x14ac:dyDescent="0.25">
      <c r="A240" t="s">
        <v>4700</v>
      </c>
      <c r="B240" s="3">
        <v>46271</v>
      </c>
      <c r="C240" t="s">
        <v>461</v>
      </c>
      <c r="D240" t="s">
        <v>344</v>
      </c>
      <c r="E240">
        <v>25</v>
      </c>
      <c r="F240" t="s">
        <v>346</v>
      </c>
      <c r="G240" t="s">
        <v>4231</v>
      </c>
      <c r="H240" t="s">
        <v>4701</v>
      </c>
      <c r="I240" t="s">
        <v>219</v>
      </c>
      <c r="J240" t="s">
        <v>2513</v>
      </c>
    </row>
    <row r="241" spans="1:10" x14ac:dyDescent="0.25">
      <c r="A241" t="s">
        <v>4702</v>
      </c>
      <c r="B241" s="3">
        <v>46271</v>
      </c>
      <c r="C241" t="s">
        <v>145</v>
      </c>
      <c r="D241" t="s">
        <v>26</v>
      </c>
      <c r="E241">
        <v>12</v>
      </c>
      <c r="F241" t="s">
        <v>2</v>
      </c>
      <c r="G241" t="s">
        <v>4222</v>
      </c>
      <c r="H241" t="s">
        <v>4703</v>
      </c>
      <c r="I241" t="s">
        <v>59</v>
      </c>
      <c r="J241" t="s">
        <v>2503</v>
      </c>
    </row>
    <row r="242" spans="1:10" x14ac:dyDescent="0.25">
      <c r="A242" t="s">
        <v>4704</v>
      </c>
      <c r="B242" s="3">
        <v>46272</v>
      </c>
      <c r="C242" t="s">
        <v>94</v>
      </c>
      <c r="D242" t="s">
        <v>15</v>
      </c>
      <c r="E242">
        <v>43</v>
      </c>
      <c r="F242" t="s">
        <v>2</v>
      </c>
      <c r="G242" t="s">
        <v>4228</v>
      </c>
      <c r="H242" t="s">
        <v>4705</v>
      </c>
      <c r="I242" t="s">
        <v>95</v>
      </c>
      <c r="J242" t="s">
        <v>2500</v>
      </c>
    </row>
    <row r="243" spans="1:10" x14ac:dyDescent="0.25">
      <c r="A243" t="s">
        <v>4706</v>
      </c>
      <c r="B243" s="3">
        <v>46272</v>
      </c>
      <c r="C243" t="s">
        <v>430</v>
      </c>
      <c r="D243" t="s">
        <v>349</v>
      </c>
      <c r="E243">
        <v>6</v>
      </c>
      <c r="F243" t="s">
        <v>2</v>
      </c>
      <c r="G243" t="s">
        <v>4234</v>
      </c>
      <c r="H243" t="s">
        <v>4707</v>
      </c>
      <c r="I243" t="s">
        <v>64</v>
      </c>
      <c r="J243" t="s">
        <v>2500</v>
      </c>
    </row>
    <row r="244" spans="1:10" x14ac:dyDescent="0.25">
      <c r="A244" t="s">
        <v>4708</v>
      </c>
      <c r="B244" s="3">
        <v>46272</v>
      </c>
      <c r="C244" t="s">
        <v>391</v>
      </c>
      <c r="D244" t="s">
        <v>357</v>
      </c>
      <c r="E244">
        <v>16</v>
      </c>
      <c r="F244" t="s">
        <v>358</v>
      </c>
      <c r="G244" t="s">
        <v>4222</v>
      </c>
      <c r="H244" t="s">
        <v>4709</v>
      </c>
      <c r="I244" t="s">
        <v>221</v>
      </c>
      <c r="J244" t="s">
        <v>2513</v>
      </c>
    </row>
    <row r="245" spans="1:10" x14ac:dyDescent="0.25">
      <c r="A245" t="s">
        <v>4710</v>
      </c>
      <c r="B245" s="3">
        <v>46272</v>
      </c>
      <c r="C245" t="s">
        <v>503</v>
      </c>
      <c r="D245" t="s">
        <v>476</v>
      </c>
      <c r="E245">
        <v>49</v>
      </c>
      <c r="F245" t="s">
        <v>477</v>
      </c>
      <c r="G245" t="s">
        <v>4231</v>
      </c>
      <c r="H245" t="s">
        <v>4711</v>
      </c>
      <c r="I245" t="s">
        <v>259</v>
      </c>
      <c r="J245" t="s">
        <v>2503</v>
      </c>
    </row>
    <row r="246" spans="1:10" x14ac:dyDescent="0.25">
      <c r="A246" t="s">
        <v>4712</v>
      </c>
      <c r="B246" s="3">
        <v>46272</v>
      </c>
      <c r="C246" t="s">
        <v>134</v>
      </c>
      <c r="D246" t="s">
        <v>47</v>
      </c>
      <c r="E246">
        <v>35</v>
      </c>
      <c r="F246" t="s">
        <v>2</v>
      </c>
      <c r="G246" t="s">
        <v>4231</v>
      </c>
      <c r="H246" t="s">
        <v>4713</v>
      </c>
      <c r="I246" t="s">
        <v>38</v>
      </c>
      <c r="J246" t="s">
        <v>2500</v>
      </c>
    </row>
    <row r="247" spans="1:10" x14ac:dyDescent="0.25">
      <c r="A247" t="s">
        <v>4714</v>
      </c>
      <c r="B247" s="3">
        <v>46272</v>
      </c>
      <c r="C247" t="s">
        <v>519</v>
      </c>
      <c r="D247" t="s">
        <v>488</v>
      </c>
      <c r="E247">
        <v>43</v>
      </c>
      <c r="F247" t="s">
        <v>469</v>
      </c>
      <c r="G247" t="s">
        <v>4228</v>
      </c>
      <c r="H247" t="s">
        <v>4715</v>
      </c>
      <c r="I247" t="s">
        <v>126</v>
      </c>
      <c r="J247" t="s">
        <v>2503</v>
      </c>
    </row>
    <row r="248" spans="1:10" x14ac:dyDescent="0.25">
      <c r="A248" t="s">
        <v>4716</v>
      </c>
      <c r="B248" s="3">
        <v>46272</v>
      </c>
      <c r="C248" t="s">
        <v>578</v>
      </c>
      <c r="D248" t="s">
        <v>502</v>
      </c>
      <c r="E248">
        <v>15</v>
      </c>
      <c r="F248" t="s">
        <v>469</v>
      </c>
      <c r="G248" t="s">
        <v>4225</v>
      </c>
      <c r="H248" t="s">
        <v>4717</v>
      </c>
      <c r="I248" t="s">
        <v>42</v>
      </c>
      <c r="J248" t="s">
        <v>2513</v>
      </c>
    </row>
    <row r="249" spans="1:10" x14ac:dyDescent="0.25">
      <c r="A249" t="s">
        <v>4718</v>
      </c>
      <c r="B249" s="3">
        <v>46272</v>
      </c>
      <c r="C249" t="s">
        <v>430</v>
      </c>
      <c r="D249" t="s">
        <v>349</v>
      </c>
      <c r="E249">
        <v>6</v>
      </c>
      <c r="F249" t="s">
        <v>2</v>
      </c>
      <c r="G249" t="s">
        <v>4231</v>
      </c>
      <c r="H249" t="s">
        <v>4719</v>
      </c>
      <c r="I249" t="s">
        <v>64</v>
      </c>
      <c r="J249" t="s">
        <v>2513</v>
      </c>
    </row>
    <row r="250" spans="1:10" x14ac:dyDescent="0.25">
      <c r="A250" t="s">
        <v>4720</v>
      </c>
      <c r="B250" s="3">
        <v>46272</v>
      </c>
      <c r="C250" t="s">
        <v>618</v>
      </c>
      <c r="D250" t="s">
        <v>587</v>
      </c>
      <c r="E250">
        <v>29</v>
      </c>
      <c r="F250" t="s">
        <v>2</v>
      </c>
      <c r="G250" t="s">
        <v>4225</v>
      </c>
      <c r="H250" t="s">
        <v>4574</v>
      </c>
      <c r="I250" t="s">
        <v>79</v>
      </c>
      <c r="J250" t="s">
        <v>2503</v>
      </c>
    </row>
    <row r="251" spans="1:10" x14ac:dyDescent="0.25">
      <c r="A251" t="s">
        <v>4721</v>
      </c>
      <c r="B251" s="3">
        <v>46272</v>
      </c>
      <c r="C251" t="s">
        <v>505</v>
      </c>
      <c r="D251" t="s">
        <v>479</v>
      </c>
      <c r="E251">
        <v>50</v>
      </c>
      <c r="F251" t="s">
        <v>469</v>
      </c>
      <c r="G251" t="s">
        <v>4228</v>
      </c>
      <c r="H251" t="s">
        <v>4722</v>
      </c>
      <c r="I251" t="s">
        <v>69</v>
      </c>
      <c r="J251" t="s">
        <v>2503</v>
      </c>
    </row>
    <row r="252" spans="1:10" x14ac:dyDescent="0.25">
      <c r="A252" t="s">
        <v>4723</v>
      </c>
      <c r="B252" s="3">
        <v>46272</v>
      </c>
      <c r="C252" t="s">
        <v>99</v>
      </c>
      <c r="D252" t="s">
        <v>26</v>
      </c>
      <c r="E252">
        <v>32</v>
      </c>
      <c r="F252" t="s">
        <v>2</v>
      </c>
      <c r="G252" t="s">
        <v>4234</v>
      </c>
      <c r="H252" t="s">
        <v>4724</v>
      </c>
      <c r="I252" t="s">
        <v>100</v>
      </c>
      <c r="J252" t="s">
        <v>2503</v>
      </c>
    </row>
    <row r="253" spans="1:10" x14ac:dyDescent="0.25">
      <c r="A253" t="s">
        <v>4725</v>
      </c>
      <c r="B253" s="3">
        <v>46272</v>
      </c>
      <c r="C253" t="s">
        <v>143</v>
      </c>
      <c r="D253" t="s">
        <v>47</v>
      </c>
      <c r="E253">
        <v>17</v>
      </c>
      <c r="F253" t="s">
        <v>2</v>
      </c>
      <c r="G253" t="s">
        <v>4228</v>
      </c>
      <c r="H253" t="s">
        <v>4726</v>
      </c>
      <c r="I253" t="s">
        <v>144</v>
      </c>
      <c r="J253" t="s">
        <v>2500</v>
      </c>
    </row>
    <row r="254" spans="1:10" x14ac:dyDescent="0.25">
      <c r="A254" t="s">
        <v>4727</v>
      </c>
      <c r="B254" s="3">
        <v>46272</v>
      </c>
      <c r="C254" t="s">
        <v>564</v>
      </c>
      <c r="D254" t="s">
        <v>481</v>
      </c>
      <c r="E254">
        <v>34</v>
      </c>
      <c r="F254" t="s">
        <v>2</v>
      </c>
      <c r="G254" t="s">
        <v>4228</v>
      </c>
      <c r="H254" t="s">
        <v>4728</v>
      </c>
      <c r="I254" t="s">
        <v>164</v>
      </c>
      <c r="J254" t="s">
        <v>2500</v>
      </c>
    </row>
    <row r="255" spans="1:10" x14ac:dyDescent="0.25">
      <c r="A255" t="s">
        <v>4729</v>
      </c>
      <c r="B255" s="3">
        <v>46272</v>
      </c>
      <c r="C255" t="s">
        <v>179</v>
      </c>
      <c r="D255" t="s">
        <v>47</v>
      </c>
      <c r="E255">
        <v>1</v>
      </c>
      <c r="F255" t="s">
        <v>2</v>
      </c>
      <c r="G255" t="s">
        <v>4228</v>
      </c>
      <c r="H255" t="s">
        <v>4730</v>
      </c>
      <c r="I255" t="s">
        <v>50</v>
      </c>
      <c r="J255" t="s">
        <v>2500</v>
      </c>
    </row>
    <row r="256" spans="1:10" x14ac:dyDescent="0.25">
      <c r="A256" t="s">
        <v>4731</v>
      </c>
      <c r="B256" s="3">
        <v>46272</v>
      </c>
      <c r="C256" t="s">
        <v>317</v>
      </c>
      <c r="D256" t="s">
        <v>225</v>
      </c>
      <c r="E256">
        <v>53</v>
      </c>
      <c r="F256" t="s">
        <v>2</v>
      </c>
      <c r="G256" t="s">
        <v>4222</v>
      </c>
      <c r="H256" t="s">
        <v>4732</v>
      </c>
      <c r="I256" t="s">
        <v>83</v>
      </c>
      <c r="J256" t="s">
        <v>2513</v>
      </c>
    </row>
    <row r="257" spans="1:10" x14ac:dyDescent="0.25">
      <c r="A257" t="s">
        <v>4733</v>
      </c>
      <c r="B257" s="3">
        <v>46272</v>
      </c>
      <c r="C257" t="s">
        <v>692</v>
      </c>
      <c r="D257" t="s">
        <v>582</v>
      </c>
      <c r="E257">
        <v>28</v>
      </c>
      <c r="F257" t="s">
        <v>2</v>
      </c>
      <c r="G257" t="s">
        <v>4228</v>
      </c>
      <c r="H257" t="s">
        <v>4734</v>
      </c>
      <c r="I257" t="s">
        <v>181</v>
      </c>
      <c r="J257" t="s">
        <v>2500</v>
      </c>
    </row>
    <row r="258" spans="1:10" x14ac:dyDescent="0.25">
      <c r="A258" t="s">
        <v>4735</v>
      </c>
      <c r="B258" s="3">
        <v>46272</v>
      </c>
      <c r="C258" t="s">
        <v>413</v>
      </c>
      <c r="D258" t="s">
        <v>360</v>
      </c>
      <c r="E258">
        <v>21</v>
      </c>
      <c r="F258" t="s">
        <v>358</v>
      </c>
      <c r="G258" t="s">
        <v>4231</v>
      </c>
      <c r="H258" t="s">
        <v>4736</v>
      </c>
      <c r="I258" t="s">
        <v>368</v>
      </c>
      <c r="J258" t="s">
        <v>2509</v>
      </c>
    </row>
    <row r="259" spans="1:10" x14ac:dyDescent="0.25">
      <c r="A259" t="s">
        <v>4737</v>
      </c>
      <c r="B259" s="3">
        <v>46272</v>
      </c>
      <c r="C259" t="s">
        <v>271</v>
      </c>
      <c r="D259" t="s">
        <v>225</v>
      </c>
      <c r="E259">
        <v>36</v>
      </c>
      <c r="F259" t="s">
        <v>2</v>
      </c>
      <c r="G259" t="s">
        <v>4231</v>
      </c>
      <c r="H259" t="s">
        <v>4738</v>
      </c>
      <c r="I259" t="s">
        <v>147</v>
      </c>
      <c r="J259" t="s">
        <v>2513</v>
      </c>
    </row>
    <row r="260" spans="1:10" x14ac:dyDescent="0.25">
      <c r="A260" t="s">
        <v>4739</v>
      </c>
      <c r="B260" s="3">
        <v>46272</v>
      </c>
      <c r="C260" t="s">
        <v>35</v>
      </c>
      <c r="D260" t="s">
        <v>29</v>
      </c>
      <c r="E260">
        <v>10</v>
      </c>
      <c r="F260" t="s">
        <v>2</v>
      </c>
      <c r="G260" t="s">
        <v>4231</v>
      </c>
      <c r="H260" t="s">
        <v>4740</v>
      </c>
      <c r="I260" t="s">
        <v>38</v>
      </c>
      <c r="J260" t="s">
        <v>2500</v>
      </c>
    </row>
    <row r="261" spans="1:10" x14ac:dyDescent="0.25">
      <c r="A261" t="s">
        <v>4741</v>
      </c>
      <c r="B261" s="3">
        <v>46272</v>
      </c>
      <c r="C261" t="s">
        <v>584</v>
      </c>
      <c r="D261" t="s">
        <v>585</v>
      </c>
      <c r="E261">
        <v>48</v>
      </c>
      <c r="F261" t="s">
        <v>355</v>
      </c>
      <c r="G261" t="s">
        <v>4225</v>
      </c>
      <c r="H261" t="s">
        <v>4742</v>
      </c>
      <c r="I261" t="s">
        <v>129</v>
      </c>
      <c r="J261" t="s">
        <v>2500</v>
      </c>
    </row>
    <row r="262" spans="1:10" x14ac:dyDescent="0.25">
      <c r="A262" t="s">
        <v>4743</v>
      </c>
      <c r="B262" s="3">
        <v>46272</v>
      </c>
      <c r="C262" t="s">
        <v>65</v>
      </c>
      <c r="D262" t="s">
        <v>66</v>
      </c>
      <c r="E262">
        <v>6</v>
      </c>
      <c r="F262" t="s">
        <v>2</v>
      </c>
      <c r="G262" t="s">
        <v>4234</v>
      </c>
      <c r="H262" t="s">
        <v>4744</v>
      </c>
      <c r="I262" t="s">
        <v>67</v>
      </c>
      <c r="J262" t="s">
        <v>2500</v>
      </c>
    </row>
    <row r="263" spans="1:10" x14ac:dyDescent="0.25">
      <c r="A263" t="s">
        <v>4745</v>
      </c>
      <c r="B263" s="3">
        <v>46272</v>
      </c>
      <c r="C263" t="s">
        <v>215</v>
      </c>
      <c r="D263" t="s">
        <v>216</v>
      </c>
      <c r="E263">
        <v>17</v>
      </c>
      <c r="F263" t="s">
        <v>2</v>
      </c>
      <c r="G263" t="s">
        <v>4231</v>
      </c>
      <c r="H263" t="s">
        <v>4746</v>
      </c>
      <c r="I263" t="s">
        <v>98</v>
      </c>
      <c r="J263" t="s">
        <v>2509</v>
      </c>
    </row>
    <row r="264" spans="1:10" x14ac:dyDescent="0.25">
      <c r="A264" t="s">
        <v>4747</v>
      </c>
      <c r="B264" s="3">
        <v>46272</v>
      </c>
      <c r="C264" t="s">
        <v>168</v>
      </c>
      <c r="D264" t="s">
        <v>1</v>
      </c>
      <c r="E264">
        <v>44</v>
      </c>
      <c r="F264" t="s">
        <v>2</v>
      </c>
      <c r="G264" t="s">
        <v>4234</v>
      </c>
      <c r="H264" t="s">
        <v>4748</v>
      </c>
      <c r="I264" t="s">
        <v>124</v>
      </c>
      <c r="J264" t="s">
        <v>2509</v>
      </c>
    </row>
    <row r="265" spans="1:10" x14ac:dyDescent="0.25">
      <c r="A265" t="s">
        <v>4749</v>
      </c>
      <c r="B265" s="3">
        <v>46272</v>
      </c>
      <c r="C265" t="s">
        <v>184</v>
      </c>
      <c r="D265" t="s">
        <v>15</v>
      </c>
      <c r="E265">
        <v>46</v>
      </c>
      <c r="F265" t="s">
        <v>2</v>
      </c>
      <c r="G265" t="s">
        <v>4222</v>
      </c>
      <c r="H265" t="s">
        <v>4750</v>
      </c>
      <c r="I265" t="s">
        <v>185</v>
      </c>
      <c r="J265" t="s">
        <v>2509</v>
      </c>
    </row>
    <row r="266" spans="1:10" x14ac:dyDescent="0.25">
      <c r="A266" t="s">
        <v>4751</v>
      </c>
      <c r="B266" s="3">
        <v>46272</v>
      </c>
      <c r="C266" t="s">
        <v>672</v>
      </c>
      <c r="D266" t="s">
        <v>612</v>
      </c>
      <c r="E266">
        <v>44</v>
      </c>
      <c r="F266" t="s">
        <v>2</v>
      </c>
      <c r="G266" t="s">
        <v>4228</v>
      </c>
      <c r="H266" t="s">
        <v>4752</v>
      </c>
      <c r="I266" t="s">
        <v>147</v>
      </c>
      <c r="J266" t="s">
        <v>2513</v>
      </c>
    </row>
    <row r="267" spans="1:10" x14ac:dyDescent="0.25">
      <c r="A267" t="s">
        <v>4753</v>
      </c>
      <c r="B267" s="3">
        <v>46272</v>
      </c>
      <c r="C267" t="s">
        <v>151</v>
      </c>
      <c r="D267" t="s">
        <v>44</v>
      </c>
      <c r="E267">
        <v>16</v>
      </c>
      <c r="F267" t="s">
        <v>2</v>
      </c>
      <c r="G267" t="s">
        <v>4225</v>
      </c>
      <c r="H267" t="s">
        <v>4754</v>
      </c>
      <c r="I267" t="s">
        <v>152</v>
      </c>
      <c r="J267" t="s">
        <v>2513</v>
      </c>
    </row>
    <row r="268" spans="1:10" x14ac:dyDescent="0.25">
      <c r="A268" t="s">
        <v>4755</v>
      </c>
      <c r="B268" s="3">
        <v>46272</v>
      </c>
      <c r="C268" t="s">
        <v>99</v>
      </c>
      <c r="D268" t="s">
        <v>26</v>
      </c>
      <c r="E268">
        <v>4</v>
      </c>
      <c r="F268" t="s">
        <v>2</v>
      </c>
      <c r="G268" t="s">
        <v>4228</v>
      </c>
      <c r="H268" t="s">
        <v>4756</v>
      </c>
      <c r="I268" t="s">
        <v>100</v>
      </c>
      <c r="J268" t="s">
        <v>2503</v>
      </c>
    </row>
    <row r="269" spans="1:10" x14ac:dyDescent="0.25">
      <c r="A269" t="s">
        <v>4757</v>
      </c>
      <c r="B269" s="3">
        <v>46272</v>
      </c>
      <c r="C269" t="s">
        <v>558</v>
      </c>
      <c r="D269" t="s">
        <v>471</v>
      </c>
      <c r="E269">
        <v>41</v>
      </c>
      <c r="F269" t="s">
        <v>355</v>
      </c>
      <c r="G269" t="s">
        <v>4231</v>
      </c>
      <c r="H269" t="s">
        <v>4758</v>
      </c>
      <c r="I269" t="s">
        <v>246</v>
      </c>
      <c r="J269" t="s">
        <v>2503</v>
      </c>
    </row>
    <row r="270" spans="1:10" x14ac:dyDescent="0.25">
      <c r="A270" t="s">
        <v>4759</v>
      </c>
      <c r="B270" s="3">
        <v>46272</v>
      </c>
      <c r="C270" t="s">
        <v>72</v>
      </c>
      <c r="D270" t="s">
        <v>29</v>
      </c>
      <c r="E270">
        <v>40</v>
      </c>
      <c r="F270" t="s">
        <v>2</v>
      </c>
      <c r="G270" t="s">
        <v>4225</v>
      </c>
      <c r="H270" t="s">
        <v>4760</v>
      </c>
      <c r="I270" t="s">
        <v>73</v>
      </c>
      <c r="J270" t="s">
        <v>2513</v>
      </c>
    </row>
    <row r="271" spans="1:10" x14ac:dyDescent="0.25">
      <c r="A271" t="s">
        <v>4761</v>
      </c>
      <c r="B271" s="3">
        <v>46272</v>
      </c>
      <c r="C271" t="s">
        <v>526</v>
      </c>
      <c r="D271" t="s">
        <v>476</v>
      </c>
      <c r="E271">
        <v>51</v>
      </c>
      <c r="F271" t="s">
        <v>477</v>
      </c>
      <c r="G271" t="s">
        <v>4222</v>
      </c>
      <c r="H271" t="s">
        <v>4762</v>
      </c>
      <c r="I271" t="s">
        <v>75</v>
      </c>
      <c r="J271" t="s">
        <v>2500</v>
      </c>
    </row>
    <row r="272" spans="1:10" x14ac:dyDescent="0.25">
      <c r="A272" t="s">
        <v>4763</v>
      </c>
      <c r="B272" s="3">
        <v>46272</v>
      </c>
      <c r="C272" t="s">
        <v>570</v>
      </c>
      <c r="D272" t="s">
        <v>484</v>
      </c>
      <c r="E272">
        <v>25</v>
      </c>
      <c r="F272" t="s">
        <v>469</v>
      </c>
      <c r="G272" t="s">
        <v>4234</v>
      </c>
      <c r="H272" t="s">
        <v>4726</v>
      </c>
      <c r="I272" t="s">
        <v>106</v>
      </c>
      <c r="J272" t="s">
        <v>2513</v>
      </c>
    </row>
    <row r="273" spans="1:10" x14ac:dyDescent="0.25">
      <c r="A273" t="s">
        <v>4764</v>
      </c>
      <c r="B273" s="3">
        <v>46272</v>
      </c>
      <c r="C273" t="s">
        <v>352</v>
      </c>
      <c r="D273" t="s">
        <v>344</v>
      </c>
      <c r="E273">
        <v>23</v>
      </c>
      <c r="F273" t="s">
        <v>346</v>
      </c>
      <c r="G273" t="s">
        <v>4228</v>
      </c>
      <c r="H273" t="s">
        <v>4765</v>
      </c>
      <c r="I273" t="s">
        <v>189</v>
      </c>
      <c r="J273" t="s">
        <v>2500</v>
      </c>
    </row>
    <row r="274" spans="1:10" x14ac:dyDescent="0.25">
      <c r="A274" t="s">
        <v>4766</v>
      </c>
      <c r="B274" s="3">
        <v>46272</v>
      </c>
      <c r="C274" t="s">
        <v>367</v>
      </c>
      <c r="D274" t="s">
        <v>344</v>
      </c>
      <c r="E274">
        <v>22</v>
      </c>
      <c r="F274" t="s">
        <v>346</v>
      </c>
      <c r="G274" t="s">
        <v>4234</v>
      </c>
      <c r="H274" t="s">
        <v>4767</v>
      </c>
      <c r="I274" t="s">
        <v>368</v>
      </c>
      <c r="J274" t="s">
        <v>2513</v>
      </c>
    </row>
    <row r="275" spans="1:10" x14ac:dyDescent="0.25">
      <c r="A275" t="s">
        <v>4768</v>
      </c>
      <c r="B275" s="3">
        <v>46272</v>
      </c>
      <c r="C275" t="s">
        <v>452</v>
      </c>
      <c r="D275" t="s">
        <v>344</v>
      </c>
      <c r="E275">
        <v>9</v>
      </c>
      <c r="F275" t="s">
        <v>346</v>
      </c>
      <c r="G275" t="s">
        <v>4231</v>
      </c>
      <c r="H275" t="s">
        <v>4769</v>
      </c>
      <c r="I275" t="s">
        <v>250</v>
      </c>
      <c r="J275" t="s">
        <v>2503</v>
      </c>
    </row>
    <row r="276" spans="1:10" x14ac:dyDescent="0.25">
      <c r="A276" t="s">
        <v>4770</v>
      </c>
      <c r="B276" s="3">
        <v>46272</v>
      </c>
      <c r="C276" t="s">
        <v>579</v>
      </c>
      <c r="D276" t="s">
        <v>490</v>
      </c>
      <c r="E276">
        <v>49</v>
      </c>
      <c r="F276" t="s">
        <v>355</v>
      </c>
      <c r="G276" t="s">
        <v>4234</v>
      </c>
      <c r="H276" t="s">
        <v>4771</v>
      </c>
      <c r="I276" t="s">
        <v>93</v>
      </c>
      <c r="J276" t="s">
        <v>2503</v>
      </c>
    </row>
    <row r="277" spans="1:10" x14ac:dyDescent="0.25">
      <c r="A277" t="s">
        <v>4772</v>
      </c>
      <c r="B277" s="3">
        <v>46272</v>
      </c>
      <c r="C277" t="s">
        <v>306</v>
      </c>
      <c r="D277" t="s">
        <v>223</v>
      </c>
      <c r="E277">
        <v>4</v>
      </c>
      <c r="F277" t="s">
        <v>2</v>
      </c>
      <c r="G277" t="s">
        <v>4231</v>
      </c>
      <c r="H277" t="s">
        <v>4773</v>
      </c>
      <c r="I277" t="s">
        <v>274</v>
      </c>
      <c r="J277" t="s">
        <v>2513</v>
      </c>
    </row>
    <row r="278" spans="1:10" x14ac:dyDescent="0.25">
      <c r="A278" t="s">
        <v>4774</v>
      </c>
      <c r="B278" s="3">
        <v>46273</v>
      </c>
      <c r="C278" t="s">
        <v>473</v>
      </c>
      <c r="D278" t="s">
        <v>474</v>
      </c>
      <c r="E278">
        <v>40</v>
      </c>
      <c r="F278" t="s">
        <v>2</v>
      </c>
      <c r="G278" t="s">
        <v>4222</v>
      </c>
      <c r="H278" t="s">
        <v>4775</v>
      </c>
      <c r="I278" t="s">
        <v>164</v>
      </c>
      <c r="J278" t="s">
        <v>2500</v>
      </c>
    </row>
    <row r="279" spans="1:10" x14ac:dyDescent="0.25">
      <c r="A279" t="s">
        <v>4776</v>
      </c>
      <c r="B279" s="3">
        <v>46273</v>
      </c>
      <c r="C279" t="s">
        <v>197</v>
      </c>
      <c r="D279" t="s">
        <v>21</v>
      </c>
      <c r="E279">
        <v>24</v>
      </c>
      <c r="F279" t="s">
        <v>2</v>
      </c>
      <c r="G279" t="s">
        <v>4222</v>
      </c>
      <c r="H279" t="s">
        <v>4777</v>
      </c>
      <c r="I279" t="s">
        <v>171</v>
      </c>
      <c r="J279" t="s">
        <v>2500</v>
      </c>
    </row>
    <row r="280" spans="1:10" x14ac:dyDescent="0.25">
      <c r="A280" t="s">
        <v>4778</v>
      </c>
      <c r="B280" s="3">
        <v>46273</v>
      </c>
      <c r="C280" t="s">
        <v>693</v>
      </c>
      <c r="D280" t="s">
        <v>582</v>
      </c>
      <c r="E280">
        <v>42</v>
      </c>
      <c r="F280" t="s">
        <v>2</v>
      </c>
      <c r="G280" t="s">
        <v>4231</v>
      </c>
      <c r="H280" t="s">
        <v>4779</v>
      </c>
      <c r="I280" t="s">
        <v>175</v>
      </c>
      <c r="J280" t="s">
        <v>2500</v>
      </c>
    </row>
    <row r="281" spans="1:10" x14ac:dyDescent="0.25">
      <c r="A281" t="s">
        <v>4780</v>
      </c>
      <c r="B281" s="3">
        <v>46273</v>
      </c>
      <c r="C281" t="s">
        <v>487</v>
      </c>
      <c r="D281" t="s">
        <v>488</v>
      </c>
      <c r="E281">
        <v>10</v>
      </c>
      <c r="F281" t="s">
        <v>469</v>
      </c>
      <c r="G281" t="s">
        <v>4225</v>
      </c>
      <c r="H281" t="s">
        <v>4781</v>
      </c>
      <c r="I281" t="s">
        <v>142</v>
      </c>
      <c r="J281" t="s">
        <v>2513</v>
      </c>
    </row>
    <row r="282" spans="1:10" x14ac:dyDescent="0.25">
      <c r="A282" t="s">
        <v>4782</v>
      </c>
      <c r="B282" s="3">
        <v>46273</v>
      </c>
      <c r="C282" t="s">
        <v>667</v>
      </c>
      <c r="D282" t="s">
        <v>602</v>
      </c>
      <c r="E282">
        <v>31</v>
      </c>
      <c r="F282" t="s">
        <v>2</v>
      </c>
      <c r="G282" t="s">
        <v>4231</v>
      </c>
      <c r="H282" t="s">
        <v>4783</v>
      </c>
      <c r="I282" t="s">
        <v>201</v>
      </c>
      <c r="J282" t="s">
        <v>2513</v>
      </c>
    </row>
    <row r="283" spans="1:10" x14ac:dyDescent="0.25">
      <c r="A283" t="s">
        <v>4784</v>
      </c>
      <c r="B283" s="3">
        <v>46273</v>
      </c>
      <c r="C283" t="s">
        <v>593</v>
      </c>
      <c r="D283" t="s">
        <v>594</v>
      </c>
      <c r="E283">
        <v>19</v>
      </c>
      <c r="F283" t="s">
        <v>595</v>
      </c>
      <c r="G283" t="s">
        <v>4225</v>
      </c>
      <c r="H283" t="s">
        <v>4785</v>
      </c>
      <c r="I283" t="s">
        <v>149</v>
      </c>
      <c r="J283" t="s">
        <v>2500</v>
      </c>
    </row>
    <row r="284" spans="1:10" x14ac:dyDescent="0.25">
      <c r="A284" t="s">
        <v>4786</v>
      </c>
      <c r="B284" s="3">
        <v>46273</v>
      </c>
      <c r="C284" t="s">
        <v>186</v>
      </c>
      <c r="D284" t="s">
        <v>26</v>
      </c>
      <c r="E284">
        <v>19</v>
      </c>
      <c r="F284" t="s">
        <v>2</v>
      </c>
      <c r="G284" t="s">
        <v>4228</v>
      </c>
      <c r="H284" t="s">
        <v>4787</v>
      </c>
      <c r="I284" t="s">
        <v>52</v>
      </c>
      <c r="J284" t="s">
        <v>2509</v>
      </c>
    </row>
    <row r="285" spans="1:10" x14ac:dyDescent="0.25">
      <c r="A285" t="s">
        <v>4788</v>
      </c>
      <c r="B285" s="3">
        <v>46273</v>
      </c>
      <c r="C285" t="s">
        <v>145</v>
      </c>
      <c r="D285" t="s">
        <v>26</v>
      </c>
      <c r="E285">
        <v>25</v>
      </c>
      <c r="F285" t="s">
        <v>2</v>
      </c>
      <c r="G285" t="s">
        <v>4225</v>
      </c>
      <c r="H285" t="s">
        <v>4789</v>
      </c>
      <c r="I285" t="s">
        <v>59</v>
      </c>
      <c r="J285" t="s">
        <v>2513</v>
      </c>
    </row>
    <row r="286" spans="1:10" x14ac:dyDescent="0.25">
      <c r="A286" t="s">
        <v>4790</v>
      </c>
      <c r="B286" s="3">
        <v>46273</v>
      </c>
      <c r="C286" t="s">
        <v>504</v>
      </c>
      <c r="D286" t="s">
        <v>474</v>
      </c>
      <c r="E286">
        <v>41</v>
      </c>
      <c r="F286" t="s">
        <v>2</v>
      </c>
      <c r="G286" t="s">
        <v>4231</v>
      </c>
      <c r="H286" t="s">
        <v>4791</v>
      </c>
      <c r="I286" t="s">
        <v>274</v>
      </c>
      <c r="J286" t="s">
        <v>2513</v>
      </c>
    </row>
    <row r="287" spans="1:10" x14ac:dyDescent="0.25">
      <c r="A287" t="s">
        <v>4792</v>
      </c>
      <c r="B287" s="3">
        <v>46273</v>
      </c>
      <c r="C287" t="s">
        <v>548</v>
      </c>
      <c r="D287" t="s">
        <v>502</v>
      </c>
      <c r="E287">
        <v>14</v>
      </c>
      <c r="F287" t="s">
        <v>469</v>
      </c>
      <c r="G287" t="s">
        <v>4225</v>
      </c>
      <c r="H287" t="s">
        <v>4793</v>
      </c>
      <c r="I287" t="s">
        <v>181</v>
      </c>
      <c r="J287" t="s">
        <v>2513</v>
      </c>
    </row>
    <row r="288" spans="1:10" x14ac:dyDescent="0.25">
      <c r="A288" t="s">
        <v>4794</v>
      </c>
      <c r="B288" s="3">
        <v>46273</v>
      </c>
      <c r="C288" t="s">
        <v>579</v>
      </c>
      <c r="D288" t="s">
        <v>490</v>
      </c>
      <c r="E288">
        <v>14</v>
      </c>
      <c r="F288" t="s">
        <v>355</v>
      </c>
      <c r="G288" t="s">
        <v>4225</v>
      </c>
      <c r="H288" t="s">
        <v>4795</v>
      </c>
      <c r="I288" t="s">
        <v>93</v>
      </c>
      <c r="J288" t="s">
        <v>2509</v>
      </c>
    </row>
    <row r="289" spans="1:10" x14ac:dyDescent="0.25">
      <c r="A289" t="s">
        <v>4796</v>
      </c>
      <c r="B289" s="3">
        <v>46273</v>
      </c>
      <c r="C289" t="s">
        <v>543</v>
      </c>
      <c r="D289" t="s">
        <v>484</v>
      </c>
      <c r="E289">
        <v>46</v>
      </c>
      <c r="F289" t="s">
        <v>469</v>
      </c>
      <c r="G289" t="s">
        <v>4234</v>
      </c>
      <c r="H289" t="s">
        <v>4797</v>
      </c>
      <c r="I289" t="s">
        <v>77</v>
      </c>
      <c r="J289" t="s">
        <v>2500</v>
      </c>
    </row>
    <row r="290" spans="1:10" x14ac:dyDescent="0.25">
      <c r="A290" t="s">
        <v>4798</v>
      </c>
      <c r="B290" s="3">
        <v>46273</v>
      </c>
      <c r="C290" t="s">
        <v>679</v>
      </c>
      <c r="D290" t="s">
        <v>597</v>
      </c>
      <c r="E290">
        <v>10</v>
      </c>
      <c r="F290" t="s">
        <v>355</v>
      </c>
      <c r="G290" t="s">
        <v>4222</v>
      </c>
      <c r="H290" t="s">
        <v>4799</v>
      </c>
      <c r="I290" t="s">
        <v>368</v>
      </c>
      <c r="J290" t="s">
        <v>2509</v>
      </c>
    </row>
    <row r="291" spans="1:10" x14ac:dyDescent="0.25">
      <c r="A291" t="s">
        <v>4800</v>
      </c>
      <c r="B291" s="3">
        <v>46273</v>
      </c>
      <c r="C291" t="s">
        <v>127</v>
      </c>
      <c r="D291" t="s">
        <v>26</v>
      </c>
      <c r="E291">
        <v>37</v>
      </c>
      <c r="F291" t="s">
        <v>2</v>
      </c>
      <c r="G291" t="s">
        <v>4228</v>
      </c>
      <c r="H291" t="s">
        <v>4801</v>
      </c>
      <c r="I291" t="s">
        <v>100</v>
      </c>
      <c r="J291" t="s">
        <v>2513</v>
      </c>
    </row>
    <row r="292" spans="1:10" x14ac:dyDescent="0.25">
      <c r="A292" t="s">
        <v>4802</v>
      </c>
      <c r="B292" s="3">
        <v>46273</v>
      </c>
      <c r="C292" t="s">
        <v>413</v>
      </c>
      <c r="D292" t="s">
        <v>360</v>
      </c>
      <c r="E292">
        <v>10</v>
      </c>
      <c r="F292" t="s">
        <v>358</v>
      </c>
      <c r="G292" t="s">
        <v>4225</v>
      </c>
      <c r="H292" t="s">
        <v>4803</v>
      </c>
      <c r="I292" t="s">
        <v>368</v>
      </c>
      <c r="J292" t="s">
        <v>2503</v>
      </c>
    </row>
    <row r="293" spans="1:10" x14ac:dyDescent="0.25">
      <c r="A293" t="s">
        <v>4804</v>
      </c>
      <c r="B293" s="3">
        <v>46273</v>
      </c>
      <c r="C293" t="s">
        <v>232</v>
      </c>
      <c r="D293" t="s">
        <v>225</v>
      </c>
      <c r="E293">
        <v>49</v>
      </c>
      <c r="F293" t="s">
        <v>2</v>
      </c>
      <c r="G293" t="s">
        <v>4228</v>
      </c>
      <c r="H293" t="s">
        <v>4805</v>
      </c>
      <c r="I293" t="s">
        <v>30</v>
      </c>
      <c r="J293" t="s">
        <v>2509</v>
      </c>
    </row>
    <row r="294" spans="1:10" x14ac:dyDescent="0.25">
      <c r="A294" t="s">
        <v>4806</v>
      </c>
      <c r="B294" s="3">
        <v>46273</v>
      </c>
      <c r="C294" t="s">
        <v>572</v>
      </c>
      <c r="D294" t="s">
        <v>490</v>
      </c>
      <c r="E294">
        <v>27</v>
      </c>
      <c r="F294" t="s">
        <v>355</v>
      </c>
      <c r="G294" t="s">
        <v>4222</v>
      </c>
      <c r="H294" t="s">
        <v>4807</v>
      </c>
      <c r="I294" t="s">
        <v>27</v>
      </c>
      <c r="J294" t="s">
        <v>2513</v>
      </c>
    </row>
    <row r="295" spans="1:10" x14ac:dyDescent="0.25">
      <c r="A295" t="s">
        <v>4808</v>
      </c>
      <c r="B295" s="3">
        <v>46273</v>
      </c>
      <c r="C295" t="s">
        <v>638</v>
      </c>
      <c r="D295" t="s">
        <v>612</v>
      </c>
      <c r="E295">
        <v>3</v>
      </c>
      <c r="F295" t="s">
        <v>2</v>
      </c>
      <c r="G295" t="s">
        <v>4225</v>
      </c>
      <c r="H295" t="s">
        <v>4809</v>
      </c>
      <c r="I295" t="s">
        <v>100</v>
      </c>
      <c r="J295" t="s">
        <v>2513</v>
      </c>
    </row>
    <row r="296" spans="1:10" x14ac:dyDescent="0.25">
      <c r="A296" t="s">
        <v>4810</v>
      </c>
      <c r="B296" s="3">
        <v>46273</v>
      </c>
      <c r="C296" t="s">
        <v>116</v>
      </c>
      <c r="D296" t="s">
        <v>54</v>
      </c>
      <c r="E296">
        <v>41</v>
      </c>
      <c r="F296" t="s">
        <v>2</v>
      </c>
      <c r="G296" t="s">
        <v>4231</v>
      </c>
      <c r="H296" t="s">
        <v>4811</v>
      </c>
      <c r="I296" t="s">
        <v>117</v>
      </c>
      <c r="J296" t="s">
        <v>2513</v>
      </c>
    </row>
    <row r="297" spans="1:10" x14ac:dyDescent="0.25">
      <c r="A297" t="s">
        <v>4812</v>
      </c>
      <c r="B297" s="3">
        <v>46273</v>
      </c>
      <c r="C297" t="s">
        <v>180</v>
      </c>
      <c r="D297" t="s">
        <v>15</v>
      </c>
      <c r="E297">
        <v>49</v>
      </c>
      <c r="F297" t="s">
        <v>2</v>
      </c>
      <c r="G297" t="s">
        <v>4228</v>
      </c>
      <c r="H297" t="s">
        <v>4813</v>
      </c>
      <c r="I297" t="s">
        <v>181</v>
      </c>
      <c r="J297" t="s">
        <v>2513</v>
      </c>
    </row>
    <row r="298" spans="1:10" x14ac:dyDescent="0.25">
      <c r="A298" t="s">
        <v>4814</v>
      </c>
      <c r="B298" s="3">
        <v>46273</v>
      </c>
      <c r="C298" t="s">
        <v>505</v>
      </c>
      <c r="D298" t="s">
        <v>479</v>
      </c>
      <c r="E298">
        <v>34</v>
      </c>
      <c r="F298" t="s">
        <v>469</v>
      </c>
      <c r="G298" t="s">
        <v>4228</v>
      </c>
      <c r="H298" t="s">
        <v>4815</v>
      </c>
      <c r="I298" t="s">
        <v>69</v>
      </c>
      <c r="J298" t="s">
        <v>2500</v>
      </c>
    </row>
    <row r="299" spans="1:10" x14ac:dyDescent="0.25">
      <c r="A299" t="s">
        <v>4816</v>
      </c>
      <c r="B299" s="3">
        <v>46273</v>
      </c>
      <c r="C299" t="s">
        <v>241</v>
      </c>
      <c r="D299" t="s">
        <v>223</v>
      </c>
      <c r="E299">
        <v>10</v>
      </c>
      <c r="F299" t="s">
        <v>2</v>
      </c>
      <c r="G299" t="s">
        <v>4222</v>
      </c>
      <c r="H299" t="s">
        <v>4817</v>
      </c>
      <c r="I299" t="s">
        <v>242</v>
      </c>
      <c r="J299" t="s">
        <v>2500</v>
      </c>
    </row>
    <row r="300" spans="1:10" x14ac:dyDescent="0.25">
      <c r="A300" t="s">
        <v>4818</v>
      </c>
      <c r="B300" s="3">
        <v>46273</v>
      </c>
      <c r="C300" t="s">
        <v>46</v>
      </c>
      <c r="D300" t="s">
        <v>47</v>
      </c>
      <c r="E300">
        <v>13</v>
      </c>
      <c r="F300" t="s">
        <v>2</v>
      </c>
      <c r="G300" t="s">
        <v>4231</v>
      </c>
      <c r="H300" t="s">
        <v>4819</v>
      </c>
      <c r="I300" t="s">
        <v>50</v>
      </c>
      <c r="J300" t="s">
        <v>2503</v>
      </c>
    </row>
    <row r="301" spans="1:10" x14ac:dyDescent="0.25">
      <c r="A301" t="s">
        <v>4820</v>
      </c>
      <c r="B301" s="3">
        <v>46273</v>
      </c>
      <c r="C301" t="s">
        <v>70</v>
      </c>
      <c r="D301" t="s">
        <v>1</v>
      </c>
      <c r="E301">
        <v>47</v>
      </c>
      <c r="F301" t="s">
        <v>2</v>
      </c>
      <c r="G301" t="s">
        <v>4234</v>
      </c>
      <c r="H301" t="s">
        <v>4821</v>
      </c>
      <c r="I301" t="s">
        <v>71</v>
      </c>
      <c r="J301" t="s">
        <v>2503</v>
      </c>
    </row>
    <row r="302" spans="1:10" x14ac:dyDescent="0.25">
      <c r="A302" t="s">
        <v>4822</v>
      </c>
      <c r="B302" s="3">
        <v>46273</v>
      </c>
      <c r="C302" t="s">
        <v>43</v>
      </c>
      <c r="D302" t="s">
        <v>44</v>
      </c>
      <c r="E302">
        <v>6</v>
      </c>
      <c r="F302" t="s">
        <v>2</v>
      </c>
      <c r="G302" t="s">
        <v>4234</v>
      </c>
      <c r="H302" t="s">
        <v>4823</v>
      </c>
      <c r="I302" t="s">
        <v>45</v>
      </c>
      <c r="J302" t="s">
        <v>2503</v>
      </c>
    </row>
    <row r="303" spans="1:10" x14ac:dyDescent="0.25">
      <c r="A303" t="s">
        <v>4824</v>
      </c>
      <c r="B303" s="3">
        <v>46273</v>
      </c>
      <c r="C303" t="s">
        <v>593</v>
      </c>
      <c r="D303" t="s">
        <v>594</v>
      </c>
      <c r="E303">
        <v>4</v>
      </c>
      <c r="F303" t="s">
        <v>595</v>
      </c>
      <c r="G303" t="s">
        <v>4225</v>
      </c>
      <c r="H303" t="s">
        <v>4825</v>
      </c>
      <c r="I303" t="s">
        <v>149</v>
      </c>
      <c r="J303" t="s">
        <v>2509</v>
      </c>
    </row>
    <row r="304" spans="1:10" x14ac:dyDescent="0.25">
      <c r="A304" t="s">
        <v>4826</v>
      </c>
      <c r="B304" s="3">
        <v>46273</v>
      </c>
      <c r="C304" t="s">
        <v>653</v>
      </c>
      <c r="D304" t="s">
        <v>585</v>
      </c>
      <c r="E304">
        <v>20</v>
      </c>
      <c r="F304" t="s">
        <v>355</v>
      </c>
      <c r="G304" t="s">
        <v>4234</v>
      </c>
      <c r="H304" t="s">
        <v>4827</v>
      </c>
      <c r="I304" t="s">
        <v>250</v>
      </c>
      <c r="J304" t="s">
        <v>2509</v>
      </c>
    </row>
    <row r="305" spans="1:10" x14ac:dyDescent="0.25">
      <c r="A305" t="s">
        <v>4828</v>
      </c>
      <c r="B305" s="3">
        <v>46273</v>
      </c>
      <c r="C305" t="s">
        <v>412</v>
      </c>
      <c r="D305" t="s">
        <v>351</v>
      </c>
      <c r="E305">
        <v>21</v>
      </c>
      <c r="F305" t="s">
        <v>2</v>
      </c>
      <c r="G305" t="s">
        <v>4228</v>
      </c>
      <c r="H305" t="s">
        <v>4829</v>
      </c>
      <c r="I305" t="s">
        <v>140</v>
      </c>
      <c r="J305" t="s">
        <v>2509</v>
      </c>
    </row>
    <row r="306" spans="1:10" x14ac:dyDescent="0.25">
      <c r="A306" t="s">
        <v>4830</v>
      </c>
      <c r="B306" s="3">
        <v>46273</v>
      </c>
      <c r="C306" t="s">
        <v>670</v>
      </c>
      <c r="D306" t="s">
        <v>599</v>
      </c>
      <c r="E306">
        <v>6</v>
      </c>
      <c r="F306" t="s">
        <v>2</v>
      </c>
      <c r="G306" t="s">
        <v>4228</v>
      </c>
      <c r="H306" t="s">
        <v>4831</v>
      </c>
      <c r="I306" t="s">
        <v>93</v>
      </c>
      <c r="J306" t="s">
        <v>2509</v>
      </c>
    </row>
    <row r="307" spans="1:10" x14ac:dyDescent="0.25">
      <c r="A307" t="s">
        <v>4832</v>
      </c>
      <c r="B307" s="3">
        <v>46273</v>
      </c>
      <c r="C307" t="s">
        <v>241</v>
      </c>
      <c r="D307" t="s">
        <v>223</v>
      </c>
      <c r="E307">
        <v>42</v>
      </c>
      <c r="F307" t="s">
        <v>2</v>
      </c>
      <c r="G307" t="s">
        <v>4222</v>
      </c>
      <c r="H307" t="s">
        <v>4833</v>
      </c>
      <c r="I307" t="s">
        <v>242</v>
      </c>
      <c r="J307" t="s">
        <v>2509</v>
      </c>
    </row>
    <row r="308" spans="1:10" x14ac:dyDescent="0.25">
      <c r="A308" t="s">
        <v>4834</v>
      </c>
      <c r="B308" s="3">
        <v>46273</v>
      </c>
      <c r="C308" t="s">
        <v>688</v>
      </c>
      <c r="D308" t="s">
        <v>589</v>
      </c>
      <c r="E308">
        <v>51</v>
      </c>
      <c r="F308" t="s">
        <v>469</v>
      </c>
      <c r="G308" t="s">
        <v>4234</v>
      </c>
      <c r="H308" t="s">
        <v>4835</v>
      </c>
      <c r="I308" t="s">
        <v>133</v>
      </c>
      <c r="J308" t="s">
        <v>2503</v>
      </c>
    </row>
    <row r="309" spans="1:10" x14ac:dyDescent="0.25">
      <c r="A309" t="s">
        <v>4836</v>
      </c>
      <c r="B309" s="3">
        <v>46273</v>
      </c>
      <c r="C309" t="s">
        <v>541</v>
      </c>
      <c r="D309" t="s">
        <v>490</v>
      </c>
      <c r="E309">
        <v>2</v>
      </c>
      <c r="F309" t="s">
        <v>355</v>
      </c>
      <c r="G309" t="s">
        <v>4225</v>
      </c>
      <c r="H309" t="s">
        <v>4837</v>
      </c>
      <c r="I309" t="s">
        <v>106</v>
      </c>
      <c r="J309" t="s">
        <v>2509</v>
      </c>
    </row>
    <row r="310" spans="1:10" x14ac:dyDescent="0.25">
      <c r="A310" t="s">
        <v>4838</v>
      </c>
      <c r="B310" s="3">
        <v>46273</v>
      </c>
      <c r="C310" t="s">
        <v>217</v>
      </c>
      <c r="D310" t="s">
        <v>218</v>
      </c>
      <c r="E310">
        <v>36</v>
      </c>
      <c r="F310" t="s">
        <v>2</v>
      </c>
      <c r="G310" t="s">
        <v>4222</v>
      </c>
      <c r="H310" t="s">
        <v>4839</v>
      </c>
      <c r="I310" t="s">
        <v>219</v>
      </c>
      <c r="J310" t="s">
        <v>2513</v>
      </c>
    </row>
    <row r="311" spans="1:10" x14ac:dyDescent="0.25">
      <c r="A311" t="s">
        <v>4840</v>
      </c>
      <c r="B311" s="3">
        <v>46273</v>
      </c>
      <c r="C311" t="s">
        <v>641</v>
      </c>
      <c r="D311" t="s">
        <v>589</v>
      </c>
      <c r="E311">
        <v>55</v>
      </c>
      <c r="F311" t="s">
        <v>469</v>
      </c>
      <c r="G311" t="s">
        <v>4231</v>
      </c>
      <c r="H311" t="s">
        <v>4841</v>
      </c>
      <c r="I311" t="s">
        <v>124</v>
      </c>
      <c r="J311" t="s">
        <v>2503</v>
      </c>
    </row>
    <row r="312" spans="1:10" x14ac:dyDescent="0.25">
      <c r="A312" t="s">
        <v>4842</v>
      </c>
      <c r="B312" s="3">
        <v>46273</v>
      </c>
      <c r="C312" t="s">
        <v>453</v>
      </c>
      <c r="D312" t="s">
        <v>354</v>
      </c>
      <c r="E312">
        <v>37</v>
      </c>
      <c r="F312" t="s">
        <v>355</v>
      </c>
      <c r="G312" t="s">
        <v>4222</v>
      </c>
      <c r="H312" t="s">
        <v>4843</v>
      </c>
      <c r="I312" t="s">
        <v>124</v>
      </c>
      <c r="J312" t="s">
        <v>2503</v>
      </c>
    </row>
    <row r="313" spans="1:10" x14ac:dyDescent="0.25">
      <c r="A313" t="s">
        <v>4844</v>
      </c>
      <c r="B313" s="3">
        <v>46273</v>
      </c>
      <c r="C313" t="s">
        <v>524</v>
      </c>
      <c r="D313" t="s">
        <v>474</v>
      </c>
      <c r="E313">
        <v>11</v>
      </c>
      <c r="F313" t="s">
        <v>2</v>
      </c>
      <c r="G313" t="s">
        <v>4228</v>
      </c>
      <c r="H313" t="s">
        <v>4845</v>
      </c>
      <c r="I313" t="s">
        <v>257</v>
      </c>
      <c r="J313" t="s">
        <v>2513</v>
      </c>
    </row>
    <row r="314" spans="1:10" x14ac:dyDescent="0.25">
      <c r="A314" t="s">
        <v>4846</v>
      </c>
      <c r="B314" s="3">
        <v>46273</v>
      </c>
      <c r="C314" t="s">
        <v>283</v>
      </c>
      <c r="D314" t="s">
        <v>234</v>
      </c>
      <c r="E314">
        <v>35</v>
      </c>
      <c r="F314" t="s">
        <v>2</v>
      </c>
      <c r="G314" t="s">
        <v>4231</v>
      </c>
      <c r="H314" t="s">
        <v>4847</v>
      </c>
      <c r="I314" t="s">
        <v>59</v>
      </c>
      <c r="J314" t="s">
        <v>2513</v>
      </c>
    </row>
    <row r="315" spans="1:10" x14ac:dyDescent="0.25">
      <c r="A315" t="s">
        <v>4848</v>
      </c>
      <c r="B315" s="3">
        <v>46273</v>
      </c>
      <c r="C315" t="s">
        <v>363</v>
      </c>
      <c r="D315" t="s">
        <v>364</v>
      </c>
      <c r="E315">
        <v>42</v>
      </c>
      <c r="F315" t="s">
        <v>358</v>
      </c>
      <c r="G315" t="s">
        <v>4231</v>
      </c>
      <c r="H315" t="s">
        <v>4849</v>
      </c>
      <c r="I315" t="s">
        <v>57</v>
      </c>
      <c r="J315" t="s">
        <v>2513</v>
      </c>
    </row>
    <row r="316" spans="1:10" x14ac:dyDescent="0.25">
      <c r="A316" t="s">
        <v>4850</v>
      </c>
      <c r="B316" s="3">
        <v>46273</v>
      </c>
      <c r="C316" t="s">
        <v>415</v>
      </c>
      <c r="D316" t="s">
        <v>382</v>
      </c>
      <c r="E316">
        <v>37</v>
      </c>
      <c r="F316" t="s">
        <v>383</v>
      </c>
      <c r="G316" t="s">
        <v>4234</v>
      </c>
      <c r="H316" t="s">
        <v>4851</v>
      </c>
      <c r="I316" t="s">
        <v>152</v>
      </c>
      <c r="J316" t="s">
        <v>2500</v>
      </c>
    </row>
    <row r="317" spans="1:10" x14ac:dyDescent="0.25">
      <c r="A317" t="s">
        <v>4852</v>
      </c>
      <c r="B317" s="3">
        <v>46273</v>
      </c>
      <c r="C317" t="s">
        <v>496</v>
      </c>
      <c r="D317" t="s">
        <v>490</v>
      </c>
      <c r="E317">
        <v>23</v>
      </c>
      <c r="F317" t="s">
        <v>355</v>
      </c>
      <c r="G317" t="s">
        <v>4234</v>
      </c>
      <c r="H317" t="s">
        <v>4853</v>
      </c>
      <c r="I317" t="s">
        <v>42</v>
      </c>
      <c r="J317" t="s">
        <v>2509</v>
      </c>
    </row>
    <row r="318" spans="1:10" x14ac:dyDescent="0.25">
      <c r="A318" t="s">
        <v>4854</v>
      </c>
      <c r="B318" s="3">
        <v>46273</v>
      </c>
      <c r="C318" t="s">
        <v>640</v>
      </c>
      <c r="D318" t="s">
        <v>629</v>
      </c>
      <c r="E318">
        <v>55</v>
      </c>
      <c r="F318" t="s">
        <v>355</v>
      </c>
      <c r="G318" t="s">
        <v>4222</v>
      </c>
      <c r="H318" t="s">
        <v>4855</v>
      </c>
      <c r="I318" t="s">
        <v>79</v>
      </c>
      <c r="J318" t="s">
        <v>2500</v>
      </c>
    </row>
    <row r="319" spans="1:10" x14ac:dyDescent="0.25">
      <c r="A319" t="s">
        <v>4856</v>
      </c>
      <c r="B319" s="3">
        <v>46273</v>
      </c>
      <c r="C319" t="s">
        <v>424</v>
      </c>
      <c r="D319" t="s">
        <v>349</v>
      </c>
      <c r="E319">
        <v>31</v>
      </c>
      <c r="F319" t="s">
        <v>2</v>
      </c>
      <c r="G319" t="s">
        <v>4231</v>
      </c>
      <c r="H319" t="s">
        <v>4857</v>
      </c>
      <c r="I319" t="s">
        <v>152</v>
      </c>
      <c r="J319" t="s">
        <v>2500</v>
      </c>
    </row>
    <row r="320" spans="1:10" x14ac:dyDescent="0.25">
      <c r="A320" t="s">
        <v>4858</v>
      </c>
      <c r="B320" s="3">
        <v>46273</v>
      </c>
      <c r="C320" t="s">
        <v>528</v>
      </c>
      <c r="D320" t="s">
        <v>479</v>
      </c>
      <c r="E320">
        <v>30</v>
      </c>
      <c r="F320" t="s">
        <v>469</v>
      </c>
      <c r="G320" t="s">
        <v>4225</v>
      </c>
      <c r="H320" t="s">
        <v>4859</v>
      </c>
      <c r="I320" t="s">
        <v>274</v>
      </c>
      <c r="J320" t="s">
        <v>2509</v>
      </c>
    </row>
    <row r="321" spans="1:10" x14ac:dyDescent="0.25">
      <c r="A321" t="s">
        <v>4860</v>
      </c>
      <c r="B321" s="3">
        <v>46273</v>
      </c>
      <c r="C321" t="s">
        <v>391</v>
      </c>
      <c r="D321" t="s">
        <v>357</v>
      </c>
      <c r="E321">
        <v>28</v>
      </c>
      <c r="F321" t="s">
        <v>358</v>
      </c>
      <c r="G321" t="s">
        <v>4228</v>
      </c>
      <c r="H321" t="s">
        <v>4861</v>
      </c>
      <c r="I321" t="s">
        <v>221</v>
      </c>
      <c r="J321" t="s">
        <v>2500</v>
      </c>
    </row>
    <row r="322" spans="1:10" x14ac:dyDescent="0.25">
      <c r="A322" t="s">
        <v>4862</v>
      </c>
      <c r="B322" s="3">
        <v>46273</v>
      </c>
      <c r="C322" t="s">
        <v>472</v>
      </c>
      <c r="D322" t="s">
        <v>467</v>
      </c>
      <c r="E322">
        <v>6</v>
      </c>
      <c r="F322" t="s">
        <v>469</v>
      </c>
      <c r="G322" t="s">
        <v>4234</v>
      </c>
      <c r="H322" t="s">
        <v>4863</v>
      </c>
      <c r="I322" t="s">
        <v>119</v>
      </c>
      <c r="J322" t="s">
        <v>2500</v>
      </c>
    </row>
    <row r="323" spans="1:10" x14ac:dyDescent="0.25">
      <c r="A323" t="s">
        <v>4864</v>
      </c>
      <c r="B323" s="3">
        <v>46273</v>
      </c>
      <c r="C323" t="s">
        <v>139</v>
      </c>
      <c r="D323" t="s">
        <v>44</v>
      </c>
      <c r="E323">
        <v>40</v>
      </c>
      <c r="F323" t="s">
        <v>2</v>
      </c>
      <c r="G323" t="s">
        <v>4234</v>
      </c>
      <c r="H323" t="s">
        <v>4865</v>
      </c>
      <c r="I323" t="s">
        <v>140</v>
      </c>
      <c r="J323" t="s">
        <v>2500</v>
      </c>
    </row>
    <row r="324" spans="1:10" x14ac:dyDescent="0.25">
      <c r="A324" t="s">
        <v>4866</v>
      </c>
      <c r="B324" s="3">
        <v>46273</v>
      </c>
      <c r="C324" t="s">
        <v>20</v>
      </c>
      <c r="D324" t="s">
        <v>21</v>
      </c>
      <c r="E324">
        <v>18</v>
      </c>
      <c r="F324" t="s">
        <v>2</v>
      </c>
      <c r="G324" t="s">
        <v>4222</v>
      </c>
      <c r="H324" t="s">
        <v>4867</v>
      </c>
      <c r="I324" t="s">
        <v>24</v>
      </c>
      <c r="J324" t="s">
        <v>2503</v>
      </c>
    </row>
    <row r="325" spans="1:10" x14ac:dyDescent="0.25">
      <c r="A325" t="s">
        <v>4868</v>
      </c>
      <c r="B325" s="3">
        <v>46273</v>
      </c>
      <c r="C325" t="s">
        <v>538</v>
      </c>
      <c r="D325" t="s">
        <v>490</v>
      </c>
      <c r="E325">
        <v>45</v>
      </c>
      <c r="F325" t="s">
        <v>355</v>
      </c>
      <c r="G325" t="s">
        <v>4222</v>
      </c>
      <c r="H325" t="s">
        <v>4869</v>
      </c>
      <c r="I325" t="s">
        <v>327</v>
      </c>
      <c r="J325" t="s">
        <v>2513</v>
      </c>
    </row>
    <row r="326" spans="1:10" x14ac:dyDescent="0.25">
      <c r="A326" t="s">
        <v>4870</v>
      </c>
      <c r="B326" s="3">
        <v>46274</v>
      </c>
      <c r="C326" t="s">
        <v>631</v>
      </c>
      <c r="D326" t="s">
        <v>582</v>
      </c>
      <c r="E326">
        <v>12</v>
      </c>
      <c r="F326" t="s">
        <v>2</v>
      </c>
      <c r="G326" t="s">
        <v>4228</v>
      </c>
      <c r="H326" t="s">
        <v>4871</v>
      </c>
      <c r="I326" t="s">
        <v>110</v>
      </c>
      <c r="J326" t="s">
        <v>2500</v>
      </c>
    </row>
    <row r="327" spans="1:10" x14ac:dyDescent="0.25">
      <c r="A327" t="s">
        <v>4872</v>
      </c>
      <c r="B327" s="3">
        <v>46274</v>
      </c>
      <c r="C327" t="s">
        <v>184</v>
      </c>
      <c r="D327" t="s">
        <v>15</v>
      </c>
      <c r="E327">
        <v>22</v>
      </c>
      <c r="F327" t="s">
        <v>2</v>
      </c>
      <c r="G327" t="s">
        <v>4231</v>
      </c>
      <c r="H327" t="s">
        <v>4873</v>
      </c>
      <c r="I327" t="s">
        <v>185</v>
      </c>
      <c r="J327" t="s">
        <v>2509</v>
      </c>
    </row>
    <row r="328" spans="1:10" x14ac:dyDescent="0.25">
      <c r="A328" t="s">
        <v>4874</v>
      </c>
      <c r="B328" s="3">
        <v>46274</v>
      </c>
      <c r="C328" t="s">
        <v>665</v>
      </c>
      <c r="D328" t="s">
        <v>589</v>
      </c>
      <c r="E328">
        <v>31</v>
      </c>
      <c r="F328" t="s">
        <v>469</v>
      </c>
      <c r="G328" t="s">
        <v>4225</v>
      </c>
      <c r="H328" t="s">
        <v>4875</v>
      </c>
      <c r="I328" t="s">
        <v>274</v>
      </c>
      <c r="J328" t="s">
        <v>2509</v>
      </c>
    </row>
    <row r="329" spans="1:10" x14ac:dyDescent="0.25">
      <c r="A329" t="s">
        <v>4876</v>
      </c>
      <c r="B329" s="3">
        <v>46274</v>
      </c>
      <c r="C329" t="s">
        <v>125</v>
      </c>
      <c r="D329" t="s">
        <v>15</v>
      </c>
      <c r="E329">
        <v>21</v>
      </c>
      <c r="F329" t="s">
        <v>2</v>
      </c>
      <c r="G329" t="s">
        <v>4228</v>
      </c>
      <c r="H329" t="s">
        <v>4877</v>
      </c>
      <c r="I329" t="s">
        <v>126</v>
      </c>
      <c r="J329" t="s">
        <v>2513</v>
      </c>
    </row>
    <row r="330" spans="1:10" x14ac:dyDescent="0.25">
      <c r="A330" t="s">
        <v>4878</v>
      </c>
      <c r="B330" s="3">
        <v>46274</v>
      </c>
      <c r="C330" t="s">
        <v>510</v>
      </c>
      <c r="D330" t="s">
        <v>479</v>
      </c>
      <c r="E330">
        <v>20</v>
      </c>
      <c r="F330" t="s">
        <v>469</v>
      </c>
      <c r="G330" t="s">
        <v>4231</v>
      </c>
      <c r="H330" t="s">
        <v>4879</v>
      </c>
      <c r="I330" t="s">
        <v>117</v>
      </c>
      <c r="J330" t="s">
        <v>2500</v>
      </c>
    </row>
    <row r="331" spans="1:10" x14ac:dyDescent="0.25">
      <c r="A331" t="s">
        <v>4880</v>
      </c>
      <c r="B331" s="3">
        <v>46274</v>
      </c>
      <c r="C331" t="s">
        <v>523</v>
      </c>
      <c r="D331" t="s">
        <v>481</v>
      </c>
      <c r="E331">
        <v>39</v>
      </c>
      <c r="F331" t="s">
        <v>2</v>
      </c>
      <c r="G331" t="s">
        <v>4234</v>
      </c>
      <c r="H331" t="s">
        <v>4881</v>
      </c>
      <c r="I331" t="s">
        <v>175</v>
      </c>
      <c r="J331" t="s">
        <v>2500</v>
      </c>
    </row>
    <row r="332" spans="1:10" x14ac:dyDescent="0.25">
      <c r="A332" t="s">
        <v>4882</v>
      </c>
      <c r="B332" s="3">
        <v>46274</v>
      </c>
      <c r="C332" t="s">
        <v>450</v>
      </c>
      <c r="D332" t="s">
        <v>349</v>
      </c>
      <c r="E332">
        <v>13</v>
      </c>
      <c r="F332" t="s">
        <v>2</v>
      </c>
      <c r="G332" t="s">
        <v>4222</v>
      </c>
      <c r="H332" t="s">
        <v>4883</v>
      </c>
      <c r="I332" t="s">
        <v>121</v>
      </c>
      <c r="J332" t="s">
        <v>2503</v>
      </c>
    </row>
    <row r="333" spans="1:10" x14ac:dyDescent="0.25">
      <c r="A333" t="s">
        <v>4884</v>
      </c>
      <c r="B333" s="3">
        <v>46274</v>
      </c>
      <c r="C333" t="s">
        <v>682</v>
      </c>
      <c r="D333" t="s">
        <v>602</v>
      </c>
      <c r="E333">
        <v>13</v>
      </c>
      <c r="F333" t="s">
        <v>2</v>
      </c>
      <c r="G333" t="s">
        <v>4225</v>
      </c>
      <c r="H333" t="s">
        <v>4885</v>
      </c>
      <c r="I333" t="s">
        <v>287</v>
      </c>
      <c r="J333" t="s">
        <v>2509</v>
      </c>
    </row>
    <row r="334" spans="1:10" x14ac:dyDescent="0.25">
      <c r="A334" t="s">
        <v>4886</v>
      </c>
      <c r="B334" s="3">
        <v>46274</v>
      </c>
      <c r="C334" t="s">
        <v>640</v>
      </c>
      <c r="D334" t="s">
        <v>629</v>
      </c>
      <c r="E334">
        <v>51</v>
      </c>
      <c r="F334" t="s">
        <v>355</v>
      </c>
      <c r="G334" t="s">
        <v>4228</v>
      </c>
      <c r="H334" t="s">
        <v>4887</v>
      </c>
      <c r="I334" t="s">
        <v>79</v>
      </c>
      <c r="J334" t="s">
        <v>2513</v>
      </c>
    </row>
    <row r="335" spans="1:10" x14ac:dyDescent="0.25">
      <c r="A335" t="s">
        <v>4888</v>
      </c>
      <c r="B335" s="3">
        <v>46274</v>
      </c>
      <c r="C335" t="s">
        <v>610</v>
      </c>
      <c r="D335" t="s">
        <v>582</v>
      </c>
      <c r="E335">
        <v>20</v>
      </c>
      <c r="F335" t="s">
        <v>2</v>
      </c>
      <c r="G335" t="s">
        <v>4231</v>
      </c>
      <c r="H335" t="s">
        <v>4456</v>
      </c>
      <c r="I335" t="s">
        <v>147</v>
      </c>
      <c r="J335" t="s">
        <v>2513</v>
      </c>
    </row>
    <row r="336" spans="1:10" x14ac:dyDescent="0.25">
      <c r="A336" t="s">
        <v>4889</v>
      </c>
      <c r="B336" s="3">
        <v>46274</v>
      </c>
      <c r="C336" t="s">
        <v>419</v>
      </c>
      <c r="D336" t="s">
        <v>354</v>
      </c>
      <c r="E336">
        <v>20</v>
      </c>
      <c r="F336" t="s">
        <v>355</v>
      </c>
      <c r="G336" t="s">
        <v>4231</v>
      </c>
      <c r="H336" t="s">
        <v>4890</v>
      </c>
      <c r="I336" t="s">
        <v>147</v>
      </c>
      <c r="J336" t="s">
        <v>2500</v>
      </c>
    </row>
    <row r="337" spans="1:10" x14ac:dyDescent="0.25">
      <c r="A337" t="s">
        <v>4891</v>
      </c>
      <c r="B337" s="3">
        <v>46274</v>
      </c>
      <c r="C337" t="s">
        <v>671</v>
      </c>
      <c r="D337" t="s">
        <v>629</v>
      </c>
      <c r="E337">
        <v>5</v>
      </c>
      <c r="F337" t="s">
        <v>355</v>
      </c>
      <c r="G337" t="s">
        <v>4225</v>
      </c>
      <c r="H337" t="s">
        <v>4892</v>
      </c>
      <c r="I337" t="s">
        <v>89</v>
      </c>
      <c r="J337" t="s">
        <v>2503</v>
      </c>
    </row>
    <row r="338" spans="1:10" x14ac:dyDescent="0.25">
      <c r="A338" t="s">
        <v>4893</v>
      </c>
      <c r="B338" s="3">
        <v>46274</v>
      </c>
      <c r="C338" t="s">
        <v>316</v>
      </c>
      <c r="D338" t="s">
        <v>213</v>
      </c>
      <c r="E338">
        <v>39</v>
      </c>
      <c r="F338" t="s">
        <v>2</v>
      </c>
      <c r="G338" t="s">
        <v>4228</v>
      </c>
      <c r="H338" t="s">
        <v>4894</v>
      </c>
      <c r="I338" t="s">
        <v>108</v>
      </c>
      <c r="J338" t="s">
        <v>2509</v>
      </c>
    </row>
    <row r="339" spans="1:10" x14ac:dyDescent="0.25">
      <c r="A339" t="s">
        <v>4895</v>
      </c>
      <c r="B339" s="3">
        <v>46274</v>
      </c>
      <c r="C339" t="s">
        <v>540</v>
      </c>
      <c r="D339" t="s">
        <v>476</v>
      </c>
      <c r="E339">
        <v>50</v>
      </c>
      <c r="F339" t="s">
        <v>477</v>
      </c>
      <c r="G339" t="s">
        <v>4225</v>
      </c>
      <c r="H339" t="s">
        <v>4896</v>
      </c>
      <c r="I339" t="s">
        <v>324</v>
      </c>
      <c r="J339" t="s">
        <v>2509</v>
      </c>
    </row>
    <row r="340" spans="1:10" x14ac:dyDescent="0.25">
      <c r="A340" t="s">
        <v>4897</v>
      </c>
      <c r="B340" s="3">
        <v>46274</v>
      </c>
      <c r="C340" t="s">
        <v>359</v>
      </c>
      <c r="D340" t="s">
        <v>360</v>
      </c>
      <c r="E340">
        <v>35</v>
      </c>
      <c r="F340" t="s">
        <v>358</v>
      </c>
      <c r="G340" t="s">
        <v>4222</v>
      </c>
      <c r="H340" t="s">
        <v>4898</v>
      </c>
      <c r="I340" t="s">
        <v>361</v>
      </c>
      <c r="J340" t="s">
        <v>2503</v>
      </c>
    </row>
    <row r="341" spans="1:10" x14ac:dyDescent="0.25">
      <c r="A341" t="s">
        <v>4899</v>
      </c>
      <c r="B341" s="3">
        <v>46274</v>
      </c>
      <c r="C341" t="s">
        <v>125</v>
      </c>
      <c r="D341" t="s">
        <v>15</v>
      </c>
      <c r="E341">
        <v>2</v>
      </c>
      <c r="F341" t="s">
        <v>2</v>
      </c>
      <c r="G341" t="s">
        <v>4228</v>
      </c>
      <c r="H341" t="s">
        <v>4900</v>
      </c>
      <c r="I341" t="s">
        <v>126</v>
      </c>
      <c r="J341" t="s">
        <v>2503</v>
      </c>
    </row>
    <row r="342" spans="1:10" x14ac:dyDescent="0.25">
      <c r="A342" t="s">
        <v>4901</v>
      </c>
      <c r="B342" s="3">
        <v>46274</v>
      </c>
      <c r="C342" t="s">
        <v>521</v>
      </c>
      <c r="D342" t="s">
        <v>479</v>
      </c>
      <c r="E342">
        <v>12</v>
      </c>
      <c r="F342" t="s">
        <v>469</v>
      </c>
      <c r="G342" t="s">
        <v>4225</v>
      </c>
      <c r="H342" t="s">
        <v>4902</v>
      </c>
      <c r="I342" t="s">
        <v>289</v>
      </c>
      <c r="J342" t="s">
        <v>2503</v>
      </c>
    </row>
    <row r="343" spans="1:10" x14ac:dyDescent="0.25">
      <c r="A343" t="s">
        <v>4903</v>
      </c>
      <c r="B343" s="3">
        <v>46274</v>
      </c>
      <c r="C343" t="s">
        <v>112</v>
      </c>
      <c r="D343" t="s">
        <v>29</v>
      </c>
      <c r="E343">
        <v>33</v>
      </c>
      <c r="F343" t="s">
        <v>2</v>
      </c>
      <c r="G343" t="s">
        <v>4231</v>
      </c>
      <c r="H343" t="s">
        <v>4904</v>
      </c>
      <c r="I343" t="s">
        <v>113</v>
      </c>
      <c r="J343" t="s">
        <v>2509</v>
      </c>
    </row>
    <row r="344" spans="1:10" x14ac:dyDescent="0.25">
      <c r="A344" t="s">
        <v>4905</v>
      </c>
      <c r="B344" s="3">
        <v>46274</v>
      </c>
      <c r="C344" t="s">
        <v>521</v>
      </c>
      <c r="D344" t="s">
        <v>479</v>
      </c>
      <c r="E344">
        <v>55</v>
      </c>
      <c r="F344" t="s">
        <v>469</v>
      </c>
      <c r="G344" t="s">
        <v>4231</v>
      </c>
      <c r="H344" t="s">
        <v>4906</v>
      </c>
      <c r="I344" t="s">
        <v>289</v>
      </c>
      <c r="J344" t="s">
        <v>2500</v>
      </c>
    </row>
    <row r="345" spans="1:10" x14ac:dyDescent="0.25">
      <c r="A345" t="s">
        <v>4907</v>
      </c>
      <c r="B345" s="3">
        <v>46274</v>
      </c>
      <c r="C345" t="s">
        <v>284</v>
      </c>
      <c r="D345" t="s">
        <v>213</v>
      </c>
      <c r="E345">
        <v>48</v>
      </c>
      <c r="F345" t="s">
        <v>2</v>
      </c>
      <c r="G345" t="s">
        <v>4225</v>
      </c>
      <c r="H345" t="s">
        <v>4908</v>
      </c>
      <c r="I345" t="s">
        <v>108</v>
      </c>
      <c r="J345" t="s">
        <v>2503</v>
      </c>
    </row>
    <row r="346" spans="1:10" x14ac:dyDescent="0.25">
      <c r="A346" t="s">
        <v>4909</v>
      </c>
      <c r="B346" s="3">
        <v>46274</v>
      </c>
      <c r="C346" t="s">
        <v>165</v>
      </c>
      <c r="D346" t="s">
        <v>15</v>
      </c>
      <c r="E346">
        <v>48</v>
      </c>
      <c r="F346" t="s">
        <v>2</v>
      </c>
      <c r="G346" t="s">
        <v>4231</v>
      </c>
      <c r="H346" t="s">
        <v>4910</v>
      </c>
      <c r="I346" t="s">
        <v>166</v>
      </c>
      <c r="J346" t="s">
        <v>2509</v>
      </c>
    </row>
    <row r="347" spans="1:10" x14ac:dyDescent="0.25">
      <c r="A347" t="s">
        <v>4911</v>
      </c>
      <c r="B347" s="3">
        <v>46274</v>
      </c>
      <c r="C347" t="s">
        <v>554</v>
      </c>
      <c r="D347" t="s">
        <v>502</v>
      </c>
      <c r="E347">
        <v>48</v>
      </c>
      <c r="F347" t="s">
        <v>469</v>
      </c>
      <c r="G347" t="s">
        <v>4231</v>
      </c>
      <c r="H347" t="s">
        <v>4912</v>
      </c>
      <c r="I347" t="s">
        <v>265</v>
      </c>
      <c r="J347" t="s">
        <v>2500</v>
      </c>
    </row>
    <row r="348" spans="1:10" x14ac:dyDescent="0.25">
      <c r="A348" t="s">
        <v>4913</v>
      </c>
      <c r="B348" s="3">
        <v>46274</v>
      </c>
      <c r="C348" t="s">
        <v>524</v>
      </c>
      <c r="D348" t="s">
        <v>474</v>
      </c>
      <c r="E348">
        <v>48</v>
      </c>
      <c r="F348" t="s">
        <v>2</v>
      </c>
      <c r="G348" t="s">
        <v>4222</v>
      </c>
      <c r="H348" t="s">
        <v>4914</v>
      </c>
      <c r="I348" t="s">
        <v>257</v>
      </c>
      <c r="J348" t="s">
        <v>2500</v>
      </c>
    </row>
    <row r="349" spans="1:10" x14ac:dyDescent="0.25">
      <c r="A349" t="s">
        <v>4915</v>
      </c>
      <c r="B349" s="3">
        <v>46274</v>
      </c>
      <c r="C349" t="s">
        <v>628</v>
      </c>
      <c r="D349" t="s">
        <v>629</v>
      </c>
      <c r="E349">
        <v>9</v>
      </c>
      <c r="F349" t="s">
        <v>355</v>
      </c>
      <c r="G349" t="s">
        <v>4225</v>
      </c>
      <c r="H349" t="s">
        <v>4916</v>
      </c>
      <c r="I349" t="s">
        <v>397</v>
      </c>
      <c r="J349" t="s">
        <v>2503</v>
      </c>
    </row>
    <row r="350" spans="1:10" x14ac:dyDescent="0.25">
      <c r="A350" t="s">
        <v>4917</v>
      </c>
      <c r="B350" s="3">
        <v>46274</v>
      </c>
      <c r="C350" t="s">
        <v>321</v>
      </c>
      <c r="D350" t="s">
        <v>234</v>
      </c>
      <c r="E350">
        <v>26</v>
      </c>
      <c r="F350" t="s">
        <v>2</v>
      </c>
      <c r="G350" t="s">
        <v>4231</v>
      </c>
      <c r="H350" t="s">
        <v>4918</v>
      </c>
      <c r="I350" t="s">
        <v>230</v>
      </c>
      <c r="J350" t="s">
        <v>2503</v>
      </c>
    </row>
    <row r="351" spans="1:10" x14ac:dyDescent="0.25">
      <c r="A351" t="s">
        <v>4919</v>
      </c>
      <c r="B351" s="3">
        <v>46274</v>
      </c>
      <c r="C351" t="s">
        <v>647</v>
      </c>
      <c r="D351" t="s">
        <v>629</v>
      </c>
      <c r="E351">
        <v>47</v>
      </c>
      <c r="F351" t="s">
        <v>355</v>
      </c>
      <c r="G351" t="s">
        <v>4228</v>
      </c>
      <c r="H351" t="s">
        <v>4920</v>
      </c>
      <c r="I351" t="s">
        <v>230</v>
      </c>
      <c r="J351" t="s">
        <v>2513</v>
      </c>
    </row>
    <row r="352" spans="1:10" x14ac:dyDescent="0.25">
      <c r="A352" t="s">
        <v>4921</v>
      </c>
      <c r="B352" s="3">
        <v>46274</v>
      </c>
      <c r="C352" t="s">
        <v>141</v>
      </c>
      <c r="D352" t="s">
        <v>66</v>
      </c>
      <c r="E352">
        <v>13</v>
      </c>
      <c r="F352" t="s">
        <v>2</v>
      </c>
      <c r="G352" t="s">
        <v>4234</v>
      </c>
      <c r="H352" t="s">
        <v>4922</v>
      </c>
      <c r="I352" t="s">
        <v>142</v>
      </c>
      <c r="J352" t="s">
        <v>2503</v>
      </c>
    </row>
    <row r="353" spans="1:10" x14ac:dyDescent="0.25">
      <c r="A353" t="s">
        <v>4923</v>
      </c>
      <c r="B353" s="3">
        <v>46274</v>
      </c>
      <c r="C353" t="s">
        <v>436</v>
      </c>
      <c r="D353" t="s">
        <v>366</v>
      </c>
      <c r="E353">
        <v>11</v>
      </c>
      <c r="F353" t="s">
        <v>2</v>
      </c>
      <c r="G353" t="s">
        <v>4222</v>
      </c>
      <c r="H353" t="s">
        <v>4924</v>
      </c>
      <c r="I353" t="s">
        <v>19</v>
      </c>
      <c r="J353" t="s">
        <v>2503</v>
      </c>
    </row>
    <row r="354" spans="1:10" x14ac:dyDescent="0.25">
      <c r="A354" t="s">
        <v>4925</v>
      </c>
      <c r="B354" s="3">
        <v>46274</v>
      </c>
      <c r="C354" t="s">
        <v>569</v>
      </c>
      <c r="D354" t="s">
        <v>474</v>
      </c>
      <c r="E354">
        <v>10</v>
      </c>
      <c r="F354" t="s">
        <v>2</v>
      </c>
      <c r="G354" t="s">
        <v>4231</v>
      </c>
      <c r="H354" t="s">
        <v>4926</v>
      </c>
      <c r="I354" t="s">
        <v>161</v>
      </c>
      <c r="J354" t="s">
        <v>2500</v>
      </c>
    </row>
    <row r="355" spans="1:10" x14ac:dyDescent="0.25">
      <c r="A355" t="s">
        <v>4927</v>
      </c>
      <c r="B355" s="3">
        <v>46274</v>
      </c>
      <c r="C355" t="s">
        <v>134</v>
      </c>
      <c r="D355" t="s">
        <v>47</v>
      </c>
      <c r="E355">
        <v>6</v>
      </c>
      <c r="F355" t="s">
        <v>2</v>
      </c>
      <c r="G355" t="s">
        <v>4222</v>
      </c>
      <c r="H355" t="s">
        <v>4928</v>
      </c>
      <c r="I355" t="s">
        <v>38</v>
      </c>
      <c r="J355" t="s">
        <v>2500</v>
      </c>
    </row>
    <row r="356" spans="1:10" x14ac:dyDescent="0.25">
      <c r="A356" t="s">
        <v>4929</v>
      </c>
      <c r="B356" s="3">
        <v>46274</v>
      </c>
      <c r="C356" t="s">
        <v>236</v>
      </c>
      <c r="D356" t="s">
        <v>223</v>
      </c>
      <c r="E356">
        <v>15</v>
      </c>
      <c r="F356" t="s">
        <v>2</v>
      </c>
      <c r="G356" t="s">
        <v>4225</v>
      </c>
      <c r="H356" t="s">
        <v>4930</v>
      </c>
      <c r="I356" t="s">
        <v>34</v>
      </c>
      <c r="J356" t="s">
        <v>2500</v>
      </c>
    </row>
    <row r="357" spans="1:10" x14ac:dyDescent="0.25">
      <c r="A357" t="s">
        <v>4931</v>
      </c>
      <c r="B357" s="3">
        <v>46274</v>
      </c>
      <c r="C357" t="s">
        <v>496</v>
      </c>
      <c r="D357" t="s">
        <v>490</v>
      </c>
      <c r="E357">
        <v>30</v>
      </c>
      <c r="F357" t="s">
        <v>355</v>
      </c>
      <c r="G357" t="s">
        <v>4231</v>
      </c>
      <c r="H357" t="s">
        <v>4932</v>
      </c>
      <c r="I357" t="s">
        <v>42</v>
      </c>
      <c r="J357" t="s">
        <v>2509</v>
      </c>
    </row>
    <row r="358" spans="1:10" x14ac:dyDescent="0.25">
      <c r="A358" t="s">
        <v>4933</v>
      </c>
      <c r="B358" s="3">
        <v>46274</v>
      </c>
      <c r="C358" t="s">
        <v>156</v>
      </c>
      <c r="D358" t="s">
        <v>15</v>
      </c>
      <c r="E358">
        <v>19</v>
      </c>
      <c r="F358" t="s">
        <v>2</v>
      </c>
      <c r="G358" t="s">
        <v>4231</v>
      </c>
      <c r="H358" t="s">
        <v>4934</v>
      </c>
      <c r="I358" t="s">
        <v>98</v>
      </c>
      <c r="J358" t="s">
        <v>2503</v>
      </c>
    </row>
    <row r="359" spans="1:10" x14ac:dyDescent="0.25">
      <c r="A359" t="s">
        <v>4935</v>
      </c>
      <c r="B359" s="3">
        <v>46274</v>
      </c>
      <c r="C359" t="s">
        <v>678</v>
      </c>
      <c r="D359" t="s">
        <v>612</v>
      </c>
      <c r="E359">
        <v>18</v>
      </c>
      <c r="F359" t="s">
        <v>2</v>
      </c>
      <c r="G359" t="s">
        <v>4222</v>
      </c>
      <c r="H359" t="s">
        <v>4936</v>
      </c>
      <c r="I359" t="s">
        <v>242</v>
      </c>
      <c r="J359" t="s">
        <v>2500</v>
      </c>
    </row>
    <row r="360" spans="1:10" x14ac:dyDescent="0.25">
      <c r="A360" t="s">
        <v>4937</v>
      </c>
      <c r="B360" s="3">
        <v>46274</v>
      </c>
      <c r="C360" t="s">
        <v>617</v>
      </c>
      <c r="D360" t="s">
        <v>594</v>
      </c>
      <c r="E360">
        <v>45</v>
      </c>
      <c r="F360" t="s">
        <v>595</v>
      </c>
      <c r="G360" t="s">
        <v>4225</v>
      </c>
      <c r="H360" t="s">
        <v>4938</v>
      </c>
      <c r="I360" t="s">
        <v>259</v>
      </c>
      <c r="J360" t="s">
        <v>2500</v>
      </c>
    </row>
    <row r="361" spans="1:10" x14ac:dyDescent="0.25">
      <c r="A361" t="s">
        <v>4939</v>
      </c>
      <c r="B361" s="3">
        <v>46274</v>
      </c>
      <c r="C361" t="s">
        <v>88</v>
      </c>
      <c r="D361" t="s">
        <v>26</v>
      </c>
      <c r="E361">
        <v>35</v>
      </c>
      <c r="F361" t="s">
        <v>2</v>
      </c>
      <c r="G361" t="s">
        <v>4228</v>
      </c>
      <c r="H361" t="s">
        <v>4940</v>
      </c>
      <c r="I361" t="s">
        <v>89</v>
      </c>
      <c r="J361" t="s">
        <v>2500</v>
      </c>
    </row>
    <row r="362" spans="1:10" x14ac:dyDescent="0.25">
      <c r="A362" t="s">
        <v>4941</v>
      </c>
      <c r="B362" s="3">
        <v>46274</v>
      </c>
      <c r="C362" t="s">
        <v>690</v>
      </c>
      <c r="D362" t="s">
        <v>597</v>
      </c>
      <c r="E362">
        <v>19</v>
      </c>
      <c r="F362" t="s">
        <v>355</v>
      </c>
      <c r="G362" t="s">
        <v>4228</v>
      </c>
      <c r="H362" t="s">
        <v>4942</v>
      </c>
      <c r="I362" t="s">
        <v>52</v>
      </c>
      <c r="J362" t="s">
        <v>2513</v>
      </c>
    </row>
    <row r="363" spans="1:10" x14ac:dyDescent="0.25">
      <c r="A363" t="s">
        <v>4943</v>
      </c>
      <c r="B363" s="3">
        <v>46274</v>
      </c>
      <c r="C363" t="s">
        <v>627</v>
      </c>
      <c r="D363" t="s">
        <v>589</v>
      </c>
      <c r="E363">
        <v>45</v>
      </c>
      <c r="F363" t="s">
        <v>469</v>
      </c>
      <c r="G363" t="s">
        <v>4222</v>
      </c>
      <c r="H363" t="s">
        <v>4944</v>
      </c>
      <c r="I363" t="s">
        <v>149</v>
      </c>
      <c r="J363" t="s">
        <v>2503</v>
      </c>
    </row>
    <row r="364" spans="1:10" x14ac:dyDescent="0.25">
      <c r="A364" t="s">
        <v>4945</v>
      </c>
      <c r="B364" s="3">
        <v>46274</v>
      </c>
      <c r="C364" t="s">
        <v>520</v>
      </c>
      <c r="D364" t="s">
        <v>502</v>
      </c>
      <c r="E364">
        <v>45</v>
      </c>
      <c r="F364" t="s">
        <v>469</v>
      </c>
      <c r="G364" t="s">
        <v>4228</v>
      </c>
      <c r="H364" t="s">
        <v>4946</v>
      </c>
      <c r="I364" t="s">
        <v>368</v>
      </c>
      <c r="J364" t="s">
        <v>2513</v>
      </c>
    </row>
    <row r="365" spans="1:10" x14ac:dyDescent="0.25">
      <c r="A365" t="s">
        <v>4947</v>
      </c>
      <c r="B365" s="3">
        <v>46274</v>
      </c>
      <c r="C365" t="s">
        <v>445</v>
      </c>
      <c r="D365" t="s">
        <v>351</v>
      </c>
      <c r="E365">
        <v>8</v>
      </c>
      <c r="F365" t="s">
        <v>2</v>
      </c>
      <c r="G365" t="s">
        <v>4225</v>
      </c>
      <c r="H365" t="s">
        <v>4948</v>
      </c>
      <c r="I365" t="s">
        <v>104</v>
      </c>
      <c r="J365" t="s">
        <v>2503</v>
      </c>
    </row>
    <row r="366" spans="1:10" x14ac:dyDescent="0.25">
      <c r="A366" t="s">
        <v>4949</v>
      </c>
      <c r="B366" s="3">
        <v>46274</v>
      </c>
      <c r="C366" t="s">
        <v>604</v>
      </c>
      <c r="D366" t="s">
        <v>599</v>
      </c>
      <c r="E366">
        <v>20</v>
      </c>
      <c r="F366" t="s">
        <v>2</v>
      </c>
      <c r="G366" t="s">
        <v>4231</v>
      </c>
      <c r="H366" t="s">
        <v>4950</v>
      </c>
      <c r="I366" t="s">
        <v>110</v>
      </c>
      <c r="J366" t="s">
        <v>2513</v>
      </c>
    </row>
    <row r="367" spans="1:10" x14ac:dyDescent="0.25">
      <c r="A367" t="s">
        <v>4951</v>
      </c>
      <c r="B367" s="3">
        <v>46274</v>
      </c>
      <c r="C367" t="s">
        <v>445</v>
      </c>
      <c r="D367" t="s">
        <v>351</v>
      </c>
      <c r="E367">
        <v>18</v>
      </c>
      <c r="F367" t="s">
        <v>2</v>
      </c>
      <c r="G367" t="s">
        <v>4222</v>
      </c>
      <c r="H367" t="s">
        <v>4952</v>
      </c>
      <c r="I367" t="s">
        <v>104</v>
      </c>
      <c r="J367" t="s">
        <v>2500</v>
      </c>
    </row>
    <row r="368" spans="1:10" x14ac:dyDescent="0.25">
      <c r="A368" t="s">
        <v>4953</v>
      </c>
      <c r="B368" s="3">
        <v>46274</v>
      </c>
      <c r="C368" t="s">
        <v>214</v>
      </c>
      <c r="D368" t="s">
        <v>210</v>
      </c>
      <c r="E368">
        <v>34</v>
      </c>
      <c r="F368" t="s">
        <v>2</v>
      </c>
      <c r="G368" t="s">
        <v>4234</v>
      </c>
      <c r="H368" t="s">
        <v>4954</v>
      </c>
      <c r="I368" t="s">
        <v>100</v>
      </c>
      <c r="J368" t="s">
        <v>2500</v>
      </c>
    </row>
    <row r="369" spans="1:10" x14ac:dyDescent="0.25">
      <c r="A369" t="s">
        <v>4955</v>
      </c>
      <c r="B369" s="3">
        <v>46274</v>
      </c>
      <c r="C369" t="s">
        <v>550</v>
      </c>
      <c r="D369" t="s">
        <v>481</v>
      </c>
      <c r="E369">
        <v>14</v>
      </c>
      <c r="F369" t="s">
        <v>2</v>
      </c>
      <c r="G369" t="s">
        <v>4228</v>
      </c>
      <c r="H369" t="s">
        <v>4956</v>
      </c>
      <c r="I369" t="s">
        <v>59</v>
      </c>
      <c r="J369" t="s">
        <v>2500</v>
      </c>
    </row>
    <row r="370" spans="1:10" x14ac:dyDescent="0.25">
      <c r="A370" t="s">
        <v>4957</v>
      </c>
      <c r="B370" s="3">
        <v>46274</v>
      </c>
      <c r="C370" t="s">
        <v>316</v>
      </c>
      <c r="D370" t="s">
        <v>213</v>
      </c>
      <c r="E370">
        <v>26</v>
      </c>
      <c r="F370" t="s">
        <v>2</v>
      </c>
      <c r="G370" t="s">
        <v>4231</v>
      </c>
      <c r="H370" t="s">
        <v>4958</v>
      </c>
      <c r="I370" t="s">
        <v>108</v>
      </c>
      <c r="J370" t="s">
        <v>2503</v>
      </c>
    </row>
    <row r="371" spans="1:10" x14ac:dyDescent="0.25">
      <c r="A371" t="s">
        <v>4959</v>
      </c>
      <c r="B371" s="3">
        <v>46275</v>
      </c>
      <c r="C371" t="s">
        <v>535</v>
      </c>
      <c r="D371" t="s">
        <v>467</v>
      </c>
      <c r="E371">
        <v>36</v>
      </c>
      <c r="F371" t="s">
        <v>469</v>
      </c>
      <c r="G371" t="s">
        <v>4222</v>
      </c>
      <c r="H371" t="s">
        <v>4960</v>
      </c>
      <c r="I371" t="s">
        <v>327</v>
      </c>
      <c r="J371" t="s">
        <v>2509</v>
      </c>
    </row>
    <row r="372" spans="1:10" x14ac:dyDescent="0.25">
      <c r="A372" t="s">
        <v>4961</v>
      </c>
      <c r="B372" s="3">
        <v>46275</v>
      </c>
      <c r="C372" t="s">
        <v>391</v>
      </c>
      <c r="D372" t="s">
        <v>357</v>
      </c>
      <c r="E372">
        <v>10</v>
      </c>
      <c r="F372" t="s">
        <v>358</v>
      </c>
      <c r="G372" t="s">
        <v>4225</v>
      </c>
      <c r="H372" t="s">
        <v>4805</v>
      </c>
      <c r="I372" t="s">
        <v>221</v>
      </c>
      <c r="J372" t="s">
        <v>2500</v>
      </c>
    </row>
    <row r="373" spans="1:10" x14ac:dyDescent="0.25">
      <c r="A373" t="s">
        <v>4962</v>
      </c>
      <c r="B373" s="3">
        <v>46275</v>
      </c>
      <c r="C373" t="s">
        <v>402</v>
      </c>
      <c r="D373" t="s">
        <v>344</v>
      </c>
      <c r="E373">
        <v>18</v>
      </c>
      <c r="F373" t="s">
        <v>346</v>
      </c>
      <c r="G373" t="s">
        <v>4228</v>
      </c>
      <c r="H373" t="s">
        <v>4963</v>
      </c>
      <c r="I373" t="s">
        <v>27</v>
      </c>
      <c r="J373" t="s">
        <v>2500</v>
      </c>
    </row>
    <row r="374" spans="1:10" x14ac:dyDescent="0.25">
      <c r="A374" t="s">
        <v>4964</v>
      </c>
      <c r="B374" s="3">
        <v>46275</v>
      </c>
      <c r="C374" t="s">
        <v>217</v>
      </c>
      <c r="D374" t="s">
        <v>218</v>
      </c>
      <c r="E374">
        <v>19</v>
      </c>
      <c r="F374" t="s">
        <v>2</v>
      </c>
      <c r="G374" t="s">
        <v>4222</v>
      </c>
      <c r="H374" t="s">
        <v>4965</v>
      </c>
      <c r="I374" t="s">
        <v>219</v>
      </c>
      <c r="J374" t="s">
        <v>2509</v>
      </c>
    </row>
    <row r="375" spans="1:10" x14ac:dyDescent="0.25">
      <c r="A375" t="s">
        <v>4966</v>
      </c>
      <c r="B375" s="3">
        <v>46275</v>
      </c>
      <c r="C375" t="s">
        <v>296</v>
      </c>
      <c r="D375" t="s">
        <v>234</v>
      </c>
      <c r="E375">
        <v>36</v>
      </c>
      <c r="F375" t="s">
        <v>2</v>
      </c>
      <c r="G375" t="s">
        <v>4225</v>
      </c>
      <c r="H375" t="s">
        <v>4967</v>
      </c>
      <c r="I375" t="s">
        <v>297</v>
      </c>
      <c r="J375" t="s">
        <v>2513</v>
      </c>
    </row>
    <row r="376" spans="1:10" x14ac:dyDescent="0.25">
      <c r="A376" t="s">
        <v>4968</v>
      </c>
      <c r="B376" s="3">
        <v>46275</v>
      </c>
      <c r="C376" t="s">
        <v>603</v>
      </c>
      <c r="D376" t="s">
        <v>594</v>
      </c>
      <c r="E376">
        <v>15</v>
      </c>
      <c r="F376" t="s">
        <v>595</v>
      </c>
      <c r="G376" t="s">
        <v>4222</v>
      </c>
      <c r="H376" t="s">
        <v>4969</v>
      </c>
      <c r="I376" t="s">
        <v>45</v>
      </c>
      <c r="J376" t="s">
        <v>2509</v>
      </c>
    </row>
    <row r="377" spans="1:10" x14ac:dyDescent="0.25">
      <c r="A377" t="s">
        <v>4970</v>
      </c>
      <c r="B377" s="3">
        <v>46275</v>
      </c>
      <c r="C377" t="s">
        <v>598</v>
      </c>
      <c r="D377" t="s">
        <v>599</v>
      </c>
      <c r="E377">
        <v>28</v>
      </c>
      <c r="F377" t="s">
        <v>2</v>
      </c>
      <c r="G377" t="s">
        <v>4231</v>
      </c>
      <c r="H377" t="s">
        <v>4971</v>
      </c>
      <c r="I377" t="s">
        <v>27</v>
      </c>
      <c r="J377" t="s">
        <v>2513</v>
      </c>
    </row>
    <row r="378" spans="1:10" x14ac:dyDescent="0.25">
      <c r="A378" t="s">
        <v>4972</v>
      </c>
      <c r="B378" s="3">
        <v>46275</v>
      </c>
      <c r="C378" t="s">
        <v>137</v>
      </c>
      <c r="D378" t="s">
        <v>44</v>
      </c>
      <c r="E378">
        <v>36</v>
      </c>
      <c r="F378" t="s">
        <v>2</v>
      </c>
      <c r="G378" t="s">
        <v>4234</v>
      </c>
      <c r="H378" t="s">
        <v>4973</v>
      </c>
      <c r="I378" t="s">
        <v>38</v>
      </c>
      <c r="J378" t="s">
        <v>2513</v>
      </c>
    </row>
    <row r="379" spans="1:10" x14ac:dyDescent="0.25">
      <c r="A379" t="s">
        <v>4974</v>
      </c>
      <c r="B379" s="3">
        <v>46275</v>
      </c>
      <c r="C379" t="s">
        <v>398</v>
      </c>
      <c r="D379" t="s">
        <v>344</v>
      </c>
      <c r="E379">
        <v>7</v>
      </c>
      <c r="F379" t="s">
        <v>346</v>
      </c>
      <c r="G379" t="s">
        <v>4231</v>
      </c>
      <c r="H379" t="s">
        <v>4975</v>
      </c>
      <c r="I379" t="s">
        <v>108</v>
      </c>
      <c r="J379" t="s">
        <v>2503</v>
      </c>
    </row>
    <row r="380" spans="1:10" x14ac:dyDescent="0.25">
      <c r="A380" t="s">
        <v>4976</v>
      </c>
      <c r="B380" s="3">
        <v>46275</v>
      </c>
      <c r="C380" t="s">
        <v>153</v>
      </c>
      <c r="D380" t="s">
        <v>26</v>
      </c>
      <c r="E380">
        <v>47</v>
      </c>
      <c r="F380" t="s">
        <v>2</v>
      </c>
      <c r="G380" t="s">
        <v>4222</v>
      </c>
      <c r="H380" t="s">
        <v>4977</v>
      </c>
      <c r="I380" t="s">
        <v>93</v>
      </c>
      <c r="J380" t="s">
        <v>2503</v>
      </c>
    </row>
    <row r="381" spans="1:10" x14ac:dyDescent="0.25">
      <c r="A381" t="s">
        <v>4978</v>
      </c>
      <c r="B381" s="3">
        <v>46275</v>
      </c>
      <c r="C381" t="s">
        <v>428</v>
      </c>
      <c r="D381" t="s">
        <v>357</v>
      </c>
      <c r="E381">
        <v>9</v>
      </c>
      <c r="F381" t="s">
        <v>358</v>
      </c>
      <c r="G381" t="s">
        <v>4225</v>
      </c>
      <c r="H381" t="s">
        <v>4979</v>
      </c>
      <c r="I381" t="s">
        <v>38</v>
      </c>
      <c r="J381" t="s">
        <v>2500</v>
      </c>
    </row>
    <row r="382" spans="1:10" x14ac:dyDescent="0.25">
      <c r="A382" t="s">
        <v>4980</v>
      </c>
      <c r="B382" s="3">
        <v>46275</v>
      </c>
      <c r="C382" t="s">
        <v>483</v>
      </c>
      <c r="D382" t="s">
        <v>484</v>
      </c>
      <c r="E382">
        <v>40</v>
      </c>
      <c r="F382" t="s">
        <v>469</v>
      </c>
      <c r="G382" t="s">
        <v>4228</v>
      </c>
      <c r="H382" t="s">
        <v>4981</v>
      </c>
      <c r="I382" t="s">
        <v>368</v>
      </c>
      <c r="J382" t="s">
        <v>2509</v>
      </c>
    </row>
    <row r="383" spans="1:10" x14ac:dyDescent="0.25">
      <c r="A383" t="s">
        <v>4982</v>
      </c>
      <c r="B383" s="3">
        <v>46275</v>
      </c>
      <c r="C383" t="s">
        <v>184</v>
      </c>
      <c r="D383" t="s">
        <v>15</v>
      </c>
      <c r="E383">
        <v>22</v>
      </c>
      <c r="F383" t="s">
        <v>2</v>
      </c>
      <c r="G383" t="s">
        <v>4234</v>
      </c>
      <c r="H383" t="s">
        <v>4983</v>
      </c>
      <c r="I383" t="s">
        <v>185</v>
      </c>
      <c r="J383" t="s">
        <v>2513</v>
      </c>
    </row>
    <row r="384" spans="1:10" x14ac:dyDescent="0.25">
      <c r="A384" t="s">
        <v>4984</v>
      </c>
      <c r="B384" s="3">
        <v>46275</v>
      </c>
      <c r="C384" t="s">
        <v>592</v>
      </c>
      <c r="D384" t="s">
        <v>585</v>
      </c>
      <c r="E384">
        <v>12</v>
      </c>
      <c r="F384" t="s">
        <v>355</v>
      </c>
      <c r="G384" t="s">
        <v>4228</v>
      </c>
      <c r="H384" t="s">
        <v>4985</v>
      </c>
      <c r="I384" t="s">
        <v>287</v>
      </c>
      <c r="J384" t="s">
        <v>2503</v>
      </c>
    </row>
    <row r="385" spans="1:10" x14ac:dyDescent="0.25">
      <c r="A385" t="s">
        <v>4986</v>
      </c>
      <c r="B385" s="3">
        <v>46275</v>
      </c>
      <c r="C385" t="s">
        <v>671</v>
      </c>
      <c r="D385" t="s">
        <v>629</v>
      </c>
      <c r="E385">
        <v>50</v>
      </c>
      <c r="F385" t="s">
        <v>355</v>
      </c>
      <c r="G385" t="s">
        <v>4222</v>
      </c>
      <c r="H385" t="s">
        <v>4987</v>
      </c>
      <c r="I385" t="s">
        <v>89</v>
      </c>
      <c r="J385" t="s">
        <v>2503</v>
      </c>
    </row>
    <row r="386" spans="1:10" x14ac:dyDescent="0.25">
      <c r="A386" t="s">
        <v>4988</v>
      </c>
      <c r="B386" s="3">
        <v>46275</v>
      </c>
      <c r="C386" t="s">
        <v>604</v>
      </c>
      <c r="D386" t="s">
        <v>599</v>
      </c>
      <c r="E386">
        <v>52</v>
      </c>
      <c r="F386" t="s">
        <v>2</v>
      </c>
      <c r="G386" t="s">
        <v>4222</v>
      </c>
      <c r="H386" t="s">
        <v>4989</v>
      </c>
      <c r="I386" t="s">
        <v>110</v>
      </c>
      <c r="J386" t="s">
        <v>2500</v>
      </c>
    </row>
    <row r="387" spans="1:10" x14ac:dyDescent="0.25">
      <c r="A387" t="s">
        <v>4990</v>
      </c>
      <c r="B387" s="3">
        <v>46275</v>
      </c>
      <c r="C387" t="s">
        <v>415</v>
      </c>
      <c r="D387" t="s">
        <v>382</v>
      </c>
      <c r="E387">
        <v>5</v>
      </c>
      <c r="F387" t="s">
        <v>383</v>
      </c>
      <c r="G387" t="s">
        <v>4228</v>
      </c>
      <c r="H387" t="s">
        <v>4991</v>
      </c>
      <c r="I387" t="s">
        <v>152</v>
      </c>
      <c r="J387" t="s">
        <v>2509</v>
      </c>
    </row>
    <row r="388" spans="1:10" x14ac:dyDescent="0.25">
      <c r="A388" t="s">
        <v>4992</v>
      </c>
      <c r="B388" s="3">
        <v>46275</v>
      </c>
      <c r="C388" t="s">
        <v>489</v>
      </c>
      <c r="D388" t="s">
        <v>490</v>
      </c>
      <c r="E388">
        <v>46</v>
      </c>
      <c r="F388" t="s">
        <v>355</v>
      </c>
      <c r="G388" t="s">
        <v>4225</v>
      </c>
      <c r="H388" t="s">
        <v>4993</v>
      </c>
      <c r="I388" t="s">
        <v>183</v>
      </c>
      <c r="J388" t="s">
        <v>2513</v>
      </c>
    </row>
    <row r="389" spans="1:10" x14ac:dyDescent="0.25">
      <c r="A389" t="s">
        <v>4994</v>
      </c>
      <c r="B389" s="3">
        <v>46275</v>
      </c>
      <c r="C389" t="s">
        <v>689</v>
      </c>
      <c r="D389" t="s">
        <v>589</v>
      </c>
      <c r="E389">
        <v>53</v>
      </c>
      <c r="F389" t="s">
        <v>469</v>
      </c>
      <c r="G389" t="s">
        <v>4225</v>
      </c>
      <c r="H389" t="s">
        <v>4995</v>
      </c>
      <c r="I389" t="s">
        <v>45</v>
      </c>
      <c r="J389" t="s">
        <v>2509</v>
      </c>
    </row>
    <row r="390" spans="1:10" x14ac:dyDescent="0.25">
      <c r="A390" t="s">
        <v>4996</v>
      </c>
      <c r="B390" s="3">
        <v>46275</v>
      </c>
      <c r="C390" t="s">
        <v>375</v>
      </c>
      <c r="D390" t="s">
        <v>364</v>
      </c>
      <c r="E390">
        <v>17</v>
      </c>
      <c r="F390" t="s">
        <v>358</v>
      </c>
      <c r="G390" t="s">
        <v>4234</v>
      </c>
      <c r="H390" t="s">
        <v>4997</v>
      </c>
      <c r="I390" t="s">
        <v>110</v>
      </c>
      <c r="J390" t="s">
        <v>2509</v>
      </c>
    </row>
    <row r="391" spans="1:10" x14ac:dyDescent="0.25">
      <c r="A391" t="s">
        <v>4998</v>
      </c>
      <c r="B391" s="3">
        <v>46275</v>
      </c>
      <c r="C391" t="s">
        <v>406</v>
      </c>
      <c r="D391" t="s">
        <v>366</v>
      </c>
      <c r="E391">
        <v>49</v>
      </c>
      <c r="F391" t="s">
        <v>2</v>
      </c>
      <c r="G391" t="s">
        <v>4231</v>
      </c>
      <c r="H391" t="s">
        <v>4999</v>
      </c>
      <c r="I391" t="s">
        <v>64</v>
      </c>
      <c r="J391" t="s">
        <v>2500</v>
      </c>
    </row>
    <row r="392" spans="1:10" x14ac:dyDescent="0.25">
      <c r="A392" t="s">
        <v>5000</v>
      </c>
      <c r="B392" s="3">
        <v>46275</v>
      </c>
      <c r="C392" t="s">
        <v>35</v>
      </c>
      <c r="D392" t="s">
        <v>29</v>
      </c>
      <c r="E392">
        <v>36</v>
      </c>
      <c r="F392" t="s">
        <v>2</v>
      </c>
      <c r="G392" t="s">
        <v>4228</v>
      </c>
      <c r="H392" t="s">
        <v>5001</v>
      </c>
      <c r="I392" t="s">
        <v>38</v>
      </c>
      <c r="J392" t="s">
        <v>2509</v>
      </c>
    </row>
    <row r="393" spans="1:10" x14ac:dyDescent="0.25">
      <c r="A393" t="s">
        <v>5002</v>
      </c>
      <c r="B393" s="3">
        <v>46275</v>
      </c>
      <c r="C393" t="s">
        <v>554</v>
      </c>
      <c r="D393" t="s">
        <v>502</v>
      </c>
      <c r="E393">
        <v>8</v>
      </c>
      <c r="F393" t="s">
        <v>469</v>
      </c>
      <c r="G393" t="s">
        <v>4234</v>
      </c>
      <c r="H393" t="s">
        <v>5003</v>
      </c>
      <c r="I393" t="s">
        <v>265</v>
      </c>
      <c r="J393" t="s">
        <v>2500</v>
      </c>
    </row>
    <row r="394" spans="1:10" x14ac:dyDescent="0.25">
      <c r="A394" t="s">
        <v>5004</v>
      </c>
      <c r="B394" s="3">
        <v>46275</v>
      </c>
      <c r="C394" t="s">
        <v>654</v>
      </c>
      <c r="D394" t="s">
        <v>582</v>
      </c>
      <c r="E394">
        <v>8</v>
      </c>
      <c r="F394" t="s">
        <v>2</v>
      </c>
      <c r="G394" t="s">
        <v>4222</v>
      </c>
      <c r="H394" t="s">
        <v>5005</v>
      </c>
      <c r="I394" t="s">
        <v>108</v>
      </c>
      <c r="J394" t="s">
        <v>2500</v>
      </c>
    </row>
    <row r="395" spans="1:10" x14ac:dyDescent="0.25">
      <c r="A395" t="s">
        <v>5006</v>
      </c>
      <c r="B395" s="3">
        <v>46275</v>
      </c>
      <c r="C395" t="s">
        <v>624</v>
      </c>
      <c r="D395" t="s">
        <v>602</v>
      </c>
      <c r="E395">
        <v>17</v>
      </c>
      <c r="F395" t="s">
        <v>2</v>
      </c>
      <c r="G395" t="s">
        <v>4234</v>
      </c>
      <c r="H395" t="s">
        <v>5007</v>
      </c>
      <c r="I395" t="s">
        <v>181</v>
      </c>
      <c r="J395" t="s">
        <v>2509</v>
      </c>
    </row>
    <row r="396" spans="1:10" x14ac:dyDescent="0.25">
      <c r="A396" t="s">
        <v>5008</v>
      </c>
      <c r="B396" s="3">
        <v>46275</v>
      </c>
      <c r="C396" t="s">
        <v>307</v>
      </c>
      <c r="D396" t="s">
        <v>210</v>
      </c>
      <c r="E396">
        <v>52</v>
      </c>
      <c r="F396" t="s">
        <v>2</v>
      </c>
      <c r="G396" t="s">
        <v>4222</v>
      </c>
      <c r="H396" t="s">
        <v>5009</v>
      </c>
      <c r="I396" t="s">
        <v>57</v>
      </c>
      <c r="J396" t="s">
        <v>2513</v>
      </c>
    </row>
    <row r="397" spans="1:10" x14ac:dyDescent="0.25">
      <c r="A397" t="s">
        <v>5010</v>
      </c>
      <c r="B397" s="3">
        <v>46275</v>
      </c>
      <c r="C397" t="s">
        <v>681</v>
      </c>
      <c r="D397" t="s">
        <v>589</v>
      </c>
      <c r="E397">
        <v>55</v>
      </c>
      <c r="F397" t="s">
        <v>469</v>
      </c>
      <c r="G397" t="s">
        <v>4234</v>
      </c>
      <c r="H397" t="s">
        <v>4756</v>
      </c>
      <c r="I397" t="s">
        <v>259</v>
      </c>
      <c r="J397" t="s">
        <v>2500</v>
      </c>
    </row>
    <row r="398" spans="1:10" x14ac:dyDescent="0.25">
      <c r="A398" t="s">
        <v>5011</v>
      </c>
      <c r="B398" s="3">
        <v>46275</v>
      </c>
      <c r="C398" t="s">
        <v>309</v>
      </c>
      <c r="D398" t="s">
        <v>225</v>
      </c>
      <c r="E398">
        <v>27</v>
      </c>
      <c r="F398" t="s">
        <v>2</v>
      </c>
      <c r="G398" t="s">
        <v>4231</v>
      </c>
      <c r="H398" t="s">
        <v>5012</v>
      </c>
      <c r="I398" t="s">
        <v>310</v>
      </c>
      <c r="J398" t="s">
        <v>2509</v>
      </c>
    </row>
    <row r="399" spans="1:10" x14ac:dyDescent="0.25">
      <c r="A399" t="s">
        <v>5013</v>
      </c>
      <c r="B399" s="3">
        <v>46275</v>
      </c>
      <c r="C399" t="s">
        <v>401</v>
      </c>
      <c r="D399" t="s">
        <v>382</v>
      </c>
      <c r="E399">
        <v>32</v>
      </c>
      <c r="F399" t="s">
        <v>383</v>
      </c>
      <c r="G399" t="s">
        <v>4234</v>
      </c>
      <c r="H399" t="s">
        <v>5014</v>
      </c>
      <c r="I399" t="s">
        <v>19</v>
      </c>
      <c r="J399" t="s">
        <v>2503</v>
      </c>
    </row>
    <row r="400" spans="1:10" x14ac:dyDescent="0.25">
      <c r="A400" t="s">
        <v>5015</v>
      </c>
      <c r="B400" s="3">
        <v>46275</v>
      </c>
      <c r="C400" t="s">
        <v>114</v>
      </c>
      <c r="D400" t="s">
        <v>21</v>
      </c>
      <c r="E400">
        <v>47</v>
      </c>
      <c r="F400" t="s">
        <v>2</v>
      </c>
      <c r="G400" t="s">
        <v>4222</v>
      </c>
      <c r="H400" t="s">
        <v>5016</v>
      </c>
      <c r="I400" t="s">
        <v>42</v>
      </c>
      <c r="J400" t="s">
        <v>2500</v>
      </c>
    </row>
    <row r="401" spans="1:10" x14ac:dyDescent="0.25">
      <c r="A401" t="s">
        <v>5017</v>
      </c>
      <c r="B401" s="3">
        <v>46275</v>
      </c>
      <c r="C401" t="s">
        <v>416</v>
      </c>
      <c r="D401" t="s">
        <v>344</v>
      </c>
      <c r="E401">
        <v>7</v>
      </c>
      <c r="F401" t="s">
        <v>346</v>
      </c>
      <c r="G401" t="s">
        <v>4231</v>
      </c>
      <c r="H401" t="s">
        <v>5018</v>
      </c>
      <c r="I401" t="s">
        <v>102</v>
      </c>
      <c r="J401" t="s">
        <v>2500</v>
      </c>
    </row>
    <row r="402" spans="1:10" x14ac:dyDescent="0.25">
      <c r="A402" t="s">
        <v>5019</v>
      </c>
      <c r="B402" s="3">
        <v>46275</v>
      </c>
      <c r="C402" t="s">
        <v>669</v>
      </c>
      <c r="D402" t="s">
        <v>594</v>
      </c>
      <c r="E402">
        <v>6</v>
      </c>
      <c r="F402" t="s">
        <v>595</v>
      </c>
      <c r="G402" t="s">
        <v>4231</v>
      </c>
      <c r="H402" t="s">
        <v>5020</v>
      </c>
      <c r="I402" t="s">
        <v>410</v>
      </c>
      <c r="J402" t="s">
        <v>2509</v>
      </c>
    </row>
    <row r="403" spans="1:10" x14ac:dyDescent="0.25">
      <c r="A403" t="s">
        <v>5021</v>
      </c>
      <c r="B403" s="3">
        <v>46275</v>
      </c>
      <c r="C403" t="s">
        <v>613</v>
      </c>
      <c r="D403" t="s">
        <v>597</v>
      </c>
      <c r="E403">
        <v>6</v>
      </c>
      <c r="F403" t="s">
        <v>355</v>
      </c>
      <c r="G403" t="s">
        <v>4228</v>
      </c>
      <c r="H403" t="s">
        <v>5022</v>
      </c>
      <c r="I403" t="s">
        <v>221</v>
      </c>
      <c r="J403" t="s">
        <v>2513</v>
      </c>
    </row>
    <row r="404" spans="1:10" x14ac:dyDescent="0.25">
      <c r="A404" t="s">
        <v>5023</v>
      </c>
      <c r="B404" s="3">
        <v>46275</v>
      </c>
      <c r="C404" t="s">
        <v>547</v>
      </c>
      <c r="D404" t="s">
        <v>481</v>
      </c>
      <c r="E404">
        <v>54</v>
      </c>
      <c r="F404" t="s">
        <v>2</v>
      </c>
      <c r="G404" t="s">
        <v>4234</v>
      </c>
      <c r="H404" t="s">
        <v>5024</v>
      </c>
      <c r="I404" t="s">
        <v>69</v>
      </c>
      <c r="J404" t="s">
        <v>2513</v>
      </c>
    </row>
    <row r="405" spans="1:10" x14ac:dyDescent="0.25">
      <c r="A405" t="s">
        <v>5025</v>
      </c>
      <c r="B405" s="3">
        <v>46275</v>
      </c>
      <c r="C405" t="s">
        <v>689</v>
      </c>
      <c r="D405" t="s">
        <v>589</v>
      </c>
      <c r="E405">
        <v>17</v>
      </c>
      <c r="F405" t="s">
        <v>469</v>
      </c>
      <c r="G405" t="s">
        <v>4234</v>
      </c>
      <c r="H405" t="s">
        <v>5026</v>
      </c>
      <c r="I405" t="s">
        <v>45</v>
      </c>
      <c r="J405" t="s">
        <v>2513</v>
      </c>
    </row>
    <row r="406" spans="1:10" x14ac:dyDescent="0.25">
      <c r="A406" t="s">
        <v>5027</v>
      </c>
      <c r="B406" s="3">
        <v>46275</v>
      </c>
      <c r="C406" t="s">
        <v>533</v>
      </c>
      <c r="D406" t="s">
        <v>474</v>
      </c>
      <c r="E406">
        <v>10</v>
      </c>
      <c r="F406" t="s">
        <v>2</v>
      </c>
      <c r="G406" t="s">
        <v>4234</v>
      </c>
      <c r="H406" t="s">
        <v>5028</v>
      </c>
      <c r="I406" t="s">
        <v>59</v>
      </c>
      <c r="J406" t="s">
        <v>2500</v>
      </c>
    </row>
    <row r="407" spans="1:10" x14ac:dyDescent="0.25">
      <c r="A407" t="s">
        <v>5029</v>
      </c>
      <c r="B407" s="3">
        <v>46275</v>
      </c>
      <c r="C407" t="s">
        <v>197</v>
      </c>
      <c r="D407" t="s">
        <v>21</v>
      </c>
      <c r="E407">
        <v>21</v>
      </c>
      <c r="F407" t="s">
        <v>2</v>
      </c>
      <c r="G407" t="s">
        <v>4231</v>
      </c>
      <c r="H407" t="s">
        <v>5030</v>
      </c>
      <c r="I407" t="s">
        <v>171</v>
      </c>
      <c r="J407" t="s">
        <v>2503</v>
      </c>
    </row>
    <row r="408" spans="1:10" x14ac:dyDescent="0.25">
      <c r="A408" t="s">
        <v>5031</v>
      </c>
      <c r="B408" s="3">
        <v>46275</v>
      </c>
      <c r="C408" t="s">
        <v>188</v>
      </c>
      <c r="D408" t="s">
        <v>29</v>
      </c>
      <c r="E408">
        <v>41</v>
      </c>
      <c r="F408" t="s">
        <v>2</v>
      </c>
      <c r="G408" t="s">
        <v>4225</v>
      </c>
      <c r="H408" t="s">
        <v>5032</v>
      </c>
      <c r="I408" t="s">
        <v>189</v>
      </c>
      <c r="J408" t="s">
        <v>2513</v>
      </c>
    </row>
    <row r="409" spans="1:10" x14ac:dyDescent="0.25">
      <c r="A409" t="s">
        <v>5033</v>
      </c>
      <c r="B409" s="3">
        <v>46275</v>
      </c>
      <c r="C409" t="s">
        <v>68</v>
      </c>
      <c r="D409" t="s">
        <v>29</v>
      </c>
      <c r="E409">
        <v>40</v>
      </c>
      <c r="F409" t="s">
        <v>2</v>
      </c>
      <c r="G409" t="s">
        <v>4231</v>
      </c>
      <c r="H409" t="s">
        <v>5034</v>
      </c>
      <c r="I409" t="s">
        <v>69</v>
      </c>
      <c r="J409" t="s">
        <v>2503</v>
      </c>
    </row>
    <row r="410" spans="1:10" x14ac:dyDescent="0.25">
      <c r="A410" t="s">
        <v>5035</v>
      </c>
      <c r="B410" s="3">
        <v>46275</v>
      </c>
      <c r="C410" t="s">
        <v>608</v>
      </c>
      <c r="D410" t="s">
        <v>582</v>
      </c>
      <c r="E410">
        <v>53</v>
      </c>
      <c r="F410" t="s">
        <v>2</v>
      </c>
      <c r="G410" t="s">
        <v>4225</v>
      </c>
      <c r="H410" t="s">
        <v>5036</v>
      </c>
      <c r="I410" t="s">
        <v>206</v>
      </c>
      <c r="J410" t="s">
        <v>2500</v>
      </c>
    </row>
    <row r="411" spans="1:10" x14ac:dyDescent="0.25">
      <c r="A411" t="s">
        <v>5037</v>
      </c>
      <c r="B411" s="3">
        <v>46275</v>
      </c>
      <c r="C411" t="s">
        <v>60</v>
      </c>
      <c r="D411" t="s">
        <v>44</v>
      </c>
      <c r="E411">
        <v>31</v>
      </c>
      <c r="F411" t="s">
        <v>2</v>
      </c>
      <c r="G411" t="s">
        <v>4234</v>
      </c>
      <c r="H411" t="s">
        <v>5038</v>
      </c>
      <c r="I411" t="s">
        <v>27</v>
      </c>
      <c r="J411" t="s">
        <v>2500</v>
      </c>
    </row>
    <row r="412" spans="1:10" x14ac:dyDescent="0.25">
      <c r="A412" t="s">
        <v>5039</v>
      </c>
      <c r="B412" s="3">
        <v>46275</v>
      </c>
      <c r="C412" t="s">
        <v>136</v>
      </c>
      <c r="D412" t="s">
        <v>21</v>
      </c>
      <c r="E412">
        <v>55</v>
      </c>
      <c r="F412" t="s">
        <v>2</v>
      </c>
      <c r="G412" t="s">
        <v>4228</v>
      </c>
      <c r="H412" t="s">
        <v>5040</v>
      </c>
      <c r="I412" t="s">
        <v>83</v>
      </c>
      <c r="J412" t="s">
        <v>2513</v>
      </c>
    </row>
    <row r="413" spans="1:10" x14ac:dyDescent="0.25">
      <c r="A413" t="s">
        <v>5041</v>
      </c>
      <c r="B413" s="3">
        <v>46275</v>
      </c>
      <c r="C413" t="s">
        <v>524</v>
      </c>
      <c r="D413" t="s">
        <v>474</v>
      </c>
      <c r="E413">
        <v>7</v>
      </c>
      <c r="F413" t="s">
        <v>2</v>
      </c>
      <c r="G413" t="s">
        <v>4231</v>
      </c>
      <c r="H413" t="s">
        <v>5042</v>
      </c>
      <c r="I413" t="s">
        <v>257</v>
      </c>
      <c r="J413" t="s">
        <v>2500</v>
      </c>
    </row>
    <row r="414" spans="1:10" x14ac:dyDescent="0.25">
      <c r="A414" t="s">
        <v>5043</v>
      </c>
      <c r="B414" s="3">
        <v>46275</v>
      </c>
      <c r="C414" t="s">
        <v>90</v>
      </c>
      <c r="D414" t="s">
        <v>15</v>
      </c>
      <c r="E414">
        <v>26</v>
      </c>
      <c r="F414" t="s">
        <v>2</v>
      </c>
      <c r="G414" t="s">
        <v>4228</v>
      </c>
      <c r="H414" t="s">
        <v>5044</v>
      </c>
      <c r="I414" t="s">
        <v>73</v>
      </c>
      <c r="J414" t="s">
        <v>2500</v>
      </c>
    </row>
    <row r="415" spans="1:10" x14ac:dyDescent="0.25">
      <c r="A415" t="s">
        <v>5045</v>
      </c>
      <c r="B415" s="3">
        <v>46275</v>
      </c>
      <c r="C415" t="s">
        <v>386</v>
      </c>
      <c r="D415" t="s">
        <v>344</v>
      </c>
      <c r="E415">
        <v>46</v>
      </c>
      <c r="F415" t="s">
        <v>346</v>
      </c>
      <c r="G415" t="s">
        <v>4222</v>
      </c>
      <c r="H415" t="s">
        <v>4508</v>
      </c>
      <c r="I415" t="s">
        <v>93</v>
      </c>
      <c r="J415" t="s">
        <v>2500</v>
      </c>
    </row>
    <row r="416" spans="1:10" x14ac:dyDescent="0.25">
      <c r="A416" t="s">
        <v>5046</v>
      </c>
      <c r="B416" s="3">
        <v>46276</v>
      </c>
      <c r="C416" t="s">
        <v>196</v>
      </c>
      <c r="D416" t="s">
        <v>47</v>
      </c>
      <c r="E416">
        <v>50</v>
      </c>
      <c r="F416" t="s">
        <v>2</v>
      </c>
      <c r="G416" t="s">
        <v>4225</v>
      </c>
      <c r="H416" t="s">
        <v>5047</v>
      </c>
      <c r="I416" t="s">
        <v>164</v>
      </c>
      <c r="J416" t="s">
        <v>2503</v>
      </c>
    </row>
    <row r="417" spans="1:10" x14ac:dyDescent="0.25">
      <c r="A417" t="s">
        <v>5048</v>
      </c>
      <c r="B417" s="3">
        <v>46276</v>
      </c>
      <c r="C417" t="s">
        <v>547</v>
      </c>
      <c r="D417" t="s">
        <v>481</v>
      </c>
      <c r="E417">
        <v>11</v>
      </c>
      <c r="F417" t="s">
        <v>2</v>
      </c>
      <c r="G417" t="s">
        <v>4234</v>
      </c>
      <c r="H417" t="s">
        <v>5049</v>
      </c>
      <c r="I417" t="s">
        <v>69</v>
      </c>
      <c r="J417" t="s">
        <v>2500</v>
      </c>
    </row>
    <row r="418" spans="1:10" x14ac:dyDescent="0.25">
      <c r="A418" t="s">
        <v>5050</v>
      </c>
      <c r="B418" s="3">
        <v>46276</v>
      </c>
      <c r="C418" t="s">
        <v>571</v>
      </c>
      <c r="D418" t="s">
        <v>488</v>
      </c>
      <c r="E418">
        <v>14</v>
      </c>
      <c r="F418" t="s">
        <v>469</v>
      </c>
      <c r="G418" t="s">
        <v>4222</v>
      </c>
      <c r="H418" t="s">
        <v>5051</v>
      </c>
      <c r="I418" t="s">
        <v>289</v>
      </c>
      <c r="J418" t="s">
        <v>2509</v>
      </c>
    </row>
    <row r="419" spans="1:10" x14ac:dyDescent="0.25">
      <c r="A419" t="s">
        <v>5052</v>
      </c>
      <c r="B419" s="3">
        <v>46276</v>
      </c>
      <c r="C419" t="s">
        <v>301</v>
      </c>
      <c r="D419" t="s">
        <v>240</v>
      </c>
      <c r="E419">
        <v>49</v>
      </c>
      <c r="F419" t="s">
        <v>2</v>
      </c>
      <c r="G419" t="s">
        <v>4231</v>
      </c>
      <c r="H419" t="s">
        <v>5053</v>
      </c>
      <c r="I419" t="s">
        <v>259</v>
      </c>
      <c r="J419" t="s">
        <v>2500</v>
      </c>
    </row>
    <row r="420" spans="1:10" x14ac:dyDescent="0.25">
      <c r="A420" t="s">
        <v>5054</v>
      </c>
      <c r="B420" s="3">
        <v>46276</v>
      </c>
      <c r="C420" t="s">
        <v>551</v>
      </c>
      <c r="D420" t="s">
        <v>484</v>
      </c>
      <c r="E420">
        <v>34</v>
      </c>
      <c r="F420" t="s">
        <v>469</v>
      </c>
      <c r="G420" t="s">
        <v>4231</v>
      </c>
      <c r="H420" t="s">
        <v>5055</v>
      </c>
      <c r="I420" t="s">
        <v>230</v>
      </c>
      <c r="J420" t="s">
        <v>2509</v>
      </c>
    </row>
    <row r="421" spans="1:10" x14ac:dyDescent="0.25">
      <c r="A421" t="s">
        <v>5056</v>
      </c>
      <c r="B421" s="3">
        <v>46276</v>
      </c>
      <c r="C421" t="s">
        <v>571</v>
      </c>
      <c r="D421" t="s">
        <v>488</v>
      </c>
      <c r="E421">
        <v>40</v>
      </c>
      <c r="F421" t="s">
        <v>469</v>
      </c>
      <c r="G421" t="s">
        <v>4228</v>
      </c>
      <c r="H421" t="s">
        <v>5057</v>
      </c>
      <c r="I421" t="s">
        <v>289</v>
      </c>
      <c r="J421" t="s">
        <v>2513</v>
      </c>
    </row>
    <row r="422" spans="1:10" x14ac:dyDescent="0.25">
      <c r="A422" t="s">
        <v>5058</v>
      </c>
      <c r="B422" s="3">
        <v>46276</v>
      </c>
      <c r="C422" t="s">
        <v>167</v>
      </c>
      <c r="D422" t="s">
        <v>26</v>
      </c>
      <c r="E422">
        <v>23</v>
      </c>
      <c r="F422" t="s">
        <v>2</v>
      </c>
      <c r="G422" t="s">
        <v>4231</v>
      </c>
      <c r="H422" t="s">
        <v>5059</v>
      </c>
      <c r="I422" t="s">
        <v>64</v>
      </c>
      <c r="J422" t="s">
        <v>2509</v>
      </c>
    </row>
    <row r="423" spans="1:10" x14ac:dyDescent="0.25">
      <c r="A423" t="s">
        <v>5060</v>
      </c>
      <c r="B423" s="3">
        <v>46276</v>
      </c>
      <c r="C423" t="s">
        <v>283</v>
      </c>
      <c r="D423" t="s">
        <v>234</v>
      </c>
      <c r="E423">
        <v>2</v>
      </c>
      <c r="F423" t="s">
        <v>2</v>
      </c>
      <c r="G423" t="s">
        <v>4234</v>
      </c>
      <c r="H423" t="s">
        <v>5061</v>
      </c>
      <c r="I423" t="s">
        <v>59</v>
      </c>
      <c r="J423" t="s">
        <v>2513</v>
      </c>
    </row>
    <row r="424" spans="1:10" x14ac:dyDescent="0.25">
      <c r="A424" t="s">
        <v>5062</v>
      </c>
      <c r="B424" s="3">
        <v>46276</v>
      </c>
      <c r="C424" t="s">
        <v>658</v>
      </c>
      <c r="D424" t="s">
        <v>597</v>
      </c>
      <c r="E424">
        <v>24</v>
      </c>
      <c r="F424" t="s">
        <v>355</v>
      </c>
      <c r="G424" t="s">
        <v>4228</v>
      </c>
      <c r="H424" t="s">
        <v>5063</v>
      </c>
      <c r="I424" t="s">
        <v>113</v>
      </c>
      <c r="J424" t="s">
        <v>2509</v>
      </c>
    </row>
    <row r="425" spans="1:10" x14ac:dyDescent="0.25">
      <c r="A425" t="s">
        <v>5064</v>
      </c>
      <c r="B425" s="3">
        <v>46276</v>
      </c>
      <c r="C425" t="s">
        <v>226</v>
      </c>
      <c r="D425" t="s">
        <v>227</v>
      </c>
      <c r="E425">
        <v>13</v>
      </c>
      <c r="F425" t="s">
        <v>2</v>
      </c>
      <c r="G425" t="s">
        <v>4231</v>
      </c>
      <c r="H425" t="s">
        <v>5065</v>
      </c>
      <c r="I425" t="s">
        <v>201</v>
      </c>
      <c r="J425" t="s">
        <v>2500</v>
      </c>
    </row>
    <row r="426" spans="1:10" x14ac:dyDescent="0.25">
      <c r="A426" t="s">
        <v>5066</v>
      </c>
      <c r="B426" s="3">
        <v>46276</v>
      </c>
      <c r="C426" t="s">
        <v>343</v>
      </c>
      <c r="D426" t="s">
        <v>344</v>
      </c>
      <c r="E426">
        <v>37</v>
      </c>
      <c r="F426" t="s">
        <v>346</v>
      </c>
      <c r="G426" t="s">
        <v>4234</v>
      </c>
      <c r="H426" t="s">
        <v>5067</v>
      </c>
      <c r="I426" t="s">
        <v>147</v>
      </c>
      <c r="J426" t="s">
        <v>2500</v>
      </c>
    </row>
    <row r="427" spans="1:10" x14ac:dyDescent="0.25">
      <c r="A427" t="s">
        <v>5068</v>
      </c>
      <c r="B427" s="3">
        <v>46276</v>
      </c>
      <c r="C427" t="s">
        <v>553</v>
      </c>
      <c r="D427" t="s">
        <v>476</v>
      </c>
      <c r="E427">
        <v>24</v>
      </c>
      <c r="F427" t="s">
        <v>477</v>
      </c>
      <c r="G427" t="s">
        <v>4222</v>
      </c>
      <c r="H427" t="s">
        <v>5069</v>
      </c>
      <c r="I427" t="s">
        <v>324</v>
      </c>
      <c r="J427" t="s">
        <v>2503</v>
      </c>
    </row>
    <row r="428" spans="1:10" x14ac:dyDescent="0.25">
      <c r="A428" t="s">
        <v>5070</v>
      </c>
      <c r="B428" s="3">
        <v>46276</v>
      </c>
      <c r="C428" t="s">
        <v>448</v>
      </c>
      <c r="D428" t="s">
        <v>360</v>
      </c>
      <c r="E428">
        <v>39</v>
      </c>
      <c r="F428" t="s">
        <v>358</v>
      </c>
      <c r="G428" t="s">
        <v>4225</v>
      </c>
      <c r="H428" t="s">
        <v>5071</v>
      </c>
      <c r="I428" t="s">
        <v>24</v>
      </c>
      <c r="J428" t="s">
        <v>2500</v>
      </c>
    </row>
    <row r="429" spans="1:10" x14ac:dyDescent="0.25">
      <c r="A429" t="s">
        <v>5072</v>
      </c>
      <c r="B429" s="3">
        <v>46276</v>
      </c>
      <c r="C429" t="s">
        <v>107</v>
      </c>
      <c r="D429" t="s">
        <v>29</v>
      </c>
      <c r="E429">
        <v>19</v>
      </c>
      <c r="F429" t="s">
        <v>2</v>
      </c>
      <c r="G429" t="s">
        <v>4222</v>
      </c>
      <c r="H429" t="s">
        <v>5073</v>
      </c>
      <c r="I429" t="s">
        <v>108</v>
      </c>
      <c r="J429" t="s">
        <v>2513</v>
      </c>
    </row>
    <row r="430" spans="1:10" x14ac:dyDescent="0.25">
      <c r="A430" t="s">
        <v>5074</v>
      </c>
      <c r="B430" s="3">
        <v>46276</v>
      </c>
      <c r="C430" t="s">
        <v>415</v>
      </c>
      <c r="D430" t="s">
        <v>382</v>
      </c>
      <c r="E430">
        <v>3</v>
      </c>
      <c r="F430" t="s">
        <v>383</v>
      </c>
      <c r="G430" t="s">
        <v>4234</v>
      </c>
      <c r="H430" t="s">
        <v>5075</v>
      </c>
      <c r="I430" t="s">
        <v>152</v>
      </c>
      <c r="J430" t="s">
        <v>2513</v>
      </c>
    </row>
    <row r="431" spans="1:10" x14ac:dyDescent="0.25">
      <c r="A431" t="s">
        <v>5076</v>
      </c>
      <c r="B431" s="3">
        <v>46276</v>
      </c>
      <c r="C431" t="s">
        <v>679</v>
      </c>
      <c r="D431" t="s">
        <v>597</v>
      </c>
      <c r="E431">
        <v>32</v>
      </c>
      <c r="F431" t="s">
        <v>355</v>
      </c>
      <c r="G431" t="s">
        <v>4222</v>
      </c>
      <c r="H431" t="s">
        <v>5077</v>
      </c>
      <c r="I431" t="s">
        <v>368</v>
      </c>
      <c r="J431" t="s">
        <v>2500</v>
      </c>
    </row>
    <row r="432" spans="1:10" x14ac:dyDescent="0.25">
      <c r="A432" t="s">
        <v>5078</v>
      </c>
      <c r="B432" s="3">
        <v>46276</v>
      </c>
      <c r="C432" t="s">
        <v>591</v>
      </c>
      <c r="D432" t="s">
        <v>585</v>
      </c>
      <c r="E432">
        <v>27</v>
      </c>
      <c r="F432" t="s">
        <v>355</v>
      </c>
      <c r="G432" t="s">
        <v>4222</v>
      </c>
      <c r="H432" t="s">
        <v>5079</v>
      </c>
      <c r="I432" t="s">
        <v>368</v>
      </c>
      <c r="J432" t="s">
        <v>2503</v>
      </c>
    </row>
    <row r="433" spans="1:10" x14ac:dyDescent="0.25">
      <c r="A433" t="s">
        <v>5080</v>
      </c>
      <c r="B433" s="3">
        <v>46276</v>
      </c>
      <c r="C433" t="s">
        <v>442</v>
      </c>
      <c r="D433" t="s">
        <v>382</v>
      </c>
      <c r="E433">
        <v>24</v>
      </c>
      <c r="F433" t="s">
        <v>383</v>
      </c>
      <c r="G433" t="s">
        <v>4228</v>
      </c>
      <c r="H433" t="s">
        <v>5081</v>
      </c>
      <c r="I433" t="s">
        <v>203</v>
      </c>
      <c r="J433" t="s">
        <v>2513</v>
      </c>
    </row>
    <row r="434" spans="1:10" x14ac:dyDescent="0.25">
      <c r="A434" t="s">
        <v>5082</v>
      </c>
      <c r="B434" s="3">
        <v>46276</v>
      </c>
      <c r="C434" t="s">
        <v>384</v>
      </c>
      <c r="D434" t="s">
        <v>366</v>
      </c>
      <c r="E434">
        <v>36</v>
      </c>
      <c r="F434" t="s">
        <v>2</v>
      </c>
      <c r="G434" t="s">
        <v>4228</v>
      </c>
      <c r="H434" t="s">
        <v>5083</v>
      </c>
      <c r="I434" t="s">
        <v>104</v>
      </c>
      <c r="J434" t="s">
        <v>2503</v>
      </c>
    </row>
    <row r="435" spans="1:10" x14ac:dyDescent="0.25">
      <c r="A435" t="s">
        <v>5084</v>
      </c>
      <c r="B435" s="3">
        <v>46276</v>
      </c>
      <c r="C435" t="s">
        <v>127</v>
      </c>
      <c r="D435" t="s">
        <v>26</v>
      </c>
      <c r="E435">
        <v>53</v>
      </c>
      <c r="F435" t="s">
        <v>2</v>
      </c>
      <c r="G435" t="s">
        <v>4228</v>
      </c>
      <c r="H435" t="s">
        <v>5085</v>
      </c>
      <c r="I435" t="s">
        <v>100</v>
      </c>
      <c r="J435" t="s">
        <v>2513</v>
      </c>
    </row>
    <row r="436" spans="1:10" x14ac:dyDescent="0.25">
      <c r="A436" t="s">
        <v>5086</v>
      </c>
      <c r="B436" s="3">
        <v>46276</v>
      </c>
      <c r="C436" t="s">
        <v>293</v>
      </c>
      <c r="D436" t="s">
        <v>210</v>
      </c>
      <c r="E436">
        <v>26</v>
      </c>
      <c r="F436" t="s">
        <v>2</v>
      </c>
      <c r="G436" t="s">
        <v>4222</v>
      </c>
      <c r="H436" t="s">
        <v>5087</v>
      </c>
      <c r="I436" t="s">
        <v>294</v>
      </c>
      <c r="J436" t="s">
        <v>2513</v>
      </c>
    </row>
    <row r="437" spans="1:10" x14ac:dyDescent="0.25">
      <c r="A437" t="s">
        <v>5088</v>
      </c>
      <c r="B437" s="3">
        <v>46276</v>
      </c>
      <c r="C437" t="s">
        <v>235</v>
      </c>
      <c r="D437" t="s">
        <v>216</v>
      </c>
      <c r="E437">
        <v>19</v>
      </c>
      <c r="F437" t="s">
        <v>2</v>
      </c>
      <c r="G437" t="s">
        <v>4228</v>
      </c>
      <c r="H437" t="s">
        <v>5089</v>
      </c>
      <c r="I437" t="s">
        <v>38</v>
      </c>
      <c r="J437" t="s">
        <v>2513</v>
      </c>
    </row>
    <row r="438" spans="1:10" x14ac:dyDescent="0.25">
      <c r="A438" t="s">
        <v>5090</v>
      </c>
      <c r="B438" s="3">
        <v>46276</v>
      </c>
      <c r="C438" t="s">
        <v>293</v>
      </c>
      <c r="D438" t="s">
        <v>210</v>
      </c>
      <c r="E438">
        <v>34</v>
      </c>
      <c r="F438" t="s">
        <v>2</v>
      </c>
      <c r="G438" t="s">
        <v>4222</v>
      </c>
      <c r="H438" t="s">
        <v>5091</v>
      </c>
      <c r="I438" t="s">
        <v>294</v>
      </c>
      <c r="J438" t="s">
        <v>2500</v>
      </c>
    </row>
    <row r="439" spans="1:10" x14ac:dyDescent="0.25">
      <c r="A439" t="s">
        <v>5092</v>
      </c>
      <c r="B439" s="3">
        <v>46276</v>
      </c>
      <c r="C439" t="s">
        <v>449</v>
      </c>
      <c r="D439" t="s">
        <v>378</v>
      </c>
      <c r="E439">
        <v>10</v>
      </c>
      <c r="F439" t="s">
        <v>2</v>
      </c>
      <c r="G439" t="s">
        <v>4231</v>
      </c>
      <c r="H439" t="s">
        <v>5093</v>
      </c>
      <c r="I439" t="s">
        <v>77</v>
      </c>
      <c r="J439" t="s">
        <v>2500</v>
      </c>
    </row>
    <row r="440" spans="1:10" x14ac:dyDescent="0.25">
      <c r="A440" t="s">
        <v>5094</v>
      </c>
      <c r="B440" s="3">
        <v>46276</v>
      </c>
      <c r="C440" t="s">
        <v>224</v>
      </c>
      <c r="D440" t="s">
        <v>225</v>
      </c>
      <c r="E440">
        <v>1</v>
      </c>
      <c r="F440" t="s">
        <v>2</v>
      </c>
      <c r="G440" t="s">
        <v>4234</v>
      </c>
      <c r="H440" t="s">
        <v>5095</v>
      </c>
      <c r="I440" t="s">
        <v>106</v>
      </c>
      <c r="J440" t="s">
        <v>2500</v>
      </c>
    </row>
    <row r="441" spans="1:10" x14ac:dyDescent="0.25">
      <c r="A441" t="s">
        <v>5096</v>
      </c>
      <c r="B441" s="3">
        <v>46276</v>
      </c>
      <c r="C441" t="s">
        <v>683</v>
      </c>
      <c r="D441" t="s">
        <v>594</v>
      </c>
      <c r="E441">
        <v>41</v>
      </c>
      <c r="F441" t="s">
        <v>595</v>
      </c>
      <c r="G441" t="s">
        <v>4228</v>
      </c>
      <c r="H441" t="s">
        <v>5097</v>
      </c>
      <c r="I441" t="s">
        <v>75</v>
      </c>
      <c r="J441" t="s">
        <v>2509</v>
      </c>
    </row>
    <row r="442" spans="1:10" x14ac:dyDescent="0.25">
      <c r="A442" t="s">
        <v>5098</v>
      </c>
      <c r="B442" s="3">
        <v>46276</v>
      </c>
      <c r="C442" t="s">
        <v>530</v>
      </c>
      <c r="D442" t="s">
        <v>481</v>
      </c>
      <c r="E442">
        <v>53</v>
      </c>
      <c r="F442" t="s">
        <v>2</v>
      </c>
      <c r="G442" t="s">
        <v>4222</v>
      </c>
      <c r="H442" t="s">
        <v>5099</v>
      </c>
      <c r="I442" t="s">
        <v>124</v>
      </c>
      <c r="J442" t="s">
        <v>2503</v>
      </c>
    </row>
    <row r="443" spans="1:10" x14ac:dyDescent="0.25">
      <c r="A443" t="s">
        <v>5100</v>
      </c>
      <c r="B443" s="3">
        <v>46276</v>
      </c>
      <c r="C443" t="s">
        <v>28</v>
      </c>
      <c r="D443" t="s">
        <v>29</v>
      </c>
      <c r="E443">
        <v>17</v>
      </c>
      <c r="F443" t="s">
        <v>2</v>
      </c>
      <c r="G443" t="s">
        <v>4225</v>
      </c>
      <c r="H443" t="s">
        <v>5101</v>
      </c>
      <c r="I443" t="s">
        <v>30</v>
      </c>
      <c r="J443" t="s">
        <v>2509</v>
      </c>
    </row>
    <row r="444" spans="1:10" x14ac:dyDescent="0.25">
      <c r="A444" t="s">
        <v>5102</v>
      </c>
      <c r="B444" s="3">
        <v>46276</v>
      </c>
      <c r="C444" t="s">
        <v>135</v>
      </c>
      <c r="D444" t="s">
        <v>44</v>
      </c>
      <c r="E444">
        <v>45</v>
      </c>
      <c r="F444" t="s">
        <v>2</v>
      </c>
      <c r="G444" t="s">
        <v>4231</v>
      </c>
      <c r="H444" t="s">
        <v>5103</v>
      </c>
      <c r="I444" t="s">
        <v>73</v>
      </c>
      <c r="J444" t="s">
        <v>2500</v>
      </c>
    </row>
    <row r="445" spans="1:10" x14ac:dyDescent="0.25">
      <c r="A445" t="s">
        <v>5104</v>
      </c>
      <c r="B445" s="3">
        <v>46276</v>
      </c>
      <c r="C445" t="s">
        <v>262</v>
      </c>
      <c r="D445" t="s">
        <v>223</v>
      </c>
      <c r="E445">
        <v>1</v>
      </c>
      <c r="F445" t="s">
        <v>2</v>
      </c>
      <c r="G445" t="s">
        <v>4228</v>
      </c>
      <c r="H445" t="s">
        <v>5105</v>
      </c>
      <c r="I445" t="s">
        <v>259</v>
      </c>
      <c r="J445" t="s">
        <v>2509</v>
      </c>
    </row>
    <row r="446" spans="1:10" x14ac:dyDescent="0.25">
      <c r="A446" t="s">
        <v>5106</v>
      </c>
      <c r="B446" s="3">
        <v>46276</v>
      </c>
      <c r="C446" t="s">
        <v>627</v>
      </c>
      <c r="D446" t="s">
        <v>589</v>
      </c>
      <c r="E446">
        <v>30</v>
      </c>
      <c r="F446" t="s">
        <v>469</v>
      </c>
      <c r="G446" t="s">
        <v>4228</v>
      </c>
      <c r="H446" t="s">
        <v>5107</v>
      </c>
      <c r="I446" t="s">
        <v>149</v>
      </c>
      <c r="J446" t="s">
        <v>2513</v>
      </c>
    </row>
    <row r="447" spans="1:10" x14ac:dyDescent="0.25">
      <c r="A447" t="s">
        <v>5108</v>
      </c>
      <c r="B447" s="3">
        <v>46276</v>
      </c>
      <c r="C447" t="s">
        <v>275</v>
      </c>
      <c r="D447" t="s">
        <v>218</v>
      </c>
      <c r="E447">
        <v>38</v>
      </c>
      <c r="F447" t="s">
        <v>2</v>
      </c>
      <c r="G447" t="s">
        <v>4234</v>
      </c>
      <c r="H447" t="s">
        <v>5109</v>
      </c>
      <c r="I447" t="s">
        <v>259</v>
      </c>
      <c r="J447" t="s">
        <v>2500</v>
      </c>
    </row>
    <row r="448" spans="1:10" x14ac:dyDescent="0.25">
      <c r="A448" t="s">
        <v>5110</v>
      </c>
      <c r="B448" s="3">
        <v>46276</v>
      </c>
      <c r="C448" t="s">
        <v>618</v>
      </c>
      <c r="D448" t="s">
        <v>587</v>
      </c>
      <c r="E448">
        <v>41</v>
      </c>
      <c r="F448" t="s">
        <v>2</v>
      </c>
      <c r="G448" t="s">
        <v>4222</v>
      </c>
      <c r="H448" t="s">
        <v>5111</v>
      </c>
      <c r="I448" t="s">
        <v>79</v>
      </c>
      <c r="J448" t="s">
        <v>2513</v>
      </c>
    </row>
    <row r="449" spans="1:10" x14ac:dyDescent="0.25">
      <c r="A449" t="s">
        <v>5112</v>
      </c>
      <c r="B449" s="3">
        <v>46276</v>
      </c>
      <c r="C449" t="s">
        <v>190</v>
      </c>
      <c r="D449" t="s">
        <v>29</v>
      </c>
      <c r="E449">
        <v>6</v>
      </c>
      <c r="F449" t="s">
        <v>2</v>
      </c>
      <c r="G449" t="s">
        <v>4222</v>
      </c>
      <c r="H449" t="s">
        <v>5113</v>
      </c>
      <c r="I449" t="s">
        <v>77</v>
      </c>
      <c r="J449" t="s">
        <v>2509</v>
      </c>
    </row>
    <row r="450" spans="1:10" x14ac:dyDescent="0.25">
      <c r="A450" t="s">
        <v>5114</v>
      </c>
      <c r="B450" s="3">
        <v>46276</v>
      </c>
      <c r="C450" t="s">
        <v>283</v>
      </c>
      <c r="D450" t="s">
        <v>234</v>
      </c>
      <c r="E450">
        <v>9</v>
      </c>
      <c r="F450" t="s">
        <v>2</v>
      </c>
      <c r="G450" t="s">
        <v>4225</v>
      </c>
      <c r="H450" t="s">
        <v>5115</v>
      </c>
      <c r="I450" t="s">
        <v>59</v>
      </c>
      <c r="J450" t="s">
        <v>2503</v>
      </c>
    </row>
    <row r="451" spans="1:10" x14ac:dyDescent="0.25">
      <c r="A451" t="s">
        <v>5116</v>
      </c>
      <c r="B451" s="3">
        <v>46276</v>
      </c>
      <c r="C451" t="s">
        <v>299</v>
      </c>
      <c r="D451" t="s">
        <v>216</v>
      </c>
      <c r="E451">
        <v>11</v>
      </c>
      <c r="F451" t="s">
        <v>2</v>
      </c>
      <c r="G451" t="s">
        <v>4228</v>
      </c>
      <c r="H451" t="s">
        <v>5117</v>
      </c>
      <c r="I451" t="s">
        <v>155</v>
      </c>
      <c r="J451" t="s">
        <v>2500</v>
      </c>
    </row>
    <row r="452" spans="1:10" x14ac:dyDescent="0.25">
      <c r="A452" t="s">
        <v>5118</v>
      </c>
      <c r="B452" s="3">
        <v>46276</v>
      </c>
      <c r="C452" t="s">
        <v>644</v>
      </c>
      <c r="D452" t="s">
        <v>629</v>
      </c>
      <c r="E452">
        <v>7</v>
      </c>
      <c r="F452" t="s">
        <v>355</v>
      </c>
      <c r="G452" t="s">
        <v>4225</v>
      </c>
      <c r="H452" t="s">
        <v>5119</v>
      </c>
      <c r="I452" t="s">
        <v>189</v>
      </c>
      <c r="J452" t="s">
        <v>2500</v>
      </c>
    </row>
    <row r="453" spans="1:10" x14ac:dyDescent="0.25">
      <c r="A453" t="s">
        <v>5120</v>
      </c>
      <c r="B453" s="3">
        <v>46276</v>
      </c>
      <c r="C453" t="s">
        <v>207</v>
      </c>
      <c r="D453" t="s">
        <v>29</v>
      </c>
      <c r="E453">
        <v>53</v>
      </c>
      <c r="F453" t="s">
        <v>2</v>
      </c>
      <c r="G453" t="s">
        <v>4234</v>
      </c>
      <c r="H453" t="s">
        <v>5121</v>
      </c>
      <c r="I453" t="s">
        <v>208</v>
      </c>
      <c r="J453" t="s">
        <v>2513</v>
      </c>
    </row>
    <row r="454" spans="1:10" x14ac:dyDescent="0.25">
      <c r="A454" t="s">
        <v>5122</v>
      </c>
      <c r="B454" s="3">
        <v>46276</v>
      </c>
      <c r="C454" t="s">
        <v>463</v>
      </c>
      <c r="D454" t="s">
        <v>360</v>
      </c>
      <c r="E454">
        <v>26</v>
      </c>
      <c r="F454" t="s">
        <v>358</v>
      </c>
      <c r="G454" t="s">
        <v>4231</v>
      </c>
      <c r="H454" t="s">
        <v>5123</v>
      </c>
      <c r="I454" t="s">
        <v>464</v>
      </c>
      <c r="J454" t="s">
        <v>2509</v>
      </c>
    </row>
    <row r="455" spans="1:10" x14ac:dyDescent="0.25">
      <c r="A455" t="s">
        <v>5124</v>
      </c>
      <c r="B455" s="3">
        <v>46276</v>
      </c>
      <c r="C455" t="s">
        <v>483</v>
      </c>
      <c r="D455" t="s">
        <v>484</v>
      </c>
      <c r="E455">
        <v>1</v>
      </c>
      <c r="F455" t="s">
        <v>469</v>
      </c>
      <c r="G455" t="s">
        <v>4225</v>
      </c>
      <c r="H455" t="s">
        <v>5125</v>
      </c>
      <c r="I455" t="s">
        <v>368</v>
      </c>
      <c r="J455" t="s">
        <v>2513</v>
      </c>
    </row>
    <row r="456" spans="1:10" x14ac:dyDescent="0.25">
      <c r="A456" t="s">
        <v>5126</v>
      </c>
      <c r="B456" s="3">
        <v>46276</v>
      </c>
      <c r="C456" t="s">
        <v>613</v>
      </c>
      <c r="D456" t="s">
        <v>597</v>
      </c>
      <c r="E456">
        <v>27</v>
      </c>
      <c r="F456" t="s">
        <v>355</v>
      </c>
      <c r="G456" t="s">
        <v>4234</v>
      </c>
      <c r="H456" t="s">
        <v>5127</v>
      </c>
      <c r="I456" t="s">
        <v>221</v>
      </c>
      <c r="J456" t="s">
        <v>2513</v>
      </c>
    </row>
    <row r="457" spans="1:10" x14ac:dyDescent="0.25">
      <c r="A457" t="s">
        <v>5128</v>
      </c>
      <c r="B457" s="3">
        <v>46276</v>
      </c>
      <c r="C457" t="s">
        <v>334</v>
      </c>
      <c r="D457" t="s">
        <v>218</v>
      </c>
      <c r="E457">
        <v>7</v>
      </c>
      <c r="F457" t="s">
        <v>2</v>
      </c>
      <c r="G457" t="s">
        <v>4234</v>
      </c>
      <c r="H457" t="s">
        <v>5129</v>
      </c>
      <c r="I457" t="s">
        <v>181</v>
      </c>
      <c r="J457" t="s">
        <v>2513</v>
      </c>
    </row>
    <row r="458" spans="1:10" x14ac:dyDescent="0.25">
      <c r="A458" t="s">
        <v>5130</v>
      </c>
      <c r="B458" s="3">
        <v>46276</v>
      </c>
      <c r="C458" t="s">
        <v>652</v>
      </c>
      <c r="D458" t="s">
        <v>587</v>
      </c>
      <c r="E458">
        <v>21</v>
      </c>
      <c r="F458" t="s">
        <v>2</v>
      </c>
      <c r="G458" t="s">
        <v>4228</v>
      </c>
      <c r="H458" t="s">
        <v>5131</v>
      </c>
      <c r="I458" t="s">
        <v>34</v>
      </c>
      <c r="J458" t="s">
        <v>2513</v>
      </c>
    </row>
    <row r="459" spans="1:10" x14ac:dyDescent="0.25">
      <c r="A459" t="s">
        <v>5132</v>
      </c>
      <c r="B459" s="3">
        <v>46276</v>
      </c>
      <c r="C459" t="s">
        <v>513</v>
      </c>
      <c r="D459" t="s">
        <v>488</v>
      </c>
      <c r="E459">
        <v>33</v>
      </c>
      <c r="F459" t="s">
        <v>469</v>
      </c>
      <c r="G459" t="s">
        <v>4234</v>
      </c>
      <c r="H459" t="s">
        <v>5133</v>
      </c>
      <c r="I459" t="s">
        <v>110</v>
      </c>
      <c r="J459" t="s">
        <v>2500</v>
      </c>
    </row>
    <row r="460" spans="1:10" x14ac:dyDescent="0.25">
      <c r="A460" t="s">
        <v>5134</v>
      </c>
      <c r="B460" s="3">
        <v>46277</v>
      </c>
      <c r="C460" t="s">
        <v>94</v>
      </c>
      <c r="D460" t="s">
        <v>15</v>
      </c>
      <c r="E460">
        <v>36</v>
      </c>
      <c r="F460" t="s">
        <v>2</v>
      </c>
      <c r="G460" t="s">
        <v>4234</v>
      </c>
      <c r="H460" t="s">
        <v>5135</v>
      </c>
      <c r="I460" t="s">
        <v>95</v>
      </c>
      <c r="J460" t="s">
        <v>2513</v>
      </c>
    </row>
    <row r="461" spans="1:10" x14ac:dyDescent="0.25">
      <c r="A461" t="s">
        <v>5136</v>
      </c>
      <c r="B461" s="3">
        <v>46277</v>
      </c>
      <c r="C461" t="s">
        <v>680</v>
      </c>
      <c r="D461" t="s">
        <v>582</v>
      </c>
      <c r="E461">
        <v>51</v>
      </c>
      <c r="F461" t="s">
        <v>2</v>
      </c>
      <c r="G461" t="s">
        <v>4222</v>
      </c>
      <c r="H461" t="s">
        <v>5137</v>
      </c>
      <c r="I461" t="s">
        <v>93</v>
      </c>
      <c r="J461" t="s">
        <v>2503</v>
      </c>
    </row>
    <row r="462" spans="1:10" x14ac:dyDescent="0.25">
      <c r="A462" t="s">
        <v>5138</v>
      </c>
      <c r="B462" s="3">
        <v>46277</v>
      </c>
      <c r="C462" t="s">
        <v>402</v>
      </c>
      <c r="D462" t="s">
        <v>344</v>
      </c>
      <c r="E462">
        <v>3</v>
      </c>
      <c r="F462" t="s">
        <v>346</v>
      </c>
      <c r="G462" t="s">
        <v>4234</v>
      </c>
      <c r="H462" t="s">
        <v>5139</v>
      </c>
      <c r="I462" t="s">
        <v>27</v>
      </c>
      <c r="J462" t="s">
        <v>2503</v>
      </c>
    </row>
    <row r="463" spans="1:10" x14ac:dyDescent="0.25">
      <c r="A463" t="s">
        <v>5140</v>
      </c>
      <c r="B463" s="3">
        <v>46277</v>
      </c>
      <c r="C463" t="s">
        <v>473</v>
      </c>
      <c r="D463" t="s">
        <v>474</v>
      </c>
      <c r="E463">
        <v>14</v>
      </c>
      <c r="F463" t="s">
        <v>2</v>
      </c>
      <c r="G463" t="s">
        <v>4222</v>
      </c>
      <c r="H463" t="s">
        <v>5141</v>
      </c>
      <c r="I463" t="s">
        <v>164</v>
      </c>
      <c r="J463" t="s">
        <v>2509</v>
      </c>
    </row>
    <row r="464" spans="1:10" x14ac:dyDescent="0.25">
      <c r="A464" t="s">
        <v>5142</v>
      </c>
      <c r="B464" s="3">
        <v>46277</v>
      </c>
      <c r="C464" t="s">
        <v>134</v>
      </c>
      <c r="D464" t="s">
        <v>47</v>
      </c>
      <c r="E464">
        <v>50</v>
      </c>
      <c r="F464" t="s">
        <v>2</v>
      </c>
      <c r="G464" t="s">
        <v>4234</v>
      </c>
      <c r="H464" t="s">
        <v>5143</v>
      </c>
      <c r="I464" t="s">
        <v>38</v>
      </c>
      <c r="J464" t="s">
        <v>2503</v>
      </c>
    </row>
    <row r="465" spans="1:10" x14ac:dyDescent="0.25">
      <c r="A465" t="s">
        <v>5144</v>
      </c>
      <c r="B465" s="3">
        <v>46277</v>
      </c>
      <c r="C465" t="s">
        <v>394</v>
      </c>
      <c r="D465" t="s">
        <v>354</v>
      </c>
      <c r="E465">
        <v>15</v>
      </c>
      <c r="F465" t="s">
        <v>355</v>
      </c>
      <c r="G465" t="s">
        <v>4228</v>
      </c>
      <c r="H465" t="s">
        <v>5145</v>
      </c>
      <c r="I465" t="s">
        <v>42</v>
      </c>
      <c r="J465" t="s">
        <v>2513</v>
      </c>
    </row>
    <row r="466" spans="1:10" x14ac:dyDescent="0.25">
      <c r="A466" t="s">
        <v>5146</v>
      </c>
      <c r="B466" s="3">
        <v>46277</v>
      </c>
      <c r="C466" t="s">
        <v>311</v>
      </c>
      <c r="D466" t="s">
        <v>227</v>
      </c>
      <c r="E466">
        <v>29</v>
      </c>
      <c r="F466" t="s">
        <v>2</v>
      </c>
      <c r="G466" t="s">
        <v>4228</v>
      </c>
      <c r="H466" t="s">
        <v>5147</v>
      </c>
      <c r="I466" t="s">
        <v>312</v>
      </c>
      <c r="J466" t="s">
        <v>2513</v>
      </c>
    </row>
    <row r="467" spans="1:10" x14ac:dyDescent="0.25">
      <c r="A467" t="s">
        <v>5148</v>
      </c>
      <c r="B467" s="3">
        <v>46277</v>
      </c>
      <c r="C467" t="s">
        <v>577</v>
      </c>
      <c r="D467" t="s">
        <v>481</v>
      </c>
      <c r="E467">
        <v>41</v>
      </c>
      <c r="F467" t="s">
        <v>2</v>
      </c>
      <c r="G467" t="s">
        <v>4231</v>
      </c>
      <c r="H467" t="s">
        <v>5149</v>
      </c>
      <c r="I467" t="s">
        <v>102</v>
      </c>
      <c r="J467" t="s">
        <v>2509</v>
      </c>
    </row>
    <row r="468" spans="1:10" x14ac:dyDescent="0.25">
      <c r="A468" t="s">
        <v>5150</v>
      </c>
      <c r="B468" s="3">
        <v>46277</v>
      </c>
      <c r="C468" t="s">
        <v>120</v>
      </c>
      <c r="D468" t="s">
        <v>54</v>
      </c>
      <c r="E468">
        <v>29</v>
      </c>
      <c r="F468" t="s">
        <v>2</v>
      </c>
      <c r="G468" t="s">
        <v>4222</v>
      </c>
      <c r="H468" t="s">
        <v>5151</v>
      </c>
      <c r="I468" t="s">
        <v>121</v>
      </c>
      <c r="J468" t="s">
        <v>2513</v>
      </c>
    </row>
    <row r="469" spans="1:10" x14ac:dyDescent="0.25">
      <c r="A469" t="s">
        <v>5152</v>
      </c>
      <c r="B469" s="3">
        <v>46277</v>
      </c>
      <c r="C469" t="s">
        <v>146</v>
      </c>
      <c r="D469" t="s">
        <v>1</v>
      </c>
      <c r="E469">
        <v>10</v>
      </c>
      <c r="F469" t="s">
        <v>2</v>
      </c>
      <c r="G469" t="s">
        <v>4228</v>
      </c>
      <c r="H469" t="s">
        <v>5153</v>
      </c>
      <c r="I469" t="s">
        <v>147</v>
      </c>
      <c r="J469" t="s">
        <v>2509</v>
      </c>
    </row>
    <row r="470" spans="1:10" x14ac:dyDescent="0.25">
      <c r="A470" t="s">
        <v>5154</v>
      </c>
      <c r="B470" s="3">
        <v>46277</v>
      </c>
      <c r="C470" t="s">
        <v>264</v>
      </c>
      <c r="D470" t="s">
        <v>240</v>
      </c>
      <c r="E470">
        <v>25</v>
      </c>
      <c r="F470" t="s">
        <v>2</v>
      </c>
      <c r="G470" t="s">
        <v>4222</v>
      </c>
      <c r="H470" t="s">
        <v>5155</v>
      </c>
      <c r="I470" t="s">
        <v>265</v>
      </c>
      <c r="J470" t="s">
        <v>2500</v>
      </c>
    </row>
    <row r="471" spans="1:10" x14ac:dyDescent="0.25">
      <c r="A471" t="s">
        <v>5156</v>
      </c>
      <c r="B471" s="3">
        <v>46277</v>
      </c>
      <c r="C471" t="s">
        <v>458</v>
      </c>
      <c r="D471" t="s">
        <v>360</v>
      </c>
      <c r="E471">
        <v>29</v>
      </c>
      <c r="F471" t="s">
        <v>358</v>
      </c>
      <c r="G471" t="s">
        <v>4234</v>
      </c>
      <c r="H471" t="s">
        <v>5157</v>
      </c>
      <c r="I471" t="s">
        <v>42</v>
      </c>
      <c r="J471" t="s">
        <v>2513</v>
      </c>
    </row>
    <row r="472" spans="1:10" x14ac:dyDescent="0.25">
      <c r="A472" t="s">
        <v>5158</v>
      </c>
      <c r="B472" s="3">
        <v>46277</v>
      </c>
      <c r="C472" t="s">
        <v>683</v>
      </c>
      <c r="D472" t="s">
        <v>594</v>
      </c>
      <c r="E472">
        <v>13</v>
      </c>
      <c r="F472" t="s">
        <v>595</v>
      </c>
      <c r="G472" t="s">
        <v>4231</v>
      </c>
      <c r="H472" t="s">
        <v>5159</v>
      </c>
      <c r="I472" t="s">
        <v>75</v>
      </c>
      <c r="J472" t="s">
        <v>2513</v>
      </c>
    </row>
    <row r="473" spans="1:10" x14ac:dyDescent="0.25">
      <c r="A473" t="s">
        <v>5160</v>
      </c>
      <c r="B473" s="3">
        <v>46277</v>
      </c>
      <c r="C473" t="s">
        <v>379</v>
      </c>
      <c r="D473" t="s">
        <v>344</v>
      </c>
      <c r="E473">
        <v>10</v>
      </c>
      <c r="F473" t="s">
        <v>346</v>
      </c>
      <c r="G473" t="s">
        <v>4222</v>
      </c>
      <c r="H473" t="s">
        <v>5161</v>
      </c>
      <c r="I473" t="s">
        <v>106</v>
      </c>
      <c r="J473" t="s">
        <v>2500</v>
      </c>
    </row>
    <row r="474" spans="1:10" x14ac:dyDescent="0.25">
      <c r="A474" t="s">
        <v>5162</v>
      </c>
      <c r="B474" s="3">
        <v>46277</v>
      </c>
      <c r="C474" t="s">
        <v>313</v>
      </c>
      <c r="D474" t="s">
        <v>225</v>
      </c>
      <c r="E474">
        <v>16</v>
      </c>
      <c r="F474" t="s">
        <v>2</v>
      </c>
      <c r="G474" t="s">
        <v>4222</v>
      </c>
      <c r="H474" t="s">
        <v>5163</v>
      </c>
      <c r="I474" t="s">
        <v>314</v>
      </c>
      <c r="J474" t="s">
        <v>2503</v>
      </c>
    </row>
    <row r="475" spans="1:10" x14ac:dyDescent="0.25">
      <c r="A475" t="s">
        <v>5164</v>
      </c>
      <c r="B475" s="3">
        <v>46277</v>
      </c>
      <c r="C475" t="s">
        <v>127</v>
      </c>
      <c r="D475" t="s">
        <v>26</v>
      </c>
      <c r="E475">
        <v>17</v>
      </c>
      <c r="F475" t="s">
        <v>2</v>
      </c>
      <c r="G475" t="s">
        <v>4225</v>
      </c>
      <c r="H475" t="s">
        <v>5165</v>
      </c>
      <c r="I475" t="s">
        <v>100</v>
      </c>
      <c r="J475" t="s">
        <v>2513</v>
      </c>
    </row>
    <row r="476" spans="1:10" x14ac:dyDescent="0.25">
      <c r="A476" t="s">
        <v>5166</v>
      </c>
      <c r="B476" s="3">
        <v>46277</v>
      </c>
      <c r="C476" t="s">
        <v>188</v>
      </c>
      <c r="D476" t="s">
        <v>29</v>
      </c>
      <c r="E476">
        <v>42</v>
      </c>
      <c r="F476" t="s">
        <v>2</v>
      </c>
      <c r="G476" t="s">
        <v>4231</v>
      </c>
      <c r="H476" t="s">
        <v>5167</v>
      </c>
      <c r="I476" t="s">
        <v>189</v>
      </c>
      <c r="J476" t="s">
        <v>2500</v>
      </c>
    </row>
    <row r="477" spans="1:10" x14ac:dyDescent="0.25">
      <c r="A477" t="s">
        <v>5168</v>
      </c>
      <c r="B477" s="3">
        <v>46277</v>
      </c>
      <c r="C477" t="s">
        <v>664</v>
      </c>
      <c r="D477" t="s">
        <v>612</v>
      </c>
      <c r="E477">
        <v>23</v>
      </c>
      <c r="F477" t="s">
        <v>2</v>
      </c>
      <c r="G477" t="s">
        <v>4225</v>
      </c>
      <c r="H477" t="s">
        <v>5169</v>
      </c>
      <c r="I477" t="s">
        <v>265</v>
      </c>
      <c r="J477" t="s">
        <v>2500</v>
      </c>
    </row>
    <row r="478" spans="1:10" x14ac:dyDescent="0.25">
      <c r="A478" t="s">
        <v>5170</v>
      </c>
      <c r="B478" s="3">
        <v>46277</v>
      </c>
      <c r="C478" t="s">
        <v>665</v>
      </c>
      <c r="D478" t="s">
        <v>589</v>
      </c>
      <c r="E478">
        <v>16</v>
      </c>
      <c r="F478" t="s">
        <v>469</v>
      </c>
      <c r="G478" t="s">
        <v>4231</v>
      </c>
      <c r="H478" t="s">
        <v>5171</v>
      </c>
      <c r="I478" t="s">
        <v>274</v>
      </c>
      <c r="J478" t="s">
        <v>2509</v>
      </c>
    </row>
    <row r="479" spans="1:10" x14ac:dyDescent="0.25">
      <c r="A479" t="s">
        <v>5172</v>
      </c>
      <c r="B479" s="3">
        <v>46277</v>
      </c>
      <c r="C479" t="s">
        <v>385</v>
      </c>
      <c r="D479" t="s">
        <v>364</v>
      </c>
      <c r="E479">
        <v>17</v>
      </c>
      <c r="F479" t="s">
        <v>358</v>
      </c>
      <c r="G479" t="s">
        <v>4228</v>
      </c>
      <c r="H479" t="s">
        <v>5173</v>
      </c>
      <c r="I479" t="s">
        <v>133</v>
      </c>
      <c r="J479" t="s">
        <v>2509</v>
      </c>
    </row>
    <row r="480" spans="1:10" x14ac:dyDescent="0.25">
      <c r="A480" t="s">
        <v>5174</v>
      </c>
      <c r="B480" s="3">
        <v>46277</v>
      </c>
      <c r="C480" t="s">
        <v>236</v>
      </c>
      <c r="D480" t="s">
        <v>223</v>
      </c>
      <c r="E480">
        <v>41</v>
      </c>
      <c r="F480" t="s">
        <v>2</v>
      </c>
      <c r="G480" t="s">
        <v>4234</v>
      </c>
      <c r="H480" t="s">
        <v>5175</v>
      </c>
      <c r="I480" t="s">
        <v>34</v>
      </c>
      <c r="J480" t="s">
        <v>2509</v>
      </c>
    </row>
    <row r="481" spans="1:10" x14ac:dyDescent="0.25">
      <c r="A481" t="s">
        <v>5176</v>
      </c>
      <c r="B481" s="3">
        <v>46277</v>
      </c>
      <c r="C481" t="s">
        <v>653</v>
      </c>
      <c r="D481" t="s">
        <v>585</v>
      </c>
      <c r="E481">
        <v>30</v>
      </c>
      <c r="F481" t="s">
        <v>355</v>
      </c>
      <c r="G481" t="s">
        <v>4222</v>
      </c>
      <c r="H481" t="s">
        <v>5177</v>
      </c>
      <c r="I481" t="s">
        <v>250</v>
      </c>
      <c r="J481" t="s">
        <v>2500</v>
      </c>
    </row>
    <row r="482" spans="1:10" x14ac:dyDescent="0.25">
      <c r="A482" t="s">
        <v>5178</v>
      </c>
      <c r="B482" s="3">
        <v>46277</v>
      </c>
      <c r="C482" t="s">
        <v>499</v>
      </c>
      <c r="D482" t="s">
        <v>479</v>
      </c>
      <c r="E482">
        <v>43</v>
      </c>
      <c r="F482" t="s">
        <v>469</v>
      </c>
      <c r="G482" t="s">
        <v>4231</v>
      </c>
      <c r="H482" t="s">
        <v>5179</v>
      </c>
      <c r="I482" t="s">
        <v>173</v>
      </c>
      <c r="J482" t="s">
        <v>2513</v>
      </c>
    </row>
    <row r="483" spans="1:10" x14ac:dyDescent="0.25">
      <c r="A483" t="s">
        <v>5180</v>
      </c>
      <c r="B483" s="3">
        <v>46277</v>
      </c>
      <c r="C483" t="s">
        <v>285</v>
      </c>
      <c r="D483" t="s">
        <v>216</v>
      </c>
      <c r="E483">
        <v>15</v>
      </c>
      <c r="F483" t="s">
        <v>2</v>
      </c>
      <c r="G483" t="s">
        <v>4228</v>
      </c>
      <c r="H483" t="s">
        <v>5181</v>
      </c>
      <c r="I483" t="s">
        <v>42</v>
      </c>
      <c r="J483" t="s">
        <v>2513</v>
      </c>
    </row>
    <row r="484" spans="1:10" x14ac:dyDescent="0.25">
      <c r="A484" t="s">
        <v>5182</v>
      </c>
      <c r="B484" s="3">
        <v>46277</v>
      </c>
      <c r="C484" t="s">
        <v>689</v>
      </c>
      <c r="D484" t="s">
        <v>589</v>
      </c>
      <c r="E484">
        <v>21</v>
      </c>
      <c r="F484" t="s">
        <v>469</v>
      </c>
      <c r="G484" t="s">
        <v>4234</v>
      </c>
      <c r="H484" t="s">
        <v>5183</v>
      </c>
      <c r="I484" t="s">
        <v>45</v>
      </c>
      <c r="J484" t="s">
        <v>2503</v>
      </c>
    </row>
    <row r="485" spans="1:10" x14ac:dyDescent="0.25">
      <c r="A485" t="s">
        <v>5184</v>
      </c>
      <c r="B485" s="3">
        <v>46277</v>
      </c>
      <c r="C485" t="s">
        <v>454</v>
      </c>
      <c r="D485" t="s">
        <v>344</v>
      </c>
      <c r="E485">
        <v>23</v>
      </c>
      <c r="F485" t="s">
        <v>346</v>
      </c>
      <c r="G485" t="s">
        <v>4228</v>
      </c>
      <c r="H485" t="s">
        <v>5185</v>
      </c>
      <c r="I485" t="s">
        <v>455</v>
      </c>
      <c r="J485" t="s">
        <v>2500</v>
      </c>
    </row>
    <row r="486" spans="1:10" x14ac:dyDescent="0.25">
      <c r="A486" t="s">
        <v>5186</v>
      </c>
      <c r="B486" s="3">
        <v>46277</v>
      </c>
      <c r="C486" t="s">
        <v>138</v>
      </c>
      <c r="D486" t="s">
        <v>44</v>
      </c>
      <c r="E486">
        <v>54</v>
      </c>
      <c r="F486" t="s">
        <v>2</v>
      </c>
      <c r="G486" t="s">
        <v>4234</v>
      </c>
      <c r="H486" t="s">
        <v>5187</v>
      </c>
      <c r="I486" t="s">
        <v>98</v>
      </c>
      <c r="J486" t="s">
        <v>2513</v>
      </c>
    </row>
    <row r="487" spans="1:10" x14ac:dyDescent="0.25">
      <c r="A487" t="s">
        <v>5188</v>
      </c>
      <c r="B487" s="3">
        <v>46277</v>
      </c>
      <c r="C487" t="s">
        <v>530</v>
      </c>
      <c r="D487" t="s">
        <v>481</v>
      </c>
      <c r="E487">
        <v>5</v>
      </c>
      <c r="F487" t="s">
        <v>2</v>
      </c>
      <c r="G487" t="s">
        <v>4225</v>
      </c>
      <c r="H487" t="s">
        <v>5189</v>
      </c>
      <c r="I487" t="s">
        <v>124</v>
      </c>
      <c r="J487" t="s">
        <v>2513</v>
      </c>
    </row>
    <row r="488" spans="1:10" x14ac:dyDescent="0.25">
      <c r="A488" t="s">
        <v>5190</v>
      </c>
      <c r="B488" s="3">
        <v>46277</v>
      </c>
      <c r="C488" t="s">
        <v>217</v>
      </c>
      <c r="D488" t="s">
        <v>218</v>
      </c>
      <c r="E488">
        <v>8</v>
      </c>
      <c r="F488" t="s">
        <v>2</v>
      </c>
      <c r="G488" t="s">
        <v>4222</v>
      </c>
      <c r="H488" t="s">
        <v>5191</v>
      </c>
      <c r="I488" t="s">
        <v>219</v>
      </c>
      <c r="J488" t="s">
        <v>2500</v>
      </c>
    </row>
    <row r="489" spans="1:10" x14ac:dyDescent="0.25">
      <c r="A489" t="s">
        <v>5192</v>
      </c>
      <c r="B489" s="3">
        <v>46277</v>
      </c>
      <c r="C489" t="s">
        <v>609</v>
      </c>
      <c r="D489" t="s">
        <v>585</v>
      </c>
      <c r="E489">
        <v>35</v>
      </c>
      <c r="F489" t="s">
        <v>355</v>
      </c>
      <c r="G489" t="s">
        <v>4222</v>
      </c>
      <c r="H489" t="s">
        <v>5193</v>
      </c>
      <c r="I489" t="s">
        <v>206</v>
      </c>
      <c r="J489" t="s">
        <v>2503</v>
      </c>
    </row>
    <row r="490" spans="1:10" x14ac:dyDescent="0.25">
      <c r="A490" t="s">
        <v>5194</v>
      </c>
      <c r="B490" s="3">
        <v>46277</v>
      </c>
      <c r="C490" t="s">
        <v>550</v>
      </c>
      <c r="D490" t="s">
        <v>481</v>
      </c>
      <c r="E490">
        <v>10</v>
      </c>
      <c r="F490" t="s">
        <v>2</v>
      </c>
      <c r="G490" t="s">
        <v>4231</v>
      </c>
      <c r="H490" t="s">
        <v>5195</v>
      </c>
      <c r="I490" t="s">
        <v>59</v>
      </c>
      <c r="J490" t="s">
        <v>2513</v>
      </c>
    </row>
    <row r="491" spans="1:10" x14ac:dyDescent="0.25">
      <c r="A491" t="s">
        <v>5196</v>
      </c>
      <c r="B491" s="3">
        <v>46277</v>
      </c>
      <c r="C491" t="s">
        <v>386</v>
      </c>
      <c r="D491" t="s">
        <v>344</v>
      </c>
      <c r="E491">
        <v>33</v>
      </c>
      <c r="F491" t="s">
        <v>346</v>
      </c>
      <c r="G491" t="s">
        <v>4222</v>
      </c>
      <c r="H491" t="s">
        <v>5197</v>
      </c>
      <c r="I491" t="s">
        <v>93</v>
      </c>
      <c r="J491" t="s">
        <v>2513</v>
      </c>
    </row>
    <row r="492" spans="1:10" x14ac:dyDescent="0.25">
      <c r="A492" t="s">
        <v>5198</v>
      </c>
      <c r="B492" s="3">
        <v>46277</v>
      </c>
      <c r="C492" t="s">
        <v>522</v>
      </c>
      <c r="D492" t="s">
        <v>484</v>
      </c>
      <c r="E492">
        <v>26</v>
      </c>
      <c r="F492" t="s">
        <v>469</v>
      </c>
      <c r="G492" t="s">
        <v>4225</v>
      </c>
      <c r="H492" t="s">
        <v>5199</v>
      </c>
      <c r="I492" t="s">
        <v>124</v>
      </c>
      <c r="J492" t="s">
        <v>2509</v>
      </c>
    </row>
    <row r="493" spans="1:10" x14ac:dyDescent="0.25">
      <c r="A493" t="s">
        <v>5200</v>
      </c>
      <c r="B493" s="3">
        <v>46277</v>
      </c>
      <c r="C493" t="s">
        <v>661</v>
      </c>
      <c r="D493" t="s">
        <v>587</v>
      </c>
      <c r="E493">
        <v>1</v>
      </c>
      <c r="F493" t="s">
        <v>2</v>
      </c>
      <c r="G493" t="s">
        <v>4228</v>
      </c>
      <c r="H493" t="s">
        <v>5201</v>
      </c>
      <c r="I493" t="s">
        <v>87</v>
      </c>
      <c r="J493" t="s">
        <v>2503</v>
      </c>
    </row>
    <row r="494" spans="1:10" x14ac:dyDescent="0.25">
      <c r="A494" t="s">
        <v>5202</v>
      </c>
      <c r="B494" s="3">
        <v>46277</v>
      </c>
      <c r="C494" t="s">
        <v>291</v>
      </c>
      <c r="D494" t="s">
        <v>240</v>
      </c>
      <c r="E494">
        <v>21</v>
      </c>
      <c r="F494" t="s">
        <v>2</v>
      </c>
      <c r="G494" t="s">
        <v>4225</v>
      </c>
      <c r="H494" t="s">
        <v>5203</v>
      </c>
      <c r="I494" t="s">
        <v>292</v>
      </c>
      <c r="J494" t="s">
        <v>2500</v>
      </c>
    </row>
    <row r="495" spans="1:10" x14ac:dyDescent="0.25">
      <c r="A495" t="s">
        <v>5204</v>
      </c>
      <c r="B495" s="3">
        <v>46277</v>
      </c>
      <c r="C495" t="s">
        <v>501</v>
      </c>
      <c r="D495" t="s">
        <v>502</v>
      </c>
      <c r="E495">
        <v>22</v>
      </c>
      <c r="F495" t="s">
        <v>469</v>
      </c>
      <c r="G495" t="s">
        <v>4231</v>
      </c>
      <c r="H495" t="s">
        <v>5205</v>
      </c>
      <c r="I495" t="s">
        <v>292</v>
      </c>
      <c r="J495" t="s">
        <v>2503</v>
      </c>
    </row>
    <row r="496" spans="1:10" x14ac:dyDescent="0.25">
      <c r="A496" t="s">
        <v>5206</v>
      </c>
      <c r="B496" s="3">
        <v>46277</v>
      </c>
      <c r="C496" t="s">
        <v>238</v>
      </c>
      <c r="D496" t="s">
        <v>216</v>
      </c>
      <c r="E496">
        <v>1</v>
      </c>
      <c r="F496" t="s">
        <v>2</v>
      </c>
      <c r="G496" t="s">
        <v>4222</v>
      </c>
      <c r="H496" t="s">
        <v>5207</v>
      </c>
      <c r="I496" t="s">
        <v>126</v>
      </c>
      <c r="J496" t="s">
        <v>2509</v>
      </c>
    </row>
    <row r="497" spans="1:10" x14ac:dyDescent="0.25">
      <c r="A497" t="s">
        <v>5208</v>
      </c>
      <c r="B497" s="3">
        <v>46277</v>
      </c>
      <c r="C497" t="s">
        <v>370</v>
      </c>
      <c r="D497" t="s">
        <v>344</v>
      </c>
      <c r="E497">
        <v>10</v>
      </c>
      <c r="F497" t="s">
        <v>346</v>
      </c>
      <c r="G497" t="s">
        <v>4225</v>
      </c>
      <c r="H497" t="s">
        <v>5209</v>
      </c>
      <c r="I497" t="s">
        <v>24</v>
      </c>
      <c r="J497" t="s">
        <v>2500</v>
      </c>
    </row>
    <row r="498" spans="1:10" x14ac:dyDescent="0.25">
      <c r="A498" t="s">
        <v>5210</v>
      </c>
      <c r="B498" s="3">
        <v>46277</v>
      </c>
      <c r="C498" t="s">
        <v>653</v>
      </c>
      <c r="D498" t="s">
        <v>585</v>
      </c>
      <c r="E498">
        <v>52</v>
      </c>
      <c r="F498" t="s">
        <v>355</v>
      </c>
      <c r="G498" t="s">
        <v>4231</v>
      </c>
      <c r="H498" t="s">
        <v>5211</v>
      </c>
      <c r="I498" t="s">
        <v>250</v>
      </c>
      <c r="J498" t="s">
        <v>2503</v>
      </c>
    </row>
    <row r="499" spans="1:10" x14ac:dyDescent="0.25">
      <c r="A499" t="s">
        <v>5212</v>
      </c>
      <c r="B499" s="3">
        <v>46277</v>
      </c>
      <c r="C499" t="s">
        <v>214</v>
      </c>
      <c r="D499" t="s">
        <v>210</v>
      </c>
      <c r="E499">
        <v>20</v>
      </c>
      <c r="F499" t="s">
        <v>2</v>
      </c>
      <c r="G499" t="s">
        <v>4228</v>
      </c>
      <c r="H499" t="s">
        <v>5213</v>
      </c>
      <c r="I499" t="s">
        <v>100</v>
      </c>
      <c r="J499" t="s">
        <v>2513</v>
      </c>
    </row>
    <row r="500" spans="1:10" x14ac:dyDescent="0.25">
      <c r="A500" t="s">
        <v>5214</v>
      </c>
      <c r="B500" s="3">
        <v>46277</v>
      </c>
      <c r="C500" t="s">
        <v>318</v>
      </c>
      <c r="D500" t="s">
        <v>240</v>
      </c>
      <c r="E500">
        <v>30</v>
      </c>
      <c r="F500" t="s">
        <v>2</v>
      </c>
      <c r="G500" t="s">
        <v>4231</v>
      </c>
      <c r="H500" t="s">
        <v>5215</v>
      </c>
      <c r="I500" t="s">
        <v>24</v>
      </c>
      <c r="J500" t="s">
        <v>2509</v>
      </c>
    </row>
    <row r="501" spans="1:10" x14ac:dyDescent="0.25">
      <c r="A501" t="s">
        <v>5216</v>
      </c>
      <c r="B501" s="3">
        <v>46277</v>
      </c>
      <c r="C501" t="s">
        <v>514</v>
      </c>
      <c r="D501" t="s">
        <v>467</v>
      </c>
      <c r="E501">
        <v>28</v>
      </c>
      <c r="F501" t="s">
        <v>469</v>
      </c>
      <c r="G501" t="s">
        <v>4234</v>
      </c>
      <c r="H501" t="s">
        <v>5217</v>
      </c>
      <c r="I501" t="s">
        <v>310</v>
      </c>
      <c r="J501" t="s">
        <v>2503</v>
      </c>
    </row>
    <row r="502" spans="1:10" x14ac:dyDescent="0.25">
      <c r="A502" t="s">
        <v>5218</v>
      </c>
      <c r="B502" s="3">
        <v>46277</v>
      </c>
      <c r="C502" t="s">
        <v>191</v>
      </c>
      <c r="D502" t="s">
        <v>163</v>
      </c>
      <c r="E502">
        <v>10</v>
      </c>
      <c r="F502" t="s">
        <v>2</v>
      </c>
      <c r="G502" t="s">
        <v>4225</v>
      </c>
      <c r="H502" t="s">
        <v>5219</v>
      </c>
      <c r="I502" t="s">
        <v>95</v>
      </c>
      <c r="J502" t="s">
        <v>2503</v>
      </c>
    </row>
    <row r="503" spans="1:10" x14ac:dyDescent="0.25">
      <c r="A503" t="s">
        <v>5220</v>
      </c>
      <c r="B503" s="3">
        <v>46277</v>
      </c>
      <c r="C503" t="s">
        <v>179</v>
      </c>
      <c r="D503" t="s">
        <v>47</v>
      </c>
      <c r="E503">
        <v>26</v>
      </c>
      <c r="F503" t="s">
        <v>2</v>
      </c>
      <c r="G503" t="s">
        <v>4228</v>
      </c>
      <c r="H503" t="s">
        <v>5221</v>
      </c>
      <c r="I503" t="s">
        <v>50</v>
      </c>
      <c r="J503" t="s">
        <v>2503</v>
      </c>
    </row>
    <row r="504" spans="1:10" x14ac:dyDescent="0.25">
      <c r="A504" t="s">
        <v>5222</v>
      </c>
      <c r="B504" s="3">
        <v>46277</v>
      </c>
      <c r="C504" t="s">
        <v>374</v>
      </c>
      <c r="D504" t="s">
        <v>366</v>
      </c>
      <c r="E504">
        <v>16</v>
      </c>
      <c r="F504" t="s">
        <v>2</v>
      </c>
      <c r="G504" t="s">
        <v>4228</v>
      </c>
      <c r="H504" t="s">
        <v>5223</v>
      </c>
      <c r="I504" t="s">
        <v>161</v>
      </c>
      <c r="J504" t="s">
        <v>2500</v>
      </c>
    </row>
    <row r="505" spans="1:10" x14ac:dyDescent="0.25">
      <c r="A505" t="s">
        <v>5224</v>
      </c>
      <c r="B505" s="3">
        <v>46277</v>
      </c>
      <c r="C505" t="s">
        <v>205</v>
      </c>
      <c r="D505" t="s">
        <v>54</v>
      </c>
      <c r="E505">
        <v>53</v>
      </c>
      <c r="F505" t="s">
        <v>2</v>
      </c>
      <c r="G505" t="s">
        <v>4234</v>
      </c>
      <c r="H505" t="s">
        <v>5225</v>
      </c>
      <c r="I505" t="s">
        <v>206</v>
      </c>
      <c r="J505" t="s">
        <v>2500</v>
      </c>
    </row>
    <row r="506" spans="1:10" x14ac:dyDescent="0.25">
      <c r="A506" t="s">
        <v>5226</v>
      </c>
      <c r="B506" s="3">
        <v>46277</v>
      </c>
      <c r="C506" t="s">
        <v>116</v>
      </c>
      <c r="D506" t="s">
        <v>54</v>
      </c>
      <c r="E506">
        <v>15</v>
      </c>
      <c r="F506" t="s">
        <v>2</v>
      </c>
      <c r="G506" t="s">
        <v>4231</v>
      </c>
      <c r="H506" t="s">
        <v>5227</v>
      </c>
      <c r="I506" t="s">
        <v>117</v>
      </c>
      <c r="J506" t="s">
        <v>2509</v>
      </c>
    </row>
    <row r="507" spans="1:10" x14ac:dyDescent="0.25">
      <c r="A507" t="s">
        <v>5228</v>
      </c>
      <c r="B507" s="3">
        <v>46277</v>
      </c>
      <c r="C507" t="s">
        <v>660</v>
      </c>
      <c r="D507" t="s">
        <v>629</v>
      </c>
      <c r="E507">
        <v>3</v>
      </c>
      <c r="F507" t="s">
        <v>355</v>
      </c>
      <c r="G507" t="s">
        <v>4222</v>
      </c>
      <c r="H507" t="s">
        <v>5229</v>
      </c>
      <c r="I507" t="s">
        <v>312</v>
      </c>
      <c r="J507" t="s">
        <v>2509</v>
      </c>
    </row>
    <row r="508" spans="1:10" x14ac:dyDescent="0.25">
      <c r="A508" t="s">
        <v>5230</v>
      </c>
      <c r="B508" s="3">
        <v>46277</v>
      </c>
      <c r="C508" t="s">
        <v>659</v>
      </c>
      <c r="D508" t="s">
        <v>629</v>
      </c>
      <c r="E508">
        <v>14</v>
      </c>
      <c r="F508" t="s">
        <v>355</v>
      </c>
      <c r="G508" t="s">
        <v>4222</v>
      </c>
      <c r="H508" t="s">
        <v>5231</v>
      </c>
      <c r="I508" t="s">
        <v>67</v>
      </c>
      <c r="J508" t="s">
        <v>2500</v>
      </c>
    </row>
    <row r="509" spans="1:10" x14ac:dyDescent="0.25">
      <c r="A509" t="s">
        <v>5232</v>
      </c>
      <c r="B509" s="3">
        <v>46277</v>
      </c>
      <c r="C509" t="s">
        <v>58</v>
      </c>
      <c r="D509" t="s">
        <v>21</v>
      </c>
      <c r="E509">
        <v>48</v>
      </c>
      <c r="F509" t="s">
        <v>2</v>
      </c>
      <c r="G509" t="s">
        <v>4228</v>
      </c>
      <c r="H509" t="s">
        <v>5233</v>
      </c>
      <c r="I509" t="s">
        <v>59</v>
      </c>
      <c r="J509" t="s">
        <v>2509</v>
      </c>
    </row>
    <row r="510" spans="1:10" x14ac:dyDescent="0.25">
      <c r="A510" t="s">
        <v>5234</v>
      </c>
      <c r="B510" s="3">
        <v>46277</v>
      </c>
      <c r="C510" t="s">
        <v>435</v>
      </c>
      <c r="D510" t="s">
        <v>357</v>
      </c>
      <c r="E510">
        <v>44</v>
      </c>
      <c r="F510" t="s">
        <v>358</v>
      </c>
      <c r="G510" t="s">
        <v>4225</v>
      </c>
      <c r="H510" t="s">
        <v>5235</v>
      </c>
      <c r="I510" t="s">
        <v>183</v>
      </c>
      <c r="J510" t="s">
        <v>2500</v>
      </c>
    </row>
    <row r="511" spans="1:10" x14ac:dyDescent="0.25">
      <c r="A511" t="s">
        <v>5236</v>
      </c>
      <c r="B511" s="3">
        <v>46277</v>
      </c>
      <c r="C511" t="s">
        <v>241</v>
      </c>
      <c r="D511" t="s">
        <v>223</v>
      </c>
      <c r="E511">
        <v>49</v>
      </c>
      <c r="F511" t="s">
        <v>2</v>
      </c>
      <c r="G511" t="s">
        <v>4228</v>
      </c>
      <c r="H511" t="s">
        <v>5237</v>
      </c>
      <c r="I511" t="s">
        <v>242</v>
      </c>
      <c r="J511" t="s">
        <v>2513</v>
      </c>
    </row>
    <row r="512" spans="1:10" x14ac:dyDescent="0.25">
      <c r="A512" t="s">
        <v>5238</v>
      </c>
      <c r="B512" s="3">
        <v>46277</v>
      </c>
      <c r="C512" t="s">
        <v>555</v>
      </c>
      <c r="D512" t="s">
        <v>502</v>
      </c>
      <c r="E512">
        <v>13</v>
      </c>
      <c r="F512" t="s">
        <v>469</v>
      </c>
      <c r="G512" t="s">
        <v>4234</v>
      </c>
      <c r="H512" t="s">
        <v>5239</v>
      </c>
      <c r="I512" t="s">
        <v>124</v>
      </c>
      <c r="J512" t="s">
        <v>2513</v>
      </c>
    </row>
    <row r="513" spans="1:10" x14ac:dyDescent="0.25">
      <c r="A513" t="s">
        <v>5240</v>
      </c>
      <c r="B513" s="3">
        <v>46277</v>
      </c>
      <c r="C513" t="s">
        <v>198</v>
      </c>
      <c r="D513" t="s">
        <v>1</v>
      </c>
      <c r="E513">
        <v>24</v>
      </c>
      <c r="F513" t="s">
        <v>2</v>
      </c>
      <c r="G513" t="s">
        <v>4222</v>
      </c>
      <c r="H513" t="s">
        <v>5241</v>
      </c>
      <c r="I513" t="s">
        <v>140</v>
      </c>
      <c r="J513" t="s">
        <v>2503</v>
      </c>
    </row>
    <row r="514" spans="1:10" x14ac:dyDescent="0.25">
      <c r="A514" t="s">
        <v>5242</v>
      </c>
      <c r="B514" s="3">
        <v>46277</v>
      </c>
      <c r="C514" t="s">
        <v>323</v>
      </c>
      <c r="D514" t="s">
        <v>240</v>
      </c>
      <c r="E514">
        <v>4</v>
      </c>
      <c r="F514" t="s">
        <v>2</v>
      </c>
      <c r="G514" t="s">
        <v>4225</v>
      </c>
      <c r="H514" t="s">
        <v>5243</v>
      </c>
      <c r="I514" t="s">
        <v>324</v>
      </c>
      <c r="J514" t="s">
        <v>2513</v>
      </c>
    </row>
    <row r="515" spans="1:10" x14ac:dyDescent="0.25">
      <c r="A515" t="s">
        <v>5244</v>
      </c>
      <c r="B515" s="3">
        <v>46277</v>
      </c>
      <c r="C515" t="s">
        <v>649</v>
      </c>
      <c r="D515" t="s">
        <v>597</v>
      </c>
      <c r="E515">
        <v>17</v>
      </c>
      <c r="F515" t="s">
        <v>355</v>
      </c>
      <c r="G515" t="s">
        <v>4228</v>
      </c>
      <c r="H515" t="s">
        <v>5245</v>
      </c>
      <c r="I515" t="s">
        <v>361</v>
      </c>
      <c r="J515" t="s">
        <v>2509</v>
      </c>
    </row>
    <row r="516" spans="1:10" x14ac:dyDescent="0.25">
      <c r="A516" t="s">
        <v>5246</v>
      </c>
      <c r="B516" s="3">
        <v>46277</v>
      </c>
      <c r="C516" t="s">
        <v>302</v>
      </c>
      <c r="D516" t="s">
        <v>261</v>
      </c>
      <c r="E516">
        <v>12</v>
      </c>
      <c r="F516" t="s">
        <v>2</v>
      </c>
      <c r="G516" t="s">
        <v>4234</v>
      </c>
      <c r="H516" t="s">
        <v>5247</v>
      </c>
      <c r="I516" t="s">
        <v>133</v>
      </c>
      <c r="J516" t="s">
        <v>2509</v>
      </c>
    </row>
    <row r="517" spans="1:10" x14ac:dyDescent="0.25">
      <c r="A517" t="s">
        <v>5248</v>
      </c>
      <c r="B517" s="3">
        <v>46278</v>
      </c>
      <c r="C517" t="s">
        <v>401</v>
      </c>
      <c r="D517" t="s">
        <v>382</v>
      </c>
      <c r="E517">
        <v>3</v>
      </c>
      <c r="F517" t="s">
        <v>383</v>
      </c>
      <c r="G517" t="s">
        <v>4231</v>
      </c>
      <c r="H517" t="s">
        <v>5249</v>
      </c>
      <c r="I517" t="s">
        <v>19</v>
      </c>
      <c r="J517" t="s">
        <v>2503</v>
      </c>
    </row>
    <row r="518" spans="1:10" x14ac:dyDescent="0.25">
      <c r="A518" t="s">
        <v>5250</v>
      </c>
      <c r="B518" s="3">
        <v>46278</v>
      </c>
      <c r="C518" t="s">
        <v>676</v>
      </c>
      <c r="D518" t="s">
        <v>612</v>
      </c>
      <c r="E518">
        <v>4</v>
      </c>
      <c r="F518" t="s">
        <v>2</v>
      </c>
      <c r="G518" t="s">
        <v>4231</v>
      </c>
      <c r="H518" t="s">
        <v>5251</v>
      </c>
      <c r="I518" t="s">
        <v>677</v>
      </c>
      <c r="J518" t="s">
        <v>2503</v>
      </c>
    </row>
    <row r="519" spans="1:10" x14ac:dyDescent="0.25">
      <c r="A519" t="s">
        <v>5252</v>
      </c>
      <c r="B519" s="3">
        <v>46278</v>
      </c>
      <c r="C519" t="s">
        <v>150</v>
      </c>
      <c r="D519" t="s">
        <v>47</v>
      </c>
      <c r="E519">
        <v>14</v>
      </c>
      <c r="F519" t="s">
        <v>2</v>
      </c>
      <c r="G519" t="s">
        <v>4225</v>
      </c>
      <c r="H519" t="s">
        <v>5253</v>
      </c>
      <c r="I519" t="s">
        <v>71</v>
      </c>
      <c r="J519" t="s">
        <v>2503</v>
      </c>
    </row>
    <row r="520" spans="1:10" x14ac:dyDescent="0.25">
      <c r="A520" t="s">
        <v>5254</v>
      </c>
      <c r="B520" s="3">
        <v>46278</v>
      </c>
      <c r="C520" t="s">
        <v>114</v>
      </c>
      <c r="D520" t="s">
        <v>21</v>
      </c>
      <c r="E520">
        <v>12</v>
      </c>
      <c r="F520" t="s">
        <v>2</v>
      </c>
      <c r="G520" t="s">
        <v>4222</v>
      </c>
      <c r="H520" t="s">
        <v>5255</v>
      </c>
      <c r="I520" t="s">
        <v>42</v>
      </c>
      <c r="J520" t="s">
        <v>2500</v>
      </c>
    </row>
    <row r="521" spans="1:10" x14ac:dyDescent="0.25">
      <c r="A521" t="s">
        <v>5256</v>
      </c>
      <c r="B521" s="3">
        <v>46278</v>
      </c>
      <c r="C521" t="s">
        <v>270</v>
      </c>
      <c r="D521" t="s">
        <v>213</v>
      </c>
      <c r="E521">
        <v>28</v>
      </c>
      <c r="F521" t="s">
        <v>2</v>
      </c>
      <c r="G521" t="s">
        <v>4228</v>
      </c>
      <c r="H521" t="s">
        <v>4997</v>
      </c>
      <c r="I521" t="s">
        <v>64</v>
      </c>
      <c r="J521" t="s">
        <v>2503</v>
      </c>
    </row>
    <row r="522" spans="1:10" x14ac:dyDescent="0.25">
      <c r="A522" t="s">
        <v>5257</v>
      </c>
      <c r="B522" s="3">
        <v>46278</v>
      </c>
      <c r="C522" t="s">
        <v>68</v>
      </c>
      <c r="D522" t="s">
        <v>29</v>
      </c>
      <c r="E522">
        <v>54</v>
      </c>
      <c r="F522" t="s">
        <v>2</v>
      </c>
      <c r="G522" t="s">
        <v>4231</v>
      </c>
      <c r="H522" t="s">
        <v>5258</v>
      </c>
      <c r="I522" t="s">
        <v>69</v>
      </c>
      <c r="J522" t="s">
        <v>2509</v>
      </c>
    </row>
    <row r="523" spans="1:10" x14ac:dyDescent="0.25">
      <c r="A523" t="s">
        <v>5259</v>
      </c>
      <c r="B523" s="3">
        <v>46278</v>
      </c>
      <c r="C523" t="s">
        <v>107</v>
      </c>
      <c r="D523" t="s">
        <v>29</v>
      </c>
      <c r="E523">
        <v>52</v>
      </c>
      <c r="F523" t="s">
        <v>2</v>
      </c>
      <c r="G523" t="s">
        <v>4228</v>
      </c>
      <c r="H523" t="s">
        <v>5260</v>
      </c>
      <c r="I523" t="s">
        <v>108</v>
      </c>
      <c r="J523" t="s">
        <v>2509</v>
      </c>
    </row>
    <row r="524" spans="1:10" x14ac:dyDescent="0.25">
      <c r="A524" t="s">
        <v>5261</v>
      </c>
      <c r="B524" s="3">
        <v>46278</v>
      </c>
      <c r="C524" t="s">
        <v>559</v>
      </c>
      <c r="D524" t="s">
        <v>502</v>
      </c>
      <c r="E524">
        <v>24</v>
      </c>
      <c r="F524" t="s">
        <v>469</v>
      </c>
      <c r="G524" t="s">
        <v>4222</v>
      </c>
      <c r="H524" t="s">
        <v>5262</v>
      </c>
      <c r="I524" t="s">
        <v>324</v>
      </c>
      <c r="J524" t="s">
        <v>2500</v>
      </c>
    </row>
    <row r="525" spans="1:10" x14ac:dyDescent="0.25">
      <c r="A525" t="s">
        <v>5263</v>
      </c>
      <c r="B525" s="3">
        <v>46278</v>
      </c>
      <c r="C525" t="s">
        <v>271</v>
      </c>
      <c r="D525" t="s">
        <v>225</v>
      </c>
      <c r="E525">
        <v>53</v>
      </c>
      <c r="F525" t="s">
        <v>2</v>
      </c>
      <c r="G525" t="s">
        <v>4225</v>
      </c>
      <c r="H525" t="s">
        <v>5264</v>
      </c>
      <c r="I525" t="s">
        <v>147</v>
      </c>
      <c r="J525" t="s">
        <v>2500</v>
      </c>
    </row>
    <row r="526" spans="1:10" x14ac:dyDescent="0.25">
      <c r="A526" t="s">
        <v>5265</v>
      </c>
      <c r="B526" s="3">
        <v>46278</v>
      </c>
      <c r="C526" t="s">
        <v>537</v>
      </c>
      <c r="D526" t="s">
        <v>479</v>
      </c>
      <c r="E526">
        <v>9</v>
      </c>
      <c r="F526" t="s">
        <v>469</v>
      </c>
      <c r="G526" t="s">
        <v>4228</v>
      </c>
      <c r="H526" t="s">
        <v>5266</v>
      </c>
      <c r="I526" t="s">
        <v>173</v>
      </c>
      <c r="J526" t="s">
        <v>2513</v>
      </c>
    </row>
    <row r="527" spans="1:10" x14ac:dyDescent="0.25">
      <c r="A527" t="s">
        <v>5267</v>
      </c>
      <c r="B527" s="3">
        <v>46278</v>
      </c>
      <c r="C527" t="s">
        <v>416</v>
      </c>
      <c r="D527" t="s">
        <v>344</v>
      </c>
      <c r="E527">
        <v>42</v>
      </c>
      <c r="F527" t="s">
        <v>346</v>
      </c>
      <c r="G527" t="s">
        <v>4234</v>
      </c>
      <c r="H527" t="s">
        <v>5268</v>
      </c>
      <c r="I527" t="s">
        <v>102</v>
      </c>
      <c r="J527" t="s">
        <v>2509</v>
      </c>
    </row>
    <row r="528" spans="1:10" x14ac:dyDescent="0.25">
      <c r="A528" t="s">
        <v>5269</v>
      </c>
      <c r="B528" s="3">
        <v>46278</v>
      </c>
      <c r="C528" t="s">
        <v>419</v>
      </c>
      <c r="D528" t="s">
        <v>354</v>
      </c>
      <c r="E528">
        <v>5</v>
      </c>
      <c r="F528" t="s">
        <v>355</v>
      </c>
      <c r="G528" t="s">
        <v>4222</v>
      </c>
      <c r="H528" t="s">
        <v>5270</v>
      </c>
      <c r="I528" t="s">
        <v>147</v>
      </c>
      <c r="J528" t="s">
        <v>2503</v>
      </c>
    </row>
    <row r="529" spans="1:10" x14ac:dyDescent="0.25">
      <c r="A529" t="s">
        <v>5271</v>
      </c>
      <c r="B529" s="3">
        <v>46278</v>
      </c>
      <c r="C529" t="s">
        <v>613</v>
      </c>
      <c r="D529" t="s">
        <v>597</v>
      </c>
      <c r="E529">
        <v>6</v>
      </c>
      <c r="F529" t="s">
        <v>355</v>
      </c>
      <c r="G529" t="s">
        <v>4231</v>
      </c>
      <c r="H529" t="s">
        <v>5272</v>
      </c>
      <c r="I529" t="s">
        <v>221</v>
      </c>
      <c r="J529" t="s">
        <v>2513</v>
      </c>
    </row>
    <row r="530" spans="1:10" x14ac:dyDescent="0.25">
      <c r="A530" t="s">
        <v>5273</v>
      </c>
      <c r="B530" s="3">
        <v>46278</v>
      </c>
      <c r="C530" t="s">
        <v>90</v>
      </c>
      <c r="D530" t="s">
        <v>15</v>
      </c>
      <c r="E530">
        <v>34</v>
      </c>
      <c r="F530" t="s">
        <v>2</v>
      </c>
      <c r="G530" t="s">
        <v>4228</v>
      </c>
      <c r="H530" t="s">
        <v>5274</v>
      </c>
      <c r="I530" t="s">
        <v>73</v>
      </c>
      <c r="J530" t="s">
        <v>2503</v>
      </c>
    </row>
    <row r="531" spans="1:10" x14ac:dyDescent="0.25">
      <c r="A531" t="s">
        <v>5275</v>
      </c>
      <c r="B531" s="3">
        <v>46278</v>
      </c>
      <c r="C531" t="s">
        <v>389</v>
      </c>
      <c r="D531" t="s">
        <v>364</v>
      </c>
      <c r="E531">
        <v>38</v>
      </c>
      <c r="F531" t="s">
        <v>358</v>
      </c>
      <c r="G531" t="s">
        <v>4231</v>
      </c>
      <c r="H531" t="s">
        <v>5276</v>
      </c>
      <c r="I531" t="s">
        <v>77</v>
      </c>
      <c r="J531" t="s">
        <v>2503</v>
      </c>
    </row>
    <row r="532" spans="1:10" x14ac:dyDescent="0.25">
      <c r="A532" t="s">
        <v>5277</v>
      </c>
      <c r="B532" s="3">
        <v>46278</v>
      </c>
      <c r="C532" t="s">
        <v>619</v>
      </c>
      <c r="D532" t="s">
        <v>594</v>
      </c>
      <c r="E532">
        <v>49</v>
      </c>
      <c r="F532" t="s">
        <v>595</v>
      </c>
      <c r="G532" t="s">
        <v>4231</v>
      </c>
      <c r="H532" t="s">
        <v>5278</v>
      </c>
      <c r="I532" t="s">
        <v>206</v>
      </c>
      <c r="J532" t="s">
        <v>2503</v>
      </c>
    </row>
    <row r="533" spans="1:10" x14ac:dyDescent="0.25">
      <c r="A533" t="s">
        <v>5279</v>
      </c>
      <c r="B533" s="3">
        <v>46278</v>
      </c>
      <c r="C533" t="s">
        <v>343</v>
      </c>
      <c r="D533" t="s">
        <v>344</v>
      </c>
      <c r="E533">
        <v>23</v>
      </c>
      <c r="F533" t="s">
        <v>346</v>
      </c>
      <c r="G533" t="s">
        <v>4222</v>
      </c>
      <c r="H533" t="s">
        <v>5280</v>
      </c>
      <c r="I533" t="s">
        <v>147</v>
      </c>
      <c r="J533" t="s">
        <v>2500</v>
      </c>
    </row>
    <row r="534" spans="1:10" x14ac:dyDescent="0.25">
      <c r="A534" t="s">
        <v>5281</v>
      </c>
      <c r="B534" s="3">
        <v>46278</v>
      </c>
      <c r="C534" t="s">
        <v>233</v>
      </c>
      <c r="D534" t="s">
        <v>234</v>
      </c>
      <c r="E534">
        <v>8</v>
      </c>
      <c r="F534" t="s">
        <v>2</v>
      </c>
      <c r="G534" t="s">
        <v>4231</v>
      </c>
      <c r="H534" t="s">
        <v>5282</v>
      </c>
      <c r="I534" t="s">
        <v>87</v>
      </c>
      <c r="J534" t="s">
        <v>2509</v>
      </c>
    </row>
    <row r="535" spans="1:10" x14ac:dyDescent="0.25">
      <c r="A535" t="s">
        <v>5283</v>
      </c>
      <c r="B535" s="3">
        <v>46278</v>
      </c>
      <c r="C535" t="s">
        <v>532</v>
      </c>
      <c r="D535" t="s">
        <v>488</v>
      </c>
      <c r="E535">
        <v>31</v>
      </c>
      <c r="F535" t="s">
        <v>469</v>
      </c>
      <c r="G535" t="s">
        <v>4222</v>
      </c>
      <c r="H535" t="s">
        <v>5284</v>
      </c>
      <c r="I535" t="s">
        <v>106</v>
      </c>
      <c r="J535" t="s">
        <v>2503</v>
      </c>
    </row>
    <row r="536" spans="1:10" x14ac:dyDescent="0.25">
      <c r="A536" t="s">
        <v>5285</v>
      </c>
      <c r="B536" s="3">
        <v>46278</v>
      </c>
      <c r="C536" t="s">
        <v>97</v>
      </c>
      <c r="D536" t="s">
        <v>1</v>
      </c>
      <c r="E536">
        <v>11</v>
      </c>
      <c r="F536" t="s">
        <v>2</v>
      </c>
      <c r="G536" t="s">
        <v>4222</v>
      </c>
      <c r="H536" t="s">
        <v>5286</v>
      </c>
      <c r="I536" t="s">
        <v>98</v>
      </c>
      <c r="J536" t="s">
        <v>2500</v>
      </c>
    </row>
    <row r="537" spans="1:10" x14ac:dyDescent="0.25">
      <c r="A537" t="s">
        <v>5287</v>
      </c>
      <c r="B537" s="3">
        <v>46278</v>
      </c>
      <c r="C537" t="s">
        <v>472</v>
      </c>
      <c r="D537" t="s">
        <v>467</v>
      </c>
      <c r="E537">
        <v>16</v>
      </c>
      <c r="F537" t="s">
        <v>469</v>
      </c>
      <c r="G537" t="s">
        <v>4228</v>
      </c>
      <c r="H537" t="s">
        <v>5288</v>
      </c>
      <c r="I537" t="s">
        <v>119</v>
      </c>
      <c r="J537" t="s">
        <v>2513</v>
      </c>
    </row>
    <row r="538" spans="1:10" x14ac:dyDescent="0.25">
      <c r="A538" t="s">
        <v>5289</v>
      </c>
      <c r="B538" s="3">
        <v>46278</v>
      </c>
      <c r="C538" t="s">
        <v>472</v>
      </c>
      <c r="D538" t="s">
        <v>467</v>
      </c>
      <c r="E538">
        <v>48</v>
      </c>
      <c r="F538" t="s">
        <v>469</v>
      </c>
      <c r="G538" t="s">
        <v>4228</v>
      </c>
      <c r="H538" t="s">
        <v>5290</v>
      </c>
      <c r="I538" t="s">
        <v>119</v>
      </c>
      <c r="J538" t="s">
        <v>2513</v>
      </c>
    </row>
    <row r="539" spans="1:10" x14ac:dyDescent="0.25">
      <c r="A539" t="s">
        <v>5291</v>
      </c>
      <c r="B539" s="3">
        <v>46278</v>
      </c>
      <c r="C539" t="s">
        <v>456</v>
      </c>
      <c r="D539" t="s">
        <v>351</v>
      </c>
      <c r="E539">
        <v>47</v>
      </c>
      <c r="F539" t="s">
        <v>2</v>
      </c>
      <c r="G539" t="s">
        <v>4231</v>
      </c>
      <c r="H539" t="s">
        <v>5292</v>
      </c>
      <c r="I539" t="s">
        <v>119</v>
      </c>
      <c r="J539" t="s">
        <v>2509</v>
      </c>
    </row>
    <row r="540" spans="1:10" x14ac:dyDescent="0.25">
      <c r="A540" t="s">
        <v>5293</v>
      </c>
      <c r="B540" s="3">
        <v>46278</v>
      </c>
      <c r="C540" t="s">
        <v>678</v>
      </c>
      <c r="D540" t="s">
        <v>612</v>
      </c>
      <c r="E540">
        <v>24</v>
      </c>
      <c r="F540" t="s">
        <v>2</v>
      </c>
      <c r="G540" t="s">
        <v>4234</v>
      </c>
      <c r="H540" t="s">
        <v>5294</v>
      </c>
      <c r="I540" t="s">
        <v>242</v>
      </c>
      <c r="J540" t="s">
        <v>2503</v>
      </c>
    </row>
    <row r="541" spans="1:10" x14ac:dyDescent="0.25">
      <c r="A541" t="s">
        <v>5295</v>
      </c>
      <c r="B541" s="3">
        <v>46278</v>
      </c>
      <c r="C541" t="s">
        <v>674</v>
      </c>
      <c r="D541" t="s">
        <v>587</v>
      </c>
      <c r="E541">
        <v>37</v>
      </c>
      <c r="F541" t="s">
        <v>2</v>
      </c>
      <c r="G541" t="s">
        <v>4234</v>
      </c>
      <c r="H541" t="s">
        <v>5296</v>
      </c>
      <c r="I541" t="s">
        <v>75</v>
      </c>
      <c r="J541" t="s">
        <v>2509</v>
      </c>
    </row>
    <row r="542" spans="1:10" x14ac:dyDescent="0.25">
      <c r="A542" t="s">
        <v>5297</v>
      </c>
      <c r="B542" s="3">
        <v>46278</v>
      </c>
      <c r="C542" t="s">
        <v>187</v>
      </c>
      <c r="D542" t="s">
        <v>54</v>
      </c>
      <c r="E542">
        <v>48</v>
      </c>
      <c r="F542" t="s">
        <v>2</v>
      </c>
      <c r="G542" t="s">
        <v>4225</v>
      </c>
      <c r="H542" t="s">
        <v>5298</v>
      </c>
      <c r="I542" t="s">
        <v>110</v>
      </c>
      <c r="J542" t="s">
        <v>2500</v>
      </c>
    </row>
    <row r="543" spans="1:10" x14ac:dyDescent="0.25">
      <c r="A543" t="s">
        <v>5299</v>
      </c>
      <c r="B543" s="3">
        <v>46278</v>
      </c>
      <c r="C543" t="s">
        <v>179</v>
      </c>
      <c r="D543" t="s">
        <v>47</v>
      </c>
      <c r="E543">
        <v>50</v>
      </c>
      <c r="F543" t="s">
        <v>2</v>
      </c>
      <c r="G543" t="s">
        <v>4225</v>
      </c>
      <c r="H543" t="s">
        <v>5300</v>
      </c>
      <c r="I543" t="s">
        <v>50</v>
      </c>
      <c r="J543" t="s">
        <v>2513</v>
      </c>
    </row>
    <row r="544" spans="1:10" x14ac:dyDescent="0.25">
      <c r="A544" t="s">
        <v>5301</v>
      </c>
      <c r="B544" s="3">
        <v>46278</v>
      </c>
      <c r="C544" t="s">
        <v>547</v>
      </c>
      <c r="D544" t="s">
        <v>481</v>
      </c>
      <c r="E544">
        <v>3</v>
      </c>
      <c r="F544" t="s">
        <v>2</v>
      </c>
      <c r="G544" t="s">
        <v>4234</v>
      </c>
      <c r="H544" t="s">
        <v>5302</v>
      </c>
      <c r="I544" t="s">
        <v>69</v>
      </c>
      <c r="J544" t="s">
        <v>2500</v>
      </c>
    </row>
    <row r="545" spans="1:10" x14ac:dyDescent="0.25">
      <c r="A545" t="s">
        <v>5303</v>
      </c>
      <c r="B545" s="3">
        <v>46278</v>
      </c>
      <c r="C545" t="s">
        <v>391</v>
      </c>
      <c r="D545" t="s">
        <v>357</v>
      </c>
      <c r="E545">
        <v>1</v>
      </c>
      <c r="F545" t="s">
        <v>358</v>
      </c>
      <c r="G545" t="s">
        <v>4231</v>
      </c>
      <c r="H545" t="s">
        <v>5304</v>
      </c>
      <c r="I545" t="s">
        <v>221</v>
      </c>
      <c r="J545" t="s">
        <v>2500</v>
      </c>
    </row>
    <row r="546" spans="1:10" x14ac:dyDescent="0.25">
      <c r="A546" t="s">
        <v>5305</v>
      </c>
      <c r="B546" s="3">
        <v>46278</v>
      </c>
      <c r="C546" t="s">
        <v>690</v>
      </c>
      <c r="D546" t="s">
        <v>597</v>
      </c>
      <c r="E546">
        <v>13</v>
      </c>
      <c r="F546" t="s">
        <v>355</v>
      </c>
      <c r="G546" t="s">
        <v>4234</v>
      </c>
      <c r="H546" t="s">
        <v>5306</v>
      </c>
      <c r="I546" t="s">
        <v>52</v>
      </c>
      <c r="J546" t="s">
        <v>2513</v>
      </c>
    </row>
    <row r="547" spans="1:10" x14ac:dyDescent="0.25">
      <c r="A547" t="s">
        <v>5307</v>
      </c>
      <c r="B547" s="3">
        <v>46278</v>
      </c>
      <c r="C547" t="s">
        <v>519</v>
      </c>
      <c r="D547" t="s">
        <v>488</v>
      </c>
      <c r="E547">
        <v>55</v>
      </c>
      <c r="F547" t="s">
        <v>469</v>
      </c>
      <c r="G547" t="s">
        <v>4234</v>
      </c>
      <c r="H547" t="s">
        <v>5308</v>
      </c>
      <c r="I547" t="s">
        <v>126</v>
      </c>
      <c r="J547" t="s">
        <v>2509</v>
      </c>
    </row>
    <row r="548" spans="1:10" x14ac:dyDescent="0.25">
      <c r="A548" t="s">
        <v>5309</v>
      </c>
      <c r="B548" s="3">
        <v>46278</v>
      </c>
      <c r="C548" t="s">
        <v>628</v>
      </c>
      <c r="D548" t="s">
        <v>629</v>
      </c>
      <c r="E548">
        <v>42</v>
      </c>
      <c r="F548" t="s">
        <v>355</v>
      </c>
      <c r="G548" t="s">
        <v>4231</v>
      </c>
      <c r="H548" t="s">
        <v>5310</v>
      </c>
      <c r="I548" t="s">
        <v>397</v>
      </c>
      <c r="J548" t="s">
        <v>2503</v>
      </c>
    </row>
    <row r="549" spans="1:10" x14ac:dyDescent="0.25">
      <c r="A549" t="s">
        <v>5311</v>
      </c>
      <c r="B549" s="3">
        <v>46278</v>
      </c>
      <c r="C549" t="s">
        <v>157</v>
      </c>
      <c r="D549" t="s">
        <v>44</v>
      </c>
      <c r="E549">
        <v>41</v>
      </c>
      <c r="F549" t="s">
        <v>2</v>
      </c>
      <c r="G549" t="s">
        <v>4222</v>
      </c>
      <c r="H549" t="s">
        <v>5312</v>
      </c>
      <c r="I549" t="s">
        <v>158</v>
      </c>
      <c r="J549" t="s">
        <v>2513</v>
      </c>
    </row>
    <row r="550" spans="1:10" x14ac:dyDescent="0.25">
      <c r="A550" t="s">
        <v>5313</v>
      </c>
      <c r="B550" s="3">
        <v>46278</v>
      </c>
      <c r="C550" t="s">
        <v>570</v>
      </c>
      <c r="D550" t="s">
        <v>484</v>
      </c>
      <c r="E550">
        <v>6</v>
      </c>
      <c r="F550" t="s">
        <v>469</v>
      </c>
      <c r="G550" t="s">
        <v>4231</v>
      </c>
      <c r="H550" t="s">
        <v>5314</v>
      </c>
      <c r="I550" t="s">
        <v>106</v>
      </c>
      <c r="J550" t="s">
        <v>2503</v>
      </c>
    </row>
    <row r="551" spans="1:10" x14ac:dyDescent="0.25">
      <c r="A551" t="s">
        <v>5315</v>
      </c>
      <c r="B551" s="3">
        <v>46278</v>
      </c>
      <c r="C551" t="s">
        <v>692</v>
      </c>
      <c r="D551" t="s">
        <v>582</v>
      </c>
      <c r="E551">
        <v>17</v>
      </c>
      <c r="F551" t="s">
        <v>2</v>
      </c>
      <c r="G551" t="s">
        <v>4234</v>
      </c>
      <c r="H551" t="s">
        <v>5316</v>
      </c>
      <c r="I551" t="s">
        <v>181</v>
      </c>
      <c r="J551" t="s">
        <v>2513</v>
      </c>
    </row>
    <row r="552" spans="1:10" x14ac:dyDescent="0.25">
      <c r="A552" t="s">
        <v>5317</v>
      </c>
      <c r="B552" s="3">
        <v>46278</v>
      </c>
      <c r="C552" t="s">
        <v>457</v>
      </c>
      <c r="D552" t="s">
        <v>349</v>
      </c>
      <c r="E552">
        <v>28</v>
      </c>
      <c r="F552" t="s">
        <v>2</v>
      </c>
      <c r="G552" t="s">
        <v>4225</v>
      </c>
      <c r="H552" t="s">
        <v>5318</v>
      </c>
      <c r="I552" t="s">
        <v>175</v>
      </c>
      <c r="J552" t="s">
        <v>2513</v>
      </c>
    </row>
    <row r="553" spans="1:10" x14ac:dyDescent="0.25">
      <c r="A553" t="s">
        <v>5319</v>
      </c>
      <c r="B553" s="3">
        <v>46278</v>
      </c>
      <c r="C553" t="s">
        <v>268</v>
      </c>
      <c r="D553" t="s">
        <v>216</v>
      </c>
      <c r="E553">
        <v>12</v>
      </c>
      <c r="F553" t="s">
        <v>2</v>
      </c>
      <c r="G553" t="s">
        <v>4228</v>
      </c>
      <c r="H553" t="s">
        <v>5320</v>
      </c>
      <c r="I553" t="s">
        <v>242</v>
      </c>
      <c r="J553" t="s">
        <v>2509</v>
      </c>
    </row>
    <row r="554" spans="1:10" x14ac:dyDescent="0.25">
      <c r="A554" t="s">
        <v>5321</v>
      </c>
      <c r="B554" s="3">
        <v>46278</v>
      </c>
      <c r="C554" t="s">
        <v>403</v>
      </c>
      <c r="D554" t="s">
        <v>364</v>
      </c>
      <c r="E554">
        <v>52</v>
      </c>
      <c r="F554" t="s">
        <v>358</v>
      </c>
      <c r="G554" t="s">
        <v>4228</v>
      </c>
      <c r="H554" t="s">
        <v>5322</v>
      </c>
      <c r="I554" t="s">
        <v>117</v>
      </c>
      <c r="J554" t="s">
        <v>2500</v>
      </c>
    </row>
    <row r="555" spans="1:10" x14ac:dyDescent="0.25">
      <c r="A555" t="s">
        <v>5323</v>
      </c>
      <c r="B555" s="3">
        <v>46278</v>
      </c>
      <c r="C555" t="s">
        <v>320</v>
      </c>
      <c r="D555" t="s">
        <v>227</v>
      </c>
      <c r="E555">
        <v>22</v>
      </c>
      <c r="F555" t="s">
        <v>2</v>
      </c>
      <c r="G555" t="s">
        <v>4225</v>
      </c>
      <c r="H555" t="s">
        <v>5324</v>
      </c>
      <c r="I555" t="s">
        <v>171</v>
      </c>
      <c r="J555" t="s">
        <v>2513</v>
      </c>
    </row>
    <row r="556" spans="1:10" x14ac:dyDescent="0.25">
      <c r="A556" t="s">
        <v>5325</v>
      </c>
      <c r="B556" s="3">
        <v>46278</v>
      </c>
      <c r="C556" t="s">
        <v>540</v>
      </c>
      <c r="D556" t="s">
        <v>476</v>
      </c>
      <c r="E556">
        <v>2</v>
      </c>
      <c r="F556" t="s">
        <v>477</v>
      </c>
      <c r="G556" t="s">
        <v>4222</v>
      </c>
      <c r="H556" t="s">
        <v>5326</v>
      </c>
      <c r="I556" t="s">
        <v>324</v>
      </c>
      <c r="J556" t="s">
        <v>2513</v>
      </c>
    </row>
    <row r="557" spans="1:10" x14ac:dyDescent="0.25">
      <c r="A557" t="s">
        <v>5327</v>
      </c>
      <c r="B557" s="3">
        <v>46278</v>
      </c>
      <c r="C557" t="s">
        <v>459</v>
      </c>
      <c r="D557" t="s">
        <v>351</v>
      </c>
      <c r="E557">
        <v>10</v>
      </c>
      <c r="F557" t="s">
        <v>2</v>
      </c>
      <c r="G557" t="s">
        <v>4225</v>
      </c>
      <c r="H557" t="s">
        <v>5328</v>
      </c>
      <c r="I557" t="s">
        <v>77</v>
      </c>
      <c r="J557" t="s">
        <v>2509</v>
      </c>
    </row>
    <row r="558" spans="1:10" x14ac:dyDescent="0.25">
      <c r="A558" t="s">
        <v>5329</v>
      </c>
      <c r="B558" s="3">
        <v>46278</v>
      </c>
      <c r="C558" t="s">
        <v>105</v>
      </c>
      <c r="D558" t="s">
        <v>44</v>
      </c>
      <c r="E558">
        <v>53</v>
      </c>
      <c r="F558" t="s">
        <v>2</v>
      </c>
      <c r="G558" t="s">
        <v>4231</v>
      </c>
      <c r="H558" t="s">
        <v>5330</v>
      </c>
      <c r="I558" t="s">
        <v>106</v>
      </c>
      <c r="J558" t="s">
        <v>2503</v>
      </c>
    </row>
    <row r="559" spans="1:10" x14ac:dyDescent="0.25">
      <c r="A559" t="s">
        <v>5331</v>
      </c>
      <c r="B559" s="3">
        <v>46278</v>
      </c>
      <c r="C559" t="s">
        <v>616</v>
      </c>
      <c r="D559" t="s">
        <v>589</v>
      </c>
      <c r="E559">
        <v>25</v>
      </c>
      <c r="F559" t="s">
        <v>469</v>
      </c>
      <c r="G559" t="s">
        <v>4222</v>
      </c>
      <c r="H559" t="s">
        <v>5332</v>
      </c>
      <c r="I559" t="s">
        <v>110</v>
      </c>
      <c r="J559" t="s">
        <v>2500</v>
      </c>
    </row>
    <row r="560" spans="1:10" x14ac:dyDescent="0.25">
      <c r="A560" t="s">
        <v>5333</v>
      </c>
      <c r="B560" s="3">
        <v>46278</v>
      </c>
      <c r="C560" t="s">
        <v>320</v>
      </c>
      <c r="D560" t="s">
        <v>227</v>
      </c>
      <c r="E560">
        <v>43</v>
      </c>
      <c r="F560" t="s">
        <v>2</v>
      </c>
      <c r="G560" t="s">
        <v>4234</v>
      </c>
      <c r="H560" t="s">
        <v>5334</v>
      </c>
      <c r="I560" t="s">
        <v>171</v>
      </c>
      <c r="J560" t="s">
        <v>2509</v>
      </c>
    </row>
    <row r="561" spans="1:10" x14ac:dyDescent="0.25">
      <c r="A561" t="s">
        <v>5335</v>
      </c>
      <c r="B561" s="3">
        <v>46279</v>
      </c>
      <c r="C561" t="s">
        <v>76</v>
      </c>
      <c r="D561" t="s">
        <v>15</v>
      </c>
      <c r="E561">
        <v>2</v>
      </c>
      <c r="F561" t="s">
        <v>2</v>
      </c>
      <c r="G561" t="s">
        <v>4225</v>
      </c>
      <c r="H561" t="s">
        <v>5336</v>
      </c>
      <c r="I561" t="s">
        <v>77</v>
      </c>
      <c r="J561" t="s">
        <v>2500</v>
      </c>
    </row>
    <row r="562" spans="1:10" x14ac:dyDescent="0.25">
      <c r="A562" t="s">
        <v>5337</v>
      </c>
      <c r="B562" s="3">
        <v>46279</v>
      </c>
      <c r="C562" t="s">
        <v>560</v>
      </c>
      <c r="D562" t="s">
        <v>467</v>
      </c>
      <c r="E562">
        <v>13</v>
      </c>
      <c r="F562" t="s">
        <v>469</v>
      </c>
      <c r="G562" t="s">
        <v>4231</v>
      </c>
      <c r="H562" t="s">
        <v>5338</v>
      </c>
      <c r="I562" t="s">
        <v>119</v>
      </c>
      <c r="J562" t="s">
        <v>2513</v>
      </c>
    </row>
    <row r="563" spans="1:10" x14ac:dyDescent="0.25">
      <c r="A563" t="s">
        <v>5339</v>
      </c>
      <c r="B563" s="3">
        <v>46279</v>
      </c>
      <c r="C563" t="s">
        <v>243</v>
      </c>
      <c r="D563" t="s">
        <v>213</v>
      </c>
      <c r="E563">
        <v>28</v>
      </c>
      <c r="F563" t="s">
        <v>2</v>
      </c>
      <c r="G563" t="s">
        <v>4222</v>
      </c>
      <c r="H563" t="s">
        <v>4295</v>
      </c>
      <c r="I563" t="s">
        <v>177</v>
      </c>
      <c r="J563" t="s">
        <v>2513</v>
      </c>
    </row>
    <row r="564" spans="1:10" x14ac:dyDescent="0.25">
      <c r="A564" t="s">
        <v>5340</v>
      </c>
      <c r="B564" s="3">
        <v>46279</v>
      </c>
      <c r="C564" t="s">
        <v>362</v>
      </c>
      <c r="D564" t="s">
        <v>360</v>
      </c>
      <c r="E564">
        <v>16</v>
      </c>
      <c r="F564" t="s">
        <v>358</v>
      </c>
      <c r="G564" t="s">
        <v>4225</v>
      </c>
      <c r="H564" t="s">
        <v>5341</v>
      </c>
      <c r="I564" t="s">
        <v>42</v>
      </c>
      <c r="J564" t="s">
        <v>2503</v>
      </c>
    </row>
    <row r="565" spans="1:10" x14ac:dyDescent="0.25">
      <c r="A565" t="s">
        <v>5342</v>
      </c>
      <c r="B565" s="3">
        <v>46279</v>
      </c>
      <c r="C565" t="s">
        <v>377</v>
      </c>
      <c r="D565" t="s">
        <v>378</v>
      </c>
      <c r="E565">
        <v>18</v>
      </c>
      <c r="F565" t="s">
        <v>2</v>
      </c>
      <c r="G565" t="s">
        <v>4234</v>
      </c>
      <c r="H565" t="s">
        <v>5343</v>
      </c>
      <c r="I565" t="s">
        <v>50</v>
      </c>
      <c r="J565" t="s">
        <v>2513</v>
      </c>
    </row>
    <row r="566" spans="1:10" x14ac:dyDescent="0.25">
      <c r="A566" t="s">
        <v>5344</v>
      </c>
      <c r="B566" s="3">
        <v>46279</v>
      </c>
      <c r="C566" t="s">
        <v>596</v>
      </c>
      <c r="D566" t="s">
        <v>597</v>
      </c>
      <c r="E566">
        <v>40</v>
      </c>
      <c r="F566" t="s">
        <v>355</v>
      </c>
      <c r="G566" t="s">
        <v>4231</v>
      </c>
      <c r="H566" t="s">
        <v>5345</v>
      </c>
      <c r="I566" t="s">
        <v>142</v>
      </c>
      <c r="J566" t="s">
        <v>2503</v>
      </c>
    </row>
    <row r="567" spans="1:10" x14ac:dyDescent="0.25">
      <c r="A567" t="s">
        <v>5346</v>
      </c>
      <c r="B567" s="3">
        <v>46279</v>
      </c>
      <c r="C567" t="s">
        <v>217</v>
      </c>
      <c r="D567" t="s">
        <v>218</v>
      </c>
      <c r="E567">
        <v>14</v>
      </c>
      <c r="F567" t="s">
        <v>2</v>
      </c>
      <c r="G567" t="s">
        <v>4228</v>
      </c>
      <c r="H567" t="s">
        <v>5347</v>
      </c>
      <c r="I567" t="s">
        <v>219</v>
      </c>
      <c r="J567" t="s">
        <v>2503</v>
      </c>
    </row>
    <row r="568" spans="1:10" x14ac:dyDescent="0.25">
      <c r="A568" t="s">
        <v>5348</v>
      </c>
      <c r="B568" s="3">
        <v>46279</v>
      </c>
      <c r="C568" t="s">
        <v>153</v>
      </c>
      <c r="D568" t="s">
        <v>26</v>
      </c>
      <c r="E568">
        <v>30</v>
      </c>
      <c r="F568" t="s">
        <v>2</v>
      </c>
      <c r="G568" t="s">
        <v>4225</v>
      </c>
      <c r="H568" t="s">
        <v>5349</v>
      </c>
      <c r="I568" t="s">
        <v>93</v>
      </c>
      <c r="J568" t="s">
        <v>2500</v>
      </c>
    </row>
    <row r="569" spans="1:10" x14ac:dyDescent="0.25">
      <c r="A569" t="s">
        <v>5350</v>
      </c>
      <c r="B569" s="3">
        <v>46279</v>
      </c>
      <c r="C569" t="s">
        <v>530</v>
      </c>
      <c r="D569" t="s">
        <v>481</v>
      </c>
      <c r="E569">
        <v>45</v>
      </c>
      <c r="F569" t="s">
        <v>2</v>
      </c>
      <c r="G569" t="s">
        <v>4228</v>
      </c>
      <c r="H569" t="s">
        <v>5351</v>
      </c>
      <c r="I569" t="s">
        <v>124</v>
      </c>
      <c r="J569" t="s">
        <v>2503</v>
      </c>
    </row>
    <row r="570" spans="1:10" x14ac:dyDescent="0.25">
      <c r="A570" t="s">
        <v>5352</v>
      </c>
      <c r="B570" s="3">
        <v>46279</v>
      </c>
      <c r="C570" t="s">
        <v>286</v>
      </c>
      <c r="D570" t="s">
        <v>218</v>
      </c>
      <c r="E570">
        <v>35</v>
      </c>
      <c r="F570" t="s">
        <v>2</v>
      </c>
      <c r="G570" t="s">
        <v>4222</v>
      </c>
      <c r="H570" t="s">
        <v>5353</v>
      </c>
      <c r="I570" t="s">
        <v>287</v>
      </c>
      <c r="J570" t="s">
        <v>2500</v>
      </c>
    </row>
    <row r="571" spans="1:10" x14ac:dyDescent="0.25">
      <c r="A571" t="s">
        <v>5354</v>
      </c>
      <c r="B571" s="3">
        <v>46279</v>
      </c>
      <c r="C571" t="s">
        <v>388</v>
      </c>
      <c r="D571" t="s">
        <v>351</v>
      </c>
      <c r="E571">
        <v>15</v>
      </c>
      <c r="F571" t="s">
        <v>2</v>
      </c>
      <c r="G571" t="s">
        <v>4222</v>
      </c>
      <c r="H571" t="s">
        <v>5355</v>
      </c>
      <c r="I571" t="s">
        <v>147</v>
      </c>
      <c r="J571" t="s">
        <v>2509</v>
      </c>
    </row>
    <row r="572" spans="1:10" x14ac:dyDescent="0.25">
      <c r="A572" t="s">
        <v>5356</v>
      </c>
      <c r="B572" s="3">
        <v>46279</v>
      </c>
      <c r="C572" t="s">
        <v>244</v>
      </c>
      <c r="D572" t="s">
        <v>234</v>
      </c>
      <c r="E572">
        <v>21</v>
      </c>
      <c r="F572" t="s">
        <v>2</v>
      </c>
      <c r="G572" t="s">
        <v>4231</v>
      </c>
      <c r="H572" t="s">
        <v>5357</v>
      </c>
      <c r="I572" t="s">
        <v>30</v>
      </c>
      <c r="J572" t="s">
        <v>2509</v>
      </c>
    </row>
    <row r="573" spans="1:10" x14ac:dyDescent="0.25">
      <c r="A573" t="s">
        <v>5358</v>
      </c>
      <c r="B573" s="3">
        <v>46279</v>
      </c>
      <c r="C573" t="s">
        <v>503</v>
      </c>
      <c r="D573" t="s">
        <v>476</v>
      </c>
      <c r="E573">
        <v>4</v>
      </c>
      <c r="F573" t="s">
        <v>477</v>
      </c>
      <c r="G573" t="s">
        <v>4228</v>
      </c>
      <c r="H573" t="s">
        <v>5359</v>
      </c>
      <c r="I573" t="s">
        <v>259</v>
      </c>
      <c r="J573" t="s">
        <v>2513</v>
      </c>
    </row>
    <row r="574" spans="1:10" x14ac:dyDescent="0.25">
      <c r="A574" t="s">
        <v>5360</v>
      </c>
      <c r="B574" s="3">
        <v>46279</v>
      </c>
      <c r="C574" t="s">
        <v>674</v>
      </c>
      <c r="D574" t="s">
        <v>587</v>
      </c>
      <c r="E574">
        <v>25</v>
      </c>
      <c r="F574" t="s">
        <v>2</v>
      </c>
      <c r="G574" t="s">
        <v>4231</v>
      </c>
      <c r="H574" t="s">
        <v>5361</v>
      </c>
      <c r="I574" t="s">
        <v>75</v>
      </c>
      <c r="J574" t="s">
        <v>2513</v>
      </c>
    </row>
    <row r="575" spans="1:10" x14ac:dyDescent="0.25">
      <c r="A575" t="s">
        <v>5362</v>
      </c>
      <c r="B575" s="3">
        <v>46279</v>
      </c>
      <c r="C575" t="s">
        <v>564</v>
      </c>
      <c r="D575" t="s">
        <v>481</v>
      </c>
      <c r="E575">
        <v>27</v>
      </c>
      <c r="F575" t="s">
        <v>2</v>
      </c>
      <c r="G575" t="s">
        <v>4231</v>
      </c>
      <c r="H575" t="s">
        <v>5363</v>
      </c>
      <c r="I575" t="s">
        <v>164</v>
      </c>
      <c r="J575" t="s">
        <v>2503</v>
      </c>
    </row>
    <row r="576" spans="1:10" x14ac:dyDescent="0.25">
      <c r="A576" t="s">
        <v>5364</v>
      </c>
      <c r="B576" s="3">
        <v>46279</v>
      </c>
      <c r="C576" t="s">
        <v>669</v>
      </c>
      <c r="D576" t="s">
        <v>594</v>
      </c>
      <c r="E576">
        <v>8</v>
      </c>
      <c r="F576" t="s">
        <v>595</v>
      </c>
      <c r="G576" t="s">
        <v>4222</v>
      </c>
      <c r="H576" t="s">
        <v>5365</v>
      </c>
      <c r="I576" t="s">
        <v>410</v>
      </c>
      <c r="J576" t="s">
        <v>2513</v>
      </c>
    </row>
    <row r="577" spans="1:10" x14ac:dyDescent="0.25">
      <c r="A577" t="s">
        <v>5366</v>
      </c>
      <c r="B577" s="3">
        <v>46279</v>
      </c>
      <c r="C577" t="s">
        <v>428</v>
      </c>
      <c r="D577" t="s">
        <v>357</v>
      </c>
      <c r="E577">
        <v>24</v>
      </c>
      <c r="F577" t="s">
        <v>358</v>
      </c>
      <c r="G577" t="s">
        <v>4231</v>
      </c>
      <c r="H577" t="s">
        <v>5367</v>
      </c>
      <c r="I577" t="s">
        <v>38</v>
      </c>
      <c r="J577" t="s">
        <v>2513</v>
      </c>
    </row>
    <row r="578" spans="1:10" x14ac:dyDescent="0.25">
      <c r="A578" t="s">
        <v>5368</v>
      </c>
      <c r="B578" s="3">
        <v>46279</v>
      </c>
      <c r="C578" t="s">
        <v>516</v>
      </c>
      <c r="D578" t="s">
        <v>481</v>
      </c>
      <c r="E578">
        <v>13</v>
      </c>
      <c r="F578" t="s">
        <v>2</v>
      </c>
      <c r="G578" t="s">
        <v>4228</v>
      </c>
      <c r="H578" t="s">
        <v>5369</v>
      </c>
      <c r="I578" t="s">
        <v>314</v>
      </c>
      <c r="J578" t="s">
        <v>2509</v>
      </c>
    </row>
    <row r="579" spans="1:10" x14ac:dyDescent="0.25">
      <c r="A579" t="s">
        <v>5370</v>
      </c>
      <c r="B579" s="3">
        <v>46279</v>
      </c>
      <c r="C579" t="s">
        <v>478</v>
      </c>
      <c r="D579" t="s">
        <v>479</v>
      </c>
      <c r="E579">
        <v>48</v>
      </c>
      <c r="F579" t="s">
        <v>469</v>
      </c>
      <c r="G579" t="s">
        <v>4228</v>
      </c>
      <c r="H579" t="s">
        <v>5371</v>
      </c>
      <c r="I579" t="s">
        <v>133</v>
      </c>
      <c r="J579" t="s">
        <v>2509</v>
      </c>
    </row>
    <row r="580" spans="1:10" x14ac:dyDescent="0.25">
      <c r="A580" t="s">
        <v>5372</v>
      </c>
      <c r="B580" s="3">
        <v>46279</v>
      </c>
      <c r="C580" t="s">
        <v>116</v>
      </c>
      <c r="D580" t="s">
        <v>54</v>
      </c>
      <c r="E580">
        <v>9</v>
      </c>
      <c r="F580" t="s">
        <v>2</v>
      </c>
      <c r="G580" t="s">
        <v>4231</v>
      </c>
      <c r="H580" t="s">
        <v>5373</v>
      </c>
      <c r="I580" t="s">
        <v>117</v>
      </c>
      <c r="J580" t="s">
        <v>2503</v>
      </c>
    </row>
    <row r="581" spans="1:10" x14ac:dyDescent="0.25">
      <c r="A581" t="s">
        <v>5374</v>
      </c>
      <c r="B581" s="3">
        <v>46279</v>
      </c>
      <c r="C581" t="s">
        <v>350</v>
      </c>
      <c r="D581" t="s">
        <v>351</v>
      </c>
      <c r="E581">
        <v>10</v>
      </c>
      <c r="F581" t="s">
        <v>2</v>
      </c>
      <c r="G581" t="s">
        <v>4231</v>
      </c>
      <c r="H581" t="s">
        <v>5375</v>
      </c>
      <c r="I581" t="s">
        <v>110</v>
      </c>
      <c r="J581" t="s">
        <v>2503</v>
      </c>
    </row>
    <row r="582" spans="1:10" x14ac:dyDescent="0.25">
      <c r="A582" t="s">
        <v>5376</v>
      </c>
      <c r="B582" s="3">
        <v>46279</v>
      </c>
      <c r="C582" t="s">
        <v>415</v>
      </c>
      <c r="D582" t="s">
        <v>382</v>
      </c>
      <c r="E582">
        <v>37</v>
      </c>
      <c r="F582" t="s">
        <v>383</v>
      </c>
      <c r="G582" t="s">
        <v>4231</v>
      </c>
      <c r="H582" t="s">
        <v>5377</v>
      </c>
      <c r="I582" t="s">
        <v>152</v>
      </c>
      <c r="J582" t="s">
        <v>2500</v>
      </c>
    </row>
    <row r="583" spans="1:10" x14ac:dyDescent="0.25">
      <c r="A583" t="s">
        <v>5378</v>
      </c>
      <c r="B583" s="3">
        <v>46279</v>
      </c>
      <c r="C583" t="s">
        <v>650</v>
      </c>
      <c r="D583" t="s">
        <v>587</v>
      </c>
      <c r="E583">
        <v>6</v>
      </c>
      <c r="F583" t="s">
        <v>2</v>
      </c>
      <c r="G583" t="s">
        <v>4228</v>
      </c>
      <c r="H583" t="s">
        <v>5379</v>
      </c>
      <c r="I583" t="s">
        <v>289</v>
      </c>
      <c r="J583" t="s">
        <v>2500</v>
      </c>
    </row>
    <row r="584" spans="1:10" x14ac:dyDescent="0.25">
      <c r="A584" t="s">
        <v>5380</v>
      </c>
      <c r="B584" s="3">
        <v>46279</v>
      </c>
      <c r="C584" t="s">
        <v>462</v>
      </c>
      <c r="D584" t="s">
        <v>349</v>
      </c>
      <c r="E584">
        <v>35</v>
      </c>
      <c r="F584" t="s">
        <v>2</v>
      </c>
      <c r="G584" t="s">
        <v>4231</v>
      </c>
      <c r="H584" t="s">
        <v>5381</v>
      </c>
      <c r="I584" t="s">
        <v>310</v>
      </c>
      <c r="J584" t="s">
        <v>2500</v>
      </c>
    </row>
    <row r="585" spans="1:10" x14ac:dyDescent="0.25">
      <c r="A585" t="s">
        <v>5382</v>
      </c>
      <c r="B585" s="3">
        <v>46279</v>
      </c>
      <c r="C585" t="s">
        <v>277</v>
      </c>
      <c r="D585" t="s">
        <v>210</v>
      </c>
      <c r="E585">
        <v>5</v>
      </c>
      <c r="F585" t="s">
        <v>2</v>
      </c>
      <c r="G585" t="s">
        <v>4231</v>
      </c>
      <c r="H585" t="s">
        <v>4655</v>
      </c>
      <c r="I585" t="s">
        <v>69</v>
      </c>
      <c r="J585" t="s">
        <v>2513</v>
      </c>
    </row>
    <row r="586" spans="1:10" x14ac:dyDescent="0.25">
      <c r="A586" t="s">
        <v>5383</v>
      </c>
      <c r="B586" s="3">
        <v>46279</v>
      </c>
      <c r="C586" t="s">
        <v>288</v>
      </c>
      <c r="D586" t="s">
        <v>261</v>
      </c>
      <c r="E586">
        <v>38</v>
      </c>
      <c r="F586" t="s">
        <v>2</v>
      </c>
      <c r="G586" t="s">
        <v>4231</v>
      </c>
      <c r="H586" t="s">
        <v>5384</v>
      </c>
      <c r="I586" t="s">
        <v>289</v>
      </c>
      <c r="J586" t="s">
        <v>2500</v>
      </c>
    </row>
    <row r="587" spans="1:10" x14ac:dyDescent="0.25">
      <c r="A587" t="s">
        <v>5385</v>
      </c>
      <c r="B587" s="3">
        <v>46279</v>
      </c>
      <c r="C587" t="s">
        <v>65</v>
      </c>
      <c r="D587" t="s">
        <v>66</v>
      </c>
      <c r="E587">
        <v>38</v>
      </c>
      <c r="F587" t="s">
        <v>2</v>
      </c>
      <c r="G587" t="s">
        <v>4228</v>
      </c>
      <c r="H587" t="s">
        <v>5386</v>
      </c>
      <c r="I587" t="s">
        <v>67</v>
      </c>
      <c r="J587" t="s">
        <v>2500</v>
      </c>
    </row>
    <row r="588" spans="1:10" x14ac:dyDescent="0.25">
      <c r="A588" t="s">
        <v>5387</v>
      </c>
      <c r="B588" s="3">
        <v>46279</v>
      </c>
      <c r="C588" t="s">
        <v>473</v>
      </c>
      <c r="D588" t="s">
        <v>474</v>
      </c>
      <c r="E588">
        <v>38</v>
      </c>
      <c r="F588" t="s">
        <v>2</v>
      </c>
      <c r="G588" t="s">
        <v>4228</v>
      </c>
      <c r="H588" t="s">
        <v>5388</v>
      </c>
      <c r="I588" t="s">
        <v>164</v>
      </c>
      <c r="J588" t="s">
        <v>2509</v>
      </c>
    </row>
    <row r="589" spans="1:10" x14ac:dyDescent="0.25">
      <c r="A589" t="s">
        <v>5389</v>
      </c>
      <c r="B589" s="3">
        <v>46279</v>
      </c>
      <c r="C589" t="s">
        <v>362</v>
      </c>
      <c r="D589" t="s">
        <v>360</v>
      </c>
      <c r="E589">
        <v>42</v>
      </c>
      <c r="F589" t="s">
        <v>358</v>
      </c>
      <c r="G589" t="s">
        <v>4222</v>
      </c>
      <c r="H589" t="s">
        <v>5390</v>
      </c>
      <c r="I589" t="s">
        <v>42</v>
      </c>
      <c r="J589" t="s">
        <v>2503</v>
      </c>
    </row>
    <row r="590" spans="1:10" x14ac:dyDescent="0.25">
      <c r="A590" t="s">
        <v>5391</v>
      </c>
      <c r="B590" s="3">
        <v>46279</v>
      </c>
      <c r="C590" t="s">
        <v>437</v>
      </c>
      <c r="D590" t="s">
        <v>354</v>
      </c>
      <c r="E590">
        <v>23</v>
      </c>
      <c r="F590" t="s">
        <v>355</v>
      </c>
      <c r="G590" t="s">
        <v>4222</v>
      </c>
      <c r="H590" t="s">
        <v>5392</v>
      </c>
      <c r="I590" t="s">
        <v>289</v>
      </c>
      <c r="J590" t="s">
        <v>2503</v>
      </c>
    </row>
    <row r="591" spans="1:10" x14ac:dyDescent="0.25">
      <c r="A591" t="s">
        <v>5393</v>
      </c>
      <c r="B591" s="3">
        <v>46279</v>
      </c>
      <c r="C591" t="s">
        <v>470</v>
      </c>
      <c r="D591" t="s">
        <v>471</v>
      </c>
      <c r="E591">
        <v>26</v>
      </c>
      <c r="F591" t="s">
        <v>355</v>
      </c>
      <c r="G591" t="s">
        <v>4225</v>
      </c>
      <c r="H591" t="s">
        <v>5394</v>
      </c>
      <c r="I591" t="s">
        <v>195</v>
      </c>
      <c r="J591" t="s">
        <v>2503</v>
      </c>
    </row>
    <row r="592" spans="1:10" x14ac:dyDescent="0.25">
      <c r="A592" t="s">
        <v>5395</v>
      </c>
      <c r="B592" s="3">
        <v>46279</v>
      </c>
      <c r="C592" t="s">
        <v>573</v>
      </c>
      <c r="D592" t="s">
        <v>502</v>
      </c>
      <c r="E592">
        <v>49</v>
      </c>
      <c r="F592" t="s">
        <v>469</v>
      </c>
      <c r="G592" t="s">
        <v>4225</v>
      </c>
      <c r="H592" t="s">
        <v>4484</v>
      </c>
      <c r="I592" t="s">
        <v>574</v>
      </c>
      <c r="J592" t="s">
        <v>2500</v>
      </c>
    </row>
    <row r="593" spans="1:10" x14ac:dyDescent="0.25">
      <c r="A593" t="s">
        <v>5396</v>
      </c>
      <c r="B593" s="3">
        <v>46279</v>
      </c>
      <c r="C593" t="s">
        <v>258</v>
      </c>
      <c r="D593" t="s">
        <v>210</v>
      </c>
      <c r="E593">
        <v>30</v>
      </c>
      <c r="F593" t="s">
        <v>2</v>
      </c>
      <c r="G593" t="s">
        <v>4228</v>
      </c>
      <c r="H593" t="s">
        <v>5397</v>
      </c>
      <c r="I593" t="s">
        <v>259</v>
      </c>
      <c r="J593" t="s">
        <v>2500</v>
      </c>
    </row>
    <row r="594" spans="1:10" x14ac:dyDescent="0.25">
      <c r="A594" t="s">
        <v>5398</v>
      </c>
      <c r="B594" s="3">
        <v>46279</v>
      </c>
      <c r="C594" t="s">
        <v>229</v>
      </c>
      <c r="D594" t="s">
        <v>218</v>
      </c>
      <c r="E594">
        <v>1</v>
      </c>
      <c r="F594" t="s">
        <v>2</v>
      </c>
      <c r="G594" t="s">
        <v>4234</v>
      </c>
      <c r="H594" t="s">
        <v>5399</v>
      </c>
      <c r="I594" t="s">
        <v>230</v>
      </c>
      <c r="J594" t="s">
        <v>2513</v>
      </c>
    </row>
    <row r="595" spans="1:10" x14ac:dyDescent="0.25">
      <c r="A595" t="s">
        <v>5400</v>
      </c>
      <c r="B595" s="3">
        <v>46279</v>
      </c>
      <c r="C595" t="s">
        <v>401</v>
      </c>
      <c r="D595" t="s">
        <v>382</v>
      </c>
      <c r="E595">
        <v>47</v>
      </c>
      <c r="F595" t="s">
        <v>383</v>
      </c>
      <c r="G595" t="s">
        <v>4234</v>
      </c>
      <c r="H595" t="s">
        <v>5401</v>
      </c>
      <c r="I595" t="s">
        <v>19</v>
      </c>
      <c r="J595" t="s">
        <v>2513</v>
      </c>
    </row>
    <row r="596" spans="1:10" x14ac:dyDescent="0.25">
      <c r="A596" t="s">
        <v>5402</v>
      </c>
      <c r="B596" s="3">
        <v>46279</v>
      </c>
      <c r="C596" t="s">
        <v>505</v>
      </c>
      <c r="D596" t="s">
        <v>479</v>
      </c>
      <c r="E596">
        <v>23</v>
      </c>
      <c r="F596" t="s">
        <v>469</v>
      </c>
      <c r="G596" t="s">
        <v>4234</v>
      </c>
      <c r="H596" t="s">
        <v>5403</v>
      </c>
      <c r="I596" t="s">
        <v>69</v>
      </c>
      <c r="J596" t="s">
        <v>2509</v>
      </c>
    </row>
    <row r="597" spans="1:10" x14ac:dyDescent="0.25">
      <c r="A597" t="s">
        <v>5404</v>
      </c>
      <c r="B597" s="3">
        <v>46279</v>
      </c>
      <c r="C597" t="s">
        <v>326</v>
      </c>
      <c r="D597" t="s">
        <v>223</v>
      </c>
      <c r="E597">
        <v>21</v>
      </c>
      <c r="F597" t="s">
        <v>2</v>
      </c>
      <c r="G597" t="s">
        <v>4234</v>
      </c>
      <c r="H597" t="s">
        <v>5405</v>
      </c>
      <c r="I597" t="s">
        <v>327</v>
      </c>
      <c r="J597" t="s">
        <v>2509</v>
      </c>
    </row>
    <row r="598" spans="1:10" x14ac:dyDescent="0.25">
      <c r="A598" t="s">
        <v>5406</v>
      </c>
      <c r="B598" s="3">
        <v>46279</v>
      </c>
      <c r="C598" t="s">
        <v>453</v>
      </c>
      <c r="D598" t="s">
        <v>354</v>
      </c>
      <c r="E598">
        <v>11</v>
      </c>
      <c r="F598" t="s">
        <v>355</v>
      </c>
      <c r="G598" t="s">
        <v>4228</v>
      </c>
      <c r="H598" t="s">
        <v>5407</v>
      </c>
      <c r="I598" t="s">
        <v>124</v>
      </c>
      <c r="J598" t="s">
        <v>2513</v>
      </c>
    </row>
    <row r="599" spans="1:10" x14ac:dyDescent="0.25">
      <c r="A599" t="s">
        <v>5408</v>
      </c>
      <c r="B599" s="3">
        <v>46279</v>
      </c>
      <c r="C599" t="s">
        <v>112</v>
      </c>
      <c r="D599" t="s">
        <v>29</v>
      </c>
      <c r="E599">
        <v>54</v>
      </c>
      <c r="F599" t="s">
        <v>2</v>
      </c>
      <c r="G599" t="s">
        <v>4222</v>
      </c>
      <c r="H599" t="s">
        <v>5409</v>
      </c>
      <c r="I599" t="s">
        <v>113</v>
      </c>
      <c r="J599" t="s">
        <v>2503</v>
      </c>
    </row>
    <row r="600" spans="1:10" x14ac:dyDescent="0.25">
      <c r="A600" t="s">
        <v>5410</v>
      </c>
      <c r="B600" s="3">
        <v>46279</v>
      </c>
      <c r="C600" t="s">
        <v>533</v>
      </c>
      <c r="D600" t="s">
        <v>474</v>
      </c>
      <c r="E600">
        <v>49</v>
      </c>
      <c r="F600" t="s">
        <v>2</v>
      </c>
      <c r="G600" t="s">
        <v>4231</v>
      </c>
      <c r="H600" t="s">
        <v>5411</v>
      </c>
      <c r="I600" t="s">
        <v>59</v>
      </c>
      <c r="J600" t="s">
        <v>2509</v>
      </c>
    </row>
    <row r="601" spans="1:10" x14ac:dyDescent="0.25">
      <c r="A601" t="s">
        <v>5412</v>
      </c>
      <c r="B601" s="3">
        <v>46279</v>
      </c>
      <c r="C601" t="s">
        <v>109</v>
      </c>
      <c r="D601" t="s">
        <v>15</v>
      </c>
      <c r="E601">
        <v>1</v>
      </c>
      <c r="F601" t="s">
        <v>2</v>
      </c>
      <c r="G601" t="s">
        <v>4228</v>
      </c>
      <c r="H601" t="s">
        <v>5413</v>
      </c>
      <c r="I601" t="s">
        <v>110</v>
      </c>
      <c r="J601" t="s">
        <v>2509</v>
      </c>
    </row>
    <row r="602" spans="1:10" x14ac:dyDescent="0.25">
      <c r="A602" t="s">
        <v>5414</v>
      </c>
      <c r="B602" s="3">
        <v>46279</v>
      </c>
      <c r="C602" t="s">
        <v>413</v>
      </c>
      <c r="D602" t="s">
        <v>360</v>
      </c>
      <c r="E602">
        <v>9</v>
      </c>
      <c r="F602" t="s">
        <v>358</v>
      </c>
      <c r="G602" t="s">
        <v>4234</v>
      </c>
      <c r="H602" t="s">
        <v>5415</v>
      </c>
      <c r="I602" t="s">
        <v>368</v>
      </c>
      <c r="J602" t="s">
        <v>2513</v>
      </c>
    </row>
    <row r="603" spans="1:10" x14ac:dyDescent="0.25">
      <c r="A603" t="s">
        <v>5416</v>
      </c>
      <c r="B603" s="3">
        <v>46279</v>
      </c>
      <c r="C603" t="s">
        <v>646</v>
      </c>
      <c r="D603" t="s">
        <v>599</v>
      </c>
      <c r="E603">
        <v>19</v>
      </c>
      <c r="F603" t="s">
        <v>2</v>
      </c>
      <c r="G603" t="s">
        <v>4234</v>
      </c>
      <c r="H603" t="s">
        <v>5417</v>
      </c>
      <c r="I603" t="s">
        <v>294</v>
      </c>
      <c r="J603" t="s">
        <v>2509</v>
      </c>
    </row>
    <row r="604" spans="1:10" x14ac:dyDescent="0.25">
      <c r="A604" t="s">
        <v>5418</v>
      </c>
      <c r="B604" s="3">
        <v>46280</v>
      </c>
      <c r="C604" t="s">
        <v>262</v>
      </c>
      <c r="D604" t="s">
        <v>223</v>
      </c>
      <c r="E604">
        <v>13</v>
      </c>
      <c r="F604" t="s">
        <v>2</v>
      </c>
      <c r="G604" t="s">
        <v>4231</v>
      </c>
      <c r="H604" t="s">
        <v>5419</v>
      </c>
      <c r="I604" t="s">
        <v>259</v>
      </c>
      <c r="J604" t="s">
        <v>2513</v>
      </c>
    </row>
    <row r="605" spans="1:10" x14ac:dyDescent="0.25">
      <c r="A605" t="s">
        <v>5420</v>
      </c>
      <c r="B605" s="3">
        <v>46280</v>
      </c>
      <c r="C605" t="s">
        <v>90</v>
      </c>
      <c r="D605" t="s">
        <v>15</v>
      </c>
      <c r="E605">
        <v>18</v>
      </c>
      <c r="F605" t="s">
        <v>2</v>
      </c>
      <c r="G605" t="s">
        <v>4228</v>
      </c>
      <c r="H605" t="s">
        <v>5421</v>
      </c>
      <c r="I605" t="s">
        <v>73</v>
      </c>
      <c r="J605" t="s">
        <v>2503</v>
      </c>
    </row>
    <row r="606" spans="1:10" x14ac:dyDescent="0.25">
      <c r="A606" t="s">
        <v>5422</v>
      </c>
      <c r="B606" s="3">
        <v>46280</v>
      </c>
      <c r="C606" t="s">
        <v>252</v>
      </c>
      <c r="D606" t="s">
        <v>216</v>
      </c>
      <c r="E606">
        <v>36</v>
      </c>
      <c r="F606" t="s">
        <v>2</v>
      </c>
      <c r="G606" t="s">
        <v>4225</v>
      </c>
      <c r="H606" t="s">
        <v>5423</v>
      </c>
      <c r="I606" t="s">
        <v>52</v>
      </c>
      <c r="J606" t="s">
        <v>2513</v>
      </c>
    </row>
    <row r="607" spans="1:10" x14ac:dyDescent="0.25">
      <c r="A607" t="s">
        <v>5424</v>
      </c>
      <c r="B607" s="3">
        <v>46280</v>
      </c>
      <c r="C607" t="s">
        <v>691</v>
      </c>
      <c r="D607" t="s">
        <v>585</v>
      </c>
      <c r="E607">
        <v>49</v>
      </c>
      <c r="F607" t="s">
        <v>355</v>
      </c>
      <c r="G607" t="s">
        <v>4231</v>
      </c>
      <c r="H607" t="s">
        <v>5425</v>
      </c>
      <c r="I607" t="s">
        <v>19</v>
      </c>
      <c r="J607" t="s">
        <v>2509</v>
      </c>
    </row>
    <row r="608" spans="1:10" x14ac:dyDescent="0.25">
      <c r="A608" t="s">
        <v>5426</v>
      </c>
      <c r="B608" s="3">
        <v>46280</v>
      </c>
      <c r="C608" t="s">
        <v>339</v>
      </c>
      <c r="D608" t="s">
        <v>223</v>
      </c>
      <c r="E608">
        <v>36</v>
      </c>
      <c r="F608" t="s">
        <v>2</v>
      </c>
      <c r="G608" t="s">
        <v>4231</v>
      </c>
      <c r="H608" t="s">
        <v>5427</v>
      </c>
      <c r="I608" t="s">
        <v>34</v>
      </c>
      <c r="J608" t="s">
        <v>2500</v>
      </c>
    </row>
    <row r="609" spans="1:10" x14ac:dyDescent="0.25">
      <c r="A609" t="s">
        <v>5428</v>
      </c>
      <c r="B609" s="3">
        <v>46280</v>
      </c>
      <c r="C609" t="s">
        <v>286</v>
      </c>
      <c r="D609" t="s">
        <v>218</v>
      </c>
      <c r="E609">
        <v>2</v>
      </c>
      <c r="F609" t="s">
        <v>2</v>
      </c>
      <c r="G609" t="s">
        <v>4222</v>
      </c>
      <c r="H609" t="s">
        <v>5429</v>
      </c>
      <c r="I609" t="s">
        <v>287</v>
      </c>
      <c r="J609" t="s">
        <v>2513</v>
      </c>
    </row>
    <row r="610" spans="1:10" x14ac:dyDescent="0.25">
      <c r="A610" t="s">
        <v>5430</v>
      </c>
      <c r="B610" s="3">
        <v>46280</v>
      </c>
      <c r="C610" t="s">
        <v>509</v>
      </c>
      <c r="D610" t="s">
        <v>471</v>
      </c>
      <c r="E610">
        <v>9</v>
      </c>
      <c r="F610" t="s">
        <v>355</v>
      </c>
      <c r="G610" t="s">
        <v>4225</v>
      </c>
      <c r="H610" t="s">
        <v>5431</v>
      </c>
      <c r="I610" t="s">
        <v>287</v>
      </c>
      <c r="J610" t="s">
        <v>2500</v>
      </c>
    </row>
    <row r="611" spans="1:10" x14ac:dyDescent="0.25">
      <c r="A611" t="s">
        <v>5432</v>
      </c>
      <c r="B611" s="3">
        <v>46280</v>
      </c>
      <c r="C611" t="s">
        <v>400</v>
      </c>
      <c r="D611" t="s">
        <v>349</v>
      </c>
      <c r="E611">
        <v>30</v>
      </c>
      <c r="F611" t="s">
        <v>2</v>
      </c>
      <c r="G611" t="s">
        <v>4228</v>
      </c>
      <c r="H611" t="s">
        <v>5433</v>
      </c>
      <c r="I611" t="s">
        <v>171</v>
      </c>
      <c r="J611" t="s">
        <v>2513</v>
      </c>
    </row>
    <row r="612" spans="1:10" x14ac:dyDescent="0.25">
      <c r="A612" t="s">
        <v>5434</v>
      </c>
      <c r="B612" s="3">
        <v>46280</v>
      </c>
      <c r="C612" t="s">
        <v>306</v>
      </c>
      <c r="D612" t="s">
        <v>223</v>
      </c>
      <c r="E612">
        <v>37</v>
      </c>
      <c r="F612" t="s">
        <v>2</v>
      </c>
      <c r="G612" t="s">
        <v>4231</v>
      </c>
      <c r="H612" t="s">
        <v>5435</v>
      </c>
      <c r="I612" t="s">
        <v>274</v>
      </c>
      <c r="J612" t="s">
        <v>2513</v>
      </c>
    </row>
    <row r="613" spans="1:10" x14ac:dyDescent="0.25">
      <c r="A613" t="s">
        <v>5436</v>
      </c>
      <c r="B613" s="3">
        <v>46280</v>
      </c>
      <c r="C613" t="s">
        <v>249</v>
      </c>
      <c r="D613" t="s">
        <v>216</v>
      </c>
      <c r="E613">
        <v>29</v>
      </c>
      <c r="F613" t="s">
        <v>2</v>
      </c>
      <c r="G613" t="s">
        <v>4234</v>
      </c>
      <c r="H613" t="s">
        <v>5437</v>
      </c>
      <c r="I613" t="s">
        <v>250</v>
      </c>
      <c r="J613" t="s">
        <v>2500</v>
      </c>
    </row>
    <row r="614" spans="1:10" x14ac:dyDescent="0.25">
      <c r="A614" t="s">
        <v>5438</v>
      </c>
      <c r="B614" s="3">
        <v>46280</v>
      </c>
      <c r="C614" t="s">
        <v>498</v>
      </c>
      <c r="D614" t="s">
        <v>488</v>
      </c>
      <c r="E614">
        <v>9</v>
      </c>
      <c r="F614" t="s">
        <v>469</v>
      </c>
      <c r="G614" t="s">
        <v>4234</v>
      </c>
      <c r="H614" t="s">
        <v>5439</v>
      </c>
      <c r="I614" t="s">
        <v>52</v>
      </c>
      <c r="J614" t="s">
        <v>2503</v>
      </c>
    </row>
    <row r="615" spans="1:10" x14ac:dyDescent="0.25">
      <c r="A615" t="s">
        <v>5440</v>
      </c>
      <c r="B615" s="3">
        <v>46280</v>
      </c>
      <c r="C615" t="s">
        <v>180</v>
      </c>
      <c r="D615" t="s">
        <v>15</v>
      </c>
      <c r="E615">
        <v>23</v>
      </c>
      <c r="F615" t="s">
        <v>2</v>
      </c>
      <c r="G615" t="s">
        <v>4225</v>
      </c>
      <c r="H615" t="s">
        <v>5441</v>
      </c>
      <c r="I615" t="s">
        <v>181</v>
      </c>
      <c r="J615" t="s">
        <v>2500</v>
      </c>
    </row>
    <row r="616" spans="1:10" x14ac:dyDescent="0.25">
      <c r="A616" t="s">
        <v>5442</v>
      </c>
      <c r="B616" s="3">
        <v>46280</v>
      </c>
      <c r="C616" t="s">
        <v>154</v>
      </c>
      <c r="D616" t="s">
        <v>26</v>
      </c>
      <c r="E616">
        <v>41</v>
      </c>
      <c r="F616" t="s">
        <v>2</v>
      </c>
      <c r="G616" t="s">
        <v>4234</v>
      </c>
      <c r="H616" t="s">
        <v>5443</v>
      </c>
      <c r="I616" t="s">
        <v>155</v>
      </c>
      <c r="J616" t="s">
        <v>2500</v>
      </c>
    </row>
    <row r="617" spans="1:10" x14ac:dyDescent="0.25">
      <c r="A617" t="s">
        <v>5444</v>
      </c>
      <c r="B617" s="3">
        <v>46280</v>
      </c>
      <c r="C617" t="s">
        <v>138</v>
      </c>
      <c r="D617" t="s">
        <v>44</v>
      </c>
      <c r="E617">
        <v>14</v>
      </c>
      <c r="F617" t="s">
        <v>2</v>
      </c>
      <c r="G617" t="s">
        <v>4225</v>
      </c>
      <c r="H617" t="s">
        <v>5445</v>
      </c>
      <c r="I617" t="s">
        <v>98</v>
      </c>
      <c r="J617" t="s">
        <v>2500</v>
      </c>
    </row>
    <row r="618" spans="1:10" x14ac:dyDescent="0.25">
      <c r="A618" t="s">
        <v>5446</v>
      </c>
      <c r="B618" s="3">
        <v>46280</v>
      </c>
      <c r="C618" t="s">
        <v>135</v>
      </c>
      <c r="D618" t="s">
        <v>44</v>
      </c>
      <c r="E618">
        <v>33</v>
      </c>
      <c r="F618" t="s">
        <v>2</v>
      </c>
      <c r="G618" t="s">
        <v>4222</v>
      </c>
      <c r="H618" t="s">
        <v>5447</v>
      </c>
      <c r="I618" t="s">
        <v>73</v>
      </c>
      <c r="J618" t="s">
        <v>2503</v>
      </c>
    </row>
    <row r="619" spans="1:10" x14ac:dyDescent="0.25">
      <c r="A619" t="s">
        <v>5448</v>
      </c>
      <c r="B619" s="3">
        <v>46280</v>
      </c>
      <c r="C619" t="s">
        <v>414</v>
      </c>
      <c r="D619" t="s">
        <v>378</v>
      </c>
      <c r="E619">
        <v>28</v>
      </c>
      <c r="F619" t="s">
        <v>2</v>
      </c>
      <c r="G619" t="s">
        <v>4231</v>
      </c>
      <c r="H619" t="s">
        <v>5449</v>
      </c>
      <c r="I619" t="s">
        <v>147</v>
      </c>
      <c r="J619" t="s">
        <v>2500</v>
      </c>
    </row>
    <row r="620" spans="1:10" x14ac:dyDescent="0.25">
      <c r="A620" t="s">
        <v>5450</v>
      </c>
      <c r="B620" s="3">
        <v>46280</v>
      </c>
      <c r="C620" t="s">
        <v>363</v>
      </c>
      <c r="D620" t="s">
        <v>364</v>
      </c>
      <c r="E620">
        <v>37</v>
      </c>
      <c r="F620" t="s">
        <v>358</v>
      </c>
      <c r="G620" t="s">
        <v>4234</v>
      </c>
      <c r="H620" t="s">
        <v>5451</v>
      </c>
      <c r="I620" t="s">
        <v>57</v>
      </c>
      <c r="J620" t="s">
        <v>2513</v>
      </c>
    </row>
    <row r="621" spans="1:10" x14ac:dyDescent="0.25">
      <c r="A621" t="s">
        <v>5452</v>
      </c>
      <c r="B621" s="3">
        <v>46280</v>
      </c>
      <c r="C621" t="s">
        <v>654</v>
      </c>
      <c r="D621" t="s">
        <v>582</v>
      </c>
      <c r="E621">
        <v>29</v>
      </c>
      <c r="F621" t="s">
        <v>2</v>
      </c>
      <c r="G621" t="s">
        <v>4228</v>
      </c>
      <c r="H621" t="s">
        <v>5453</v>
      </c>
      <c r="I621" t="s">
        <v>108</v>
      </c>
      <c r="J621" t="s">
        <v>2509</v>
      </c>
    </row>
    <row r="622" spans="1:10" x14ac:dyDescent="0.25">
      <c r="A622" t="s">
        <v>5454</v>
      </c>
      <c r="B622" s="3">
        <v>46280</v>
      </c>
      <c r="C622" t="s">
        <v>307</v>
      </c>
      <c r="D622" t="s">
        <v>210</v>
      </c>
      <c r="E622">
        <v>32</v>
      </c>
      <c r="F622" t="s">
        <v>2</v>
      </c>
      <c r="G622" t="s">
        <v>4231</v>
      </c>
      <c r="H622" t="s">
        <v>5455</v>
      </c>
      <c r="I622" t="s">
        <v>57</v>
      </c>
      <c r="J622" t="s">
        <v>2500</v>
      </c>
    </row>
    <row r="623" spans="1:10" x14ac:dyDescent="0.25">
      <c r="A623" t="s">
        <v>5456</v>
      </c>
      <c r="B623" s="3">
        <v>46280</v>
      </c>
      <c r="C623" t="s">
        <v>530</v>
      </c>
      <c r="D623" t="s">
        <v>481</v>
      </c>
      <c r="E623">
        <v>16</v>
      </c>
      <c r="F623" t="s">
        <v>2</v>
      </c>
      <c r="G623" t="s">
        <v>4225</v>
      </c>
      <c r="H623" t="s">
        <v>5457</v>
      </c>
      <c r="I623" t="s">
        <v>124</v>
      </c>
      <c r="J623" t="s">
        <v>2500</v>
      </c>
    </row>
    <row r="624" spans="1:10" x14ac:dyDescent="0.25">
      <c r="A624" t="s">
        <v>5458</v>
      </c>
      <c r="B624" s="3">
        <v>46280</v>
      </c>
      <c r="C624" t="s">
        <v>622</v>
      </c>
      <c r="D624" t="s">
        <v>585</v>
      </c>
      <c r="E624">
        <v>19</v>
      </c>
      <c r="F624" t="s">
        <v>355</v>
      </c>
      <c r="G624" t="s">
        <v>4225</v>
      </c>
      <c r="H624" t="s">
        <v>5459</v>
      </c>
      <c r="I624" t="s">
        <v>71</v>
      </c>
      <c r="J624" t="s">
        <v>2509</v>
      </c>
    </row>
    <row r="625" spans="1:10" x14ac:dyDescent="0.25">
      <c r="A625" t="s">
        <v>5460</v>
      </c>
      <c r="B625" s="3">
        <v>46280</v>
      </c>
      <c r="C625" t="s">
        <v>438</v>
      </c>
      <c r="D625" t="s">
        <v>349</v>
      </c>
      <c r="E625">
        <v>52</v>
      </c>
      <c r="F625" t="s">
        <v>2</v>
      </c>
      <c r="G625" t="s">
        <v>4234</v>
      </c>
      <c r="H625" t="s">
        <v>5461</v>
      </c>
      <c r="I625" t="s">
        <v>327</v>
      </c>
      <c r="J625" t="s">
        <v>2500</v>
      </c>
    </row>
    <row r="626" spans="1:10" x14ac:dyDescent="0.25">
      <c r="A626" t="s">
        <v>5462</v>
      </c>
      <c r="B626" s="3">
        <v>46280</v>
      </c>
      <c r="C626" t="s">
        <v>130</v>
      </c>
      <c r="D626" t="s">
        <v>1</v>
      </c>
      <c r="E626">
        <v>30</v>
      </c>
      <c r="F626" t="s">
        <v>2</v>
      </c>
      <c r="G626" t="s">
        <v>4222</v>
      </c>
      <c r="H626" t="s">
        <v>5463</v>
      </c>
      <c r="I626" t="s">
        <v>19</v>
      </c>
      <c r="J626" t="s">
        <v>2503</v>
      </c>
    </row>
    <row r="627" spans="1:10" x14ac:dyDescent="0.25">
      <c r="A627" t="s">
        <v>5464</v>
      </c>
      <c r="B627" s="3">
        <v>46280</v>
      </c>
      <c r="C627" t="s">
        <v>371</v>
      </c>
      <c r="D627" t="s">
        <v>364</v>
      </c>
      <c r="E627">
        <v>55</v>
      </c>
      <c r="F627" t="s">
        <v>358</v>
      </c>
      <c r="G627" t="s">
        <v>4228</v>
      </c>
      <c r="H627" t="s">
        <v>5465</v>
      </c>
      <c r="I627" t="s">
        <v>121</v>
      </c>
      <c r="J627" t="s">
        <v>2500</v>
      </c>
    </row>
    <row r="628" spans="1:10" x14ac:dyDescent="0.25">
      <c r="A628" t="s">
        <v>5466</v>
      </c>
      <c r="B628" s="3">
        <v>46280</v>
      </c>
      <c r="C628" t="s">
        <v>188</v>
      </c>
      <c r="D628" t="s">
        <v>29</v>
      </c>
      <c r="E628">
        <v>55</v>
      </c>
      <c r="F628" t="s">
        <v>2</v>
      </c>
      <c r="G628" t="s">
        <v>4231</v>
      </c>
      <c r="H628" t="s">
        <v>5467</v>
      </c>
      <c r="I628" t="s">
        <v>189</v>
      </c>
      <c r="J628" t="s">
        <v>2513</v>
      </c>
    </row>
    <row r="629" spans="1:10" x14ac:dyDescent="0.25">
      <c r="A629" t="s">
        <v>5468</v>
      </c>
      <c r="B629" s="3">
        <v>46280</v>
      </c>
      <c r="C629" t="s">
        <v>267</v>
      </c>
      <c r="D629" t="s">
        <v>227</v>
      </c>
      <c r="E629">
        <v>14</v>
      </c>
      <c r="F629" t="s">
        <v>2</v>
      </c>
      <c r="G629" t="s">
        <v>4228</v>
      </c>
      <c r="H629" t="s">
        <v>5469</v>
      </c>
      <c r="I629" t="s">
        <v>183</v>
      </c>
      <c r="J629" t="s">
        <v>2513</v>
      </c>
    </row>
    <row r="630" spans="1:10" x14ac:dyDescent="0.25">
      <c r="A630" t="s">
        <v>5470</v>
      </c>
      <c r="B630" s="3">
        <v>46280</v>
      </c>
      <c r="C630" t="s">
        <v>97</v>
      </c>
      <c r="D630" t="s">
        <v>1</v>
      </c>
      <c r="E630">
        <v>28</v>
      </c>
      <c r="F630" t="s">
        <v>2</v>
      </c>
      <c r="G630" t="s">
        <v>4225</v>
      </c>
      <c r="H630" t="s">
        <v>5471</v>
      </c>
      <c r="I630" t="s">
        <v>98</v>
      </c>
      <c r="J630" t="s">
        <v>2500</v>
      </c>
    </row>
    <row r="631" spans="1:10" x14ac:dyDescent="0.25">
      <c r="A631" t="s">
        <v>5472</v>
      </c>
      <c r="B631" s="3">
        <v>46280</v>
      </c>
      <c r="C631" t="s">
        <v>436</v>
      </c>
      <c r="D631" t="s">
        <v>366</v>
      </c>
      <c r="E631">
        <v>21</v>
      </c>
      <c r="F631" t="s">
        <v>2</v>
      </c>
      <c r="G631" t="s">
        <v>4222</v>
      </c>
      <c r="H631" t="s">
        <v>5473</v>
      </c>
      <c r="I631" t="s">
        <v>19</v>
      </c>
      <c r="J631" t="s">
        <v>2500</v>
      </c>
    </row>
    <row r="632" spans="1:10" x14ac:dyDescent="0.25">
      <c r="A632" t="s">
        <v>5474</v>
      </c>
      <c r="B632" s="3">
        <v>46280</v>
      </c>
      <c r="C632" t="s">
        <v>576</v>
      </c>
      <c r="D632" t="s">
        <v>471</v>
      </c>
      <c r="E632">
        <v>47</v>
      </c>
      <c r="F632" t="s">
        <v>355</v>
      </c>
      <c r="G632" t="s">
        <v>4222</v>
      </c>
      <c r="H632" t="s">
        <v>5475</v>
      </c>
      <c r="I632" t="s">
        <v>106</v>
      </c>
      <c r="J632" t="s">
        <v>2513</v>
      </c>
    </row>
    <row r="633" spans="1:10" x14ac:dyDescent="0.25">
      <c r="A633" t="s">
        <v>5476</v>
      </c>
      <c r="B633" s="3">
        <v>46280</v>
      </c>
      <c r="C633" t="s">
        <v>561</v>
      </c>
      <c r="D633" t="s">
        <v>484</v>
      </c>
      <c r="E633">
        <v>47</v>
      </c>
      <c r="F633" t="s">
        <v>469</v>
      </c>
      <c r="G633" t="s">
        <v>4222</v>
      </c>
      <c r="H633" t="s">
        <v>5477</v>
      </c>
      <c r="I633" t="s">
        <v>310</v>
      </c>
      <c r="J633" t="s">
        <v>2513</v>
      </c>
    </row>
    <row r="634" spans="1:10" x14ac:dyDescent="0.25">
      <c r="A634" t="s">
        <v>5478</v>
      </c>
      <c r="B634" s="3">
        <v>46280</v>
      </c>
      <c r="C634" t="s">
        <v>247</v>
      </c>
      <c r="D634" t="s">
        <v>227</v>
      </c>
      <c r="E634">
        <v>15</v>
      </c>
      <c r="F634" t="s">
        <v>2</v>
      </c>
      <c r="G634" t="s">
        <v>4231</v>
      </c>
      <c r="H634" t="s">
        <v>5479</v>
      </c>
      <c r="I634" t="s">
        <v>164</v>
      </c>
      <c r="J634" t="s">
        <v>2503</v>
      </c>
    </row>
    <row r="635" spans="1:10" x14ac:dyDescent="0.25">
      <c r="A635" t="s">
        <v>5480</v>
      </c>
      <c r="B635" s="3">
        <v>46280</v>
      </c>
      <c r="C635" t="s">
        <v>275</v>
      </c>
      <c r="D635" t="s">
        <v>218</v>
      </c>
      <c r="E635">
        <v>37</v>
      </c>
      <c r="F635" t="s">
        <v>2</v>
      </c>
      <c r="G635" t="s">
        <v>4228</v>
      </c>
      <c r="H635" t="s">
        <v>5481</v>
      </c>
      <c r="I635" t="s">
        <v>259</v>
      </c>
      <c r="J635" t="s">
        <v>2503</v>
      </c>
    </row>
    <row r="636" spans="1:10" x14ac:dyDescent="0.25">
      <c r="A636" t="s">
        <v>5482</v>
      </c>
      <c r="B636" s="3">
        <v>46280</v>
      </c>
      <c r="C636" t="s">
        <v>497</v>
      </c>
      <c r="D636" t="s">
        <v>471</v>
      </c>
      <c r="E636">
        <v>22</v>
      </c>
      <c r="F636" t="s">
        <v>355</v>
      </c>
      <c r="G636" t="s">
        <v>4234</v>
      </c>
      <c r="H636" t="s">
        <v>5483</v>
      </c>
      <c r="I636" t="s">
        <v>67</v>
      </c>
      <c r="J636" t="s">
        <v>2500</v>
      </c>
    </row>
    <row r="637" spans="1:10" x14ac:dyDescent="0.25">
      <c r="A637" t="s">
        <v>5484</v>
      </c>
      <c r="B637" s="3">
        <v>46280</v>
      </c>
      <c r="C637" t="s">
        <v>406</v>
      </c>
      <c r="D637" t="s">
        <v>366</v>
      </c>
      <c r="E637">
        <v>36</v>
      </c>
      <c r="F637" t="s">
        <v>2</v>
      </c>
      <c r="G637" t="s">
        <v>4225</v>
      </c>
      <c r="H637" t="s">
        <v>5485</v>
      </c>
      <c r="I637" t="s">
        <v>64</v>
      </c>
      <c r="J637" t="s">
        <v>2500</v>
      </c>
    </row>
    <row r="638" spans="1:10" x14ac:dyDescent="0.25">
      <c r="A638" t="s">
        <v>5486</v>
      </c>
      <c r="B638" s="3">
        <v>46280</v>
      </c>
      <c r="C638" t="s">
        <v>486</v>
      </c>
      <c r="D638" t="s">
        <v>479</v>
      </c>
      <c r="E638">
        <v>45</v>
      </c>
      <c r="F638" t="s">
        <v>469</v>
      </c>
      <c r="G638" t="s">
        <v>4228</v>
      </c>
      <c r="H638" t="s">
        <v>5487</v>
      </c>
      <c r="I638" t="s">
        <v>52</v>
      </c>
      <c r="J638" t="s">
        <v>2509</v>
      </c>
    </row>
    <row r="639" spans="1:10" x14ac:dyDescent="0.25">
      <c r="A639" t="s">
        <v>5488</v>
      </c>
      <c r="B639" s="3">
        <v>46280</v>
      </c>
      <c r="C639" t="s">
        <v>590</v>
      </c>
      <c r="D639" t="s">
        <v>585</v>
      </c>
      <c r="E639">
        <v>20</v>
      </c>
      <c r="F639" t="s">
        <v>355</v>
      </c>
      <c r="G639" t="s">
        <v>4228</v>
      </c>
      <c r="H639" t="s">
        <v>5489</v>
      </c>
      <c r="I639" t="s">
        <v>246</v>
      </c>
      <c r="J639" t="s">
        <v>2500</v>
      </c>
    </row>
    <row r="640" spans="1:10" x14ac:dyDescent="0.25">
      <c r="A640" t="s">
        <v>5490</v>
      </c>
      <c r="B640" s="3">
        <v>46280</v>
      </c>
      <c r="C640" t="s">
        <v>615</v>
      </c>
      <c r="D640" t="s">
        <v>589</v>
      </c>
      <c r="E640">
        <v>24</v>
      </c>
      <c r="F640" t="s">
        <v>469</v>
      </c>
      <c r="G640" t="s">
        <v>4225</v>
      </c>
      <c r="H640" t="s">
        <v>5491</v>
      </c>
      <c r="I640" t="s">
        <v>95</v>
      </c>
      <c r="J640" t="s">
        <v>2513</v>
      </c>
    </row>
    <row r="641" spans="1:10" x14ac:dyDescent="0.25">
      <c r="A641" t="s">
        <v>5492</v>
      </c>
      <c r="B641" s="3">
        <v>46280</v>
      </c>
      <c r="C641" t="s">
        <v>391</v>
      </c>
      <c r="D641" t="s">
        <v>357</v>
      </c>
      <c r="E641">
        <v>37</v>
      </c>
      <c r="F641" t="s">
        <v>358</v>
      </c>
      <c r="G641" t="s">
        <v>4222</v>
      </c>
      <c r="H641" t="s">
        <v>5493</v>
      </c>
      <c r="I641" t="s">
        <v>221</v>
      </c>
      <c r="J641" t="s">
        <v>2513</v>
      </c>
    </row>
    <row r="642" spans="1:10" x14ac:dyDescent="0.25">
      <c r="A642" t="s">
        <v>5494</v>
      </c>
      <c r="B642" s="3">
        <v>46280</v>
      </c>
      <c r="C642" t="s">
        <v>291</v>
      </c>
      <c r="D642" t="s">
        <v>240</v>
      </c>
      <c r="E642">
        <v>14</v>
      </c>
      <c r="F642" t="s">
        <v>2</v>
      </c>
      <c r="G642" t="s">
        <v>4225</v>
      </c>
      <c r="H642" t="s">
        <v>4724</v>
      </c>
      <c r="I642" t="s">
        <v>292</v>
      </c>
      <c r="J642" t="s">
        <v>2503</v>
      </c>
    </row>
    <row r="643" spans="1:10" x14ac:dyDescent="0.25">
      <c r="A643" t="s">
        <v>5495</v>
      </c>
      <c r="B643" s="3">
        <v>46280</v>
      </c>
      <c r="C643" t="s">
        <v>141</v>
      </c>
      <c r="D643" t="s">
        <v>66</v>
      </c>
      <c r="E643">
        <v>3</v>
      </c>
      <c r="F643" t="s">
        <v>2</v>
      </c>
      <c r="G643" t="s">
        <v>4225</v>
      </c>
      <c r="H643" t="s">
        <v>5496</v>
      </c>
      <c r="I643" t="s">
        <v>142</v>
      </c>
      <c r="J643" t="s">
        <v>2500</v>
      </c>
    </row>
    <row r="644" spans="1:10" x14ac:dyDescent="0.25">
      <c r="A644" t="s">
        <v>5497</v>
      </c>
      <c r="B644" s="3">
        <v>46280</v>
      </c>
      <c r="C644" t="s">
        <v>347</v>
      </c>
      <c r="D644" t="s">
        <v>344</v>
      </c>
      <c r="E644">
        <v>3</v>
      </c>
      <c r="F644" t="s">
        <v>346</v>
      </c>
      <c r="G644" t="s">
        <v>4222</v>
      </c>
      <c r="H644" t="s">
        <v>5498</v>
      </c>
      <c r="I644" t="s">
        <v>185</v>
      </c>
      <c r="J644" t="s">
        <v>2500</v>
      </c>
    </row>
    <row r="645" spans="1:10" x14ac:dyDescent="0.25">
      <c r="A645" t="s">
        <v>5499</v>
      </c>
      <c r="B645" s="3">
        <v>46281</v>
      </c>
      <c r="C645" t="s">
        <v>584</v>
      </c>
      <c r="D645" t="s">
        <v>585</v>
      </c>
      <c r="E645">
        <v>23</v>
      </c>
      <c r="F645" t="s">
        <v>355</v>
      </c>
      <c r="G645" t="s">
        <v>4234</v>
      </c>
      <c r="H645" t="s">
        <v>5500</v>
      </c>
      <c r="I645" t="s">
        <v>129</v>
      </c>
      <c r="J645" t="s">
        <v>2503</v>
      </c>
    </row>
    <row r="646" spans="1:10" x14ac:dyDescent="0.25">
      <c r="A646" t="s">
        <v>5501</v>
      </c>
      <c r="B646" s="3">
        <v>46281</v>
      </c>
      <c r="C646" t="s">
        <v>429</v>
      </c>
      <c r="D646" t="s">
        <v>351</v>
      </c>
      <c r="E646">
        <v>16</v>
      </c>
      <c r="F646" t="s">
        <v>2</v>
      </c>
      <c r="G646" t="s">
        <v>4231</v>
      </c>
      <c r="H646" t="s">
        <v>5502</v>
      </c>
      <c r="I646" t="s">
        <v>126</v>
      </c>
      <c r="J646" t="s">
        <v>2513</v>
      </c>
    </row>
    <row r="647" spans="1:10" x14ac:dyDescent="0.25">
      <c r="A647" t="s">
        <v>5503</v>
      </c>
      <c r="B647" s="3">
        <v>46281</v>
      </c>
      <c r="C647" t="s">
        <v>421</v>
      </c>
      <c r="D647" t="s">
        <v>360</v>
      </c>
      <c r="E647">
        <v>9</v>
      </c>
      <c r="F647" t="s">
        <v>358</v>
      </c>
      <c r="G647" t="s">
        <v>4222</v>
      </c>
      <c r="H647" t="s">
        <v>5504</v>
      </c>
      <c r="I647" t="s">
        <v>144</v>
      </c>
      <c r="J647" t="s">
        <v>2513</v>
      </c>
    </row>
    <row r="648" spans="1:10" x14ac:dyDescent="0.25">
      <c r="A648" t="s">
        <v>5505</v>
      </c>
      <c r="B648" s="3">
        <v>46281</v>
      </c>
      <c r="C648" t="s">
        <v>199</v>
      </c>
      <c r="D648" t="s">
        <v>163</v>
      </c>
      <c r="E648">
        <v>41</v>
      </c>
      <c r="F648" t="s">
        <v>2</v>
      </c>
      <c r="G648" t="s">
        <v>4231</v>
      </c>
      <c r="H648" t="s">
        <v>5506</v>
      </c>
      <c r="I648" t="s">
        <v>75</v>
      </c>
      <c r="J648" t="s">
        <v>2500</v>
      </c>
    </row>
    <row r="649" spans="1:10" x14ac:dyDescent="0.25">
      <c r="A649" t="s">
        <v>5507</v>
      </c>
      <c r="B649" s="3">
        <v>46281</v>
      </c>
      <c r="C649" t="s">
        <v>417</v>
      </c>
      <c r="D649" t="s">
        <v>349</v>
      </c>
      <c r="E649">
        <v>34</v>
      </c>
      <c r="F649" t="s">
        <v>2</v>
      </c>
      <c r="G649" t="s">
        <v>4234</v>
      </c>
      <c r="H649" t="s">
        <v>5508</v>
      </c>
      <c r="I649" t="s">
        <v>75</v>
      </c>
      <c r="J649" t="s">
        <v>2513</v>
      </c>
    </row>
    <row r="650" spans="1:10" x14ac:dyDescent="0.25">
      <c r="A650" t="s">
        <v>5509</v>
      </c>
      <c r="B650" s="3">
        <v>46281</v>
      </c>
      <c r="C650" t="s">
        <v>70</v>
      </c>
      <c r="D650" t="s">
        <v>1</v>
      </c>
      <c r="E650">
        <v>4</v>
      </c>
      <c r="F650" t="s">
        <v>2</v>
      </c>
      <c r="G650" t="s">
        <v>4222</v>
      </c>
      <c r="H650" t="s">
        <v>5510</v>
      </c>
      <c r="I650" t="s">
        <v>71</v>
      </c>
      <c r="J650" t="s">
        <v>2503</v>
      </c>
    </row>
    <row r="651" spans="1:10" x14ac:dyDescent="0.25">
      <c r="A651" t="s">
        <v>5511</v>
      </c>
      <c r="B651" s="3">
        <v>46281</v>
      </c>
      <c r="C651" t="s">
        <v>646</v>
      </c>
      <c r="D651" t="s">
        <v>599</v>
      </c>
      <c r="E651">
        <v>25</v>
      </c>
      <c r="F651" t="s">
        <v>2</v>
      </c>
      <c r="G651" t="s">
        <v>4228</v>
      </c>
      <c r="H651" t="s">
        <v>5512</v>
      </c>
      <c r="I651" t="s">
        <v>294</v>
      </c>
      <c r="J651" t="s">
        <v>2500</v>
      </c>
    </row>
    <row r="652" spans="1:10" x14ac:dyDescent="0.25">
      <c r="A652" t="s">
        <v>5513</v>
      </c>
      <c r="B652" s="3">
        <v>46281</v>
      </c>
      <c r="C652" t="s">
        <v>296</v>
      </c>
      <c r="D652" t="s">
        <v>234</v>
      </c>
      <c r="E652">
        <v>43</v>
      </c>
      <c r="F652" t="s">
        <v>2</v>
      </c>
      <c r="G652" t="s">
        <v>4222</v>
      </c>
      <c r="H652" t="s">
        <v>5514</v>
      </c>
      <c r="I652" t="s">
        <v>297</v>
      </c>
      <c r="J652" t="s">
        <v>2513</v>
      </c>
    </row>
    <row r="653" spans="1:10" x14ac:dyDescent="0.25">
      <c r="A653" t="s">
        <v>5515</v>
      </c>
      <c r="B653" s="3">
        <v>46281</v>
      </c>
      <c r="C653" t="s">
        <v>605</v>
      </c>
      <c r="D653" t="s">
        <v>589</v>
      </c>
      <c r="E653">
        <v>49</v>
      </c>
      <c r="F653" t="s">
        <v>469</v>
      </c>
      <c r="G653" t="s">
        <v>4231</v>
      </c>
      <c r="H653" t="s">
        <v>5516</v>
      </c>
      <c r="I653" t="s">
        <v>117</v>
      </c>
      <c r="J653" t="s">
        <v>2513</v>
      </c>
    </row>
    <row r="654" spans="1:10" x14ac:dyDescent="0.25">
      <c r="A654" t="s">
        <v>5517</v>
      </c>
      <c r="B654" s="3">
        <v>46281</v>
      </c>
      <c r="C654" t="s">
        <v>636</v>
      </c>
      <c r="D654" t="s">
        <v>602</v>
      </c>
      <c r="E654">
        <v>1</v>
      </c>
      <c r="F654" t="s">
        <v>2</v>
      </c>
      <c r="G654" t="s">
        <v>4234</v>
      </c>
      <c r="H654" t="s">
        <v>4767</v>
      </c>
      <c r="I654" t="s">
        <v>183</v>
      </c>
      <c r="J654" t="s">
        <v>2503</v>
      </c>
    </row>
    <row r="655" spans="1:10" x14ac:dyDescent="0.25">
      <c r="A655" t="s">
        <v>5518</v>
      </c>
      <c r="B655" s="3">
        <v>46281</v>
      </c>
      <c r="C655" t="s">
        <v>190</v>
      </c>
      <c r="D655" t="s">
        <v>29</v>
      </c>
      <c r="E655">
        <v>2</v>
      </c>
      <c r="F655" t="s">
        <v>2</v>
      </c>
      <c r="G655" t="s">
        <v>4234</v>
      </c>
      <c r="H655" t="s">
        <v>5519</v>
      </c>
      <c r="I655" t="s">
        <v>77</v>
      </c>
      <c r="J655" t="s">
        <v>2513</v>
      </c>
    </row>
    <row r="656" spans="1:10" x14ac:dyDescent="0.25">
      <c r="A656" t="s">
        <v>5520</v>
      </c>
      <c r="B656" s="3">
        <v>46281</v>
      </c>
      <c r="C656" t="s">
        <v>266</v>
      </c>
      <c r="D656" t="s">
        <v>240</v>
      </c>
      <c r="E656">
        <v>40</v>
      </c>
      <c r="F656" t="s">
        <v>2</v>
      </c>
      <c r="G656" t="s">
        <v>4222</v>
      </c>
      <c r="H656" t="s">
        <v>5521</v>
      </c>
      <c r="I656" t="s">
        <v>108</v>
      </c>
      <c r="J656" t="s">
        <v>2503</v>
      </c>
    </row>
    <row r="657" spans="1:10" x14ac:dyDescent="0.25">
      <c r="A657" t="s">
        <v>5522</v>
      </c>
      <c r="B657" s="3">
        <v>46281</v>
      </c>
      <c r="C657" t="s">
        <v>112</v>
      </c>
      <c r="D657" t="s">
        <v>29</v>
      </c>
      <c r="E657">
        <v>29</v>
      </c>
      <c r="F657" t="s">
        <v>2</v>
      </c>
      <c r="G657" t="s">
        <v>4228</v>
      </c>
      <c r="H657" t="s">
        <v>5523</v>
      </c>
      <c r="I657" t="s">
        <v>113</v>
      </c>
      <c r="J657" t="s">
        <v>2503</v>
      </c>
    </row>
    <row r="658" spans="1:10" x14ac:dyDescent="0.25">
      <c r="A658" t="s">
        <v>5524</v>
      </c>
      <c r="B658" s="3">
        <v>46281</v>
      </c>
      <c r="C658" t="s">
        <v>156</v>
      </c>
      <c r="D658" t="s">
        <v>15</v>
      </c>
      <c r="E658">
        <v>55</v>
      </c>
      <c r="F658" t="s">
        <v>2</v>
      </c>
      <c r="G658" t="s">
        <v>4228</v>
      </c>
      <c r="H658" t="s">
        <v>5525</v>
      </c>
      <c r="I658" t="s">
        <v>98</v>
      </c>
      <c r="J658" t="s">
        <v>2509</v>
      </c>
    </row>
    <row r="659" spans="1:10" x14ac:dyDescent="0.25">
      <c r="A659" t="s">
        <v>5526</v>
      </c>
      <c r="B659" s="3">
        <v>46281</v>
      </c>
      <c r="C659" t="s">
        <v>559</v>
      </c>
      <c r="D659" t="s">
        <v>502</v>
      </c>
      <c r="E659">
        <v>26</v>
      </c>
      <c r="F659" t="s">
        <v>469</v>
      </c>
      <c r="G659" t="s">
        <v>4234</v>
      </c>
      <c r="H659" t="s">
        <v>5527</v>
      </c>
      <c r="I659" t="s">
        <v>324</v>
      </c>
      <c r="J659" t="s">
        <v>2500</v>
      </c>
    </row>
    <row r="660" spans="1:10" x14ac:dyDescent="0.25">
      <c r="A660" t="s">
        <v>5528</v>
      </c>
      <c r="B660" s="3">
        <v>46281</v>
      </c>
      <c r="C660" t="s">
        <v>684</v>
      </c>
      <c r="D660" t="s">
        <v>602</v>
      </c>
      <c r="E660">
        <v>9</v>
      </c>
      <c r="F660" t="s">
        <v>2</v>
      </c>
      <c r="G660" t="s">
        <v>4222</v>
      </c>
      <c r="H660" t="s">
        <v>5529</v>
      </c>
      <c r="I660" t="s">
        <v>142</v>
      </c>
      <c r="J660" t="s">
        <v>2503</v>
      </c>
    </row>
    <row r="661" spans="1:10" x14ac:dyDescent="0.25">
      <c r="A661" t="s">
        <v>5530</v>
      </c>
      <c r="B661" s="3">
        <v>46281</v>
      </c>
      <c r="C661" t="s">
        <v>604</v>
      </c>
      <c r="D661" t="s">
        <v>599</v>
      </c>
      <c r="E661">
        <v>51</v>
      </c>
      <c r="F661" t="s">
        <v>2</v>
      </c>
      <c r="G661" t="s">
        <v>4228</v>
      </c>
      <c r="H661" t="s">
        <v>4997</v>
      </c>
      <c r="I661" t="s">
        <v>110</v>
      </c>
      <c r="J661" t="s">
        <v>2513</v>
      </c>
    </row>
    <row r="662" spans="1:10" x14ac:dyDescent="0.25">
      <c r="A662" t="s">
        <v>5531</v>
      </c>
      <c r="B662" s="3">
        <v>46281</v>
      </c>
      <c r="C662" t="s">
        <v>118</v>
      </c>
      <c r="D662" t="s">
        <v>66</v>
      </c>
      <c r="E662">
        <v>11</v>
      </c>
      <c r="F662" t="s">
        <v>2</v>
      </c>
      <c r="G662" t="s">
        <v>4231</v>
      </c>
      <c r="H662" t="s">
        <v>5532</v>
      </c>
      <c r="I662" t="s">
        <v>119</v>
      </c>
      <c r="J662" t="s">
        <v>2500</v>
      </c>
    </row>
    <row r="663" spans="1:10" x14ac:dyDescent="0.25">
      <c r="A663" t="s">
        <v>5533</v>
      </c>
      <c r="B663" s="3">
        <v>46281</v>
      </c>
      <c r="C663" t="s">
        <v>511</v>
      </c>
      <c r="D663" t="s">
        <v>502</v>
      </c>
      <c r="E663">
        <v>42</v>
      </c>
      <c r="F663" t="s">
        <v>469</v>
      </c>
      <c r="G663" t="s">
        <v>4222</v>
      </c>
      <c r="H663" t="s">
        <v>5534</v>
      </c>
      <c r="I663" t="s">
        <v>512</v>
      </c>
      <c r="J663" t="s">
        <v>2500</v>
      </c>
    </row>
    <row r="664" spans="1:10" x14ac:dyDescent="0.25">
      <c r="A664" t="s">
        <v>5535</v>
      </c>
      <c r="B664" s="3">
        <v>46281</v>
      </c>
      <c r="C664" t="s">
        <v>505</v>
      </c>
      <c r="D664" t="s">
        <v>479</v>
      </c>
      <c r="E664">
        <v>41</v>
      </c>
      <c r="F664" t="s">
        <v>469</v>
      </c>
      <c r="G664" t="s">
        <v>4234</v>
      </c>
      <c r="H664" t="s">
        <v>5536</v>
      </c>
      <c r="I664" t="s">
        <v>69</v>
      </c>
      <c r="J664" t="s">
        <v>2503</v>
      </c>
    </row>
    <row r="665" spans="1:10" x14ac:dyDescent="0.25">
      <c r="A665" t="s">
        <v>5537</v>
      </c>
      <c r="B665" s="3">
        <v>46281</v>
      </c>
      <c r="C665" t="s">
        <v>134</v>
      </c>
      <c r="D665" t="s">
        <v>47</v>
      </c>
      <c r="E665">
        <v>11</v>
      </c>
      <c r="F665" t="s">
        <v>2</v>
      </c>
      <c r="G665" t="s">
        <v>4222</v>
      </c>
      <c r="H665" t="s">
        <v>5538</v>
      </c>
      <c r="I665" t="s">
        <v>38</v>
      </c>
      <c r="J665" t="s">
        <v>2509</v>
      </c>
    </row>
    <row r="666" spans="1:10" x14ac:dyDescent="0.25">
      <c r="A666" t="s">
        <v>5539</v>
      </c>
      <c r="B666" s="3">
        <v>46281</v>
      </c>
      <c r="C666" t="s">
        <v>622</v>
      </c>
      <c r="D666" t="s">
        <v>585</v>
      </c>
      <c r="E666">
        <v>10</v>
      </c>
      <c r="F666" t="s">
        <v>355</v>
      </c>
      <c r="G666" t="s">
        <v>4222</v>
      </c>
      <c r="H666" t="s">
        <v>5540</v>
      </c>
      <c r="I666" t="s">
        <v>71</v>
      </c>
      <c r="J666" t="s">
        <v>2513</v>
      </c>
    </row>
    <row r="667" spans="1:10" x14ac:dyDescent="0.25">
      <c r="A667" t="s">
        <v>5541</v>
      </c>
      <c r="B667" s="3">
        <v>46281</v>
      </c>
      <c r="C667" t="s">
        <v>381</v>
      </c>
      <c r="D667" t="s">
        <v>382</v>
      </c>
      <c r="E667">
        <v>30</v>
      </c>
      <c r="F667" t="s">
        <v>383</v>
      </c>
      <c r="G667" t="s">
        <v>4234</v>
      </c>
      <c r="H667" t="s">
        <v>5542</v>
      </c>
      <c r="I667" t="s">
        <v>106</v>
      </c>
      <c r="J667" t="s">
        <v>2513</v>
      </c>
    </row>
    <row r="668" spans="1:10" x14ac:dyDescent="0.25">
      <c r="A668" t="s">
        <v>5543</v>
      </c>
      <c r="B668" s="3">
        <v>46281</v>
      </c>
      <c r="C668" t="s">
        <v>334</v>
      </c>
      <c r="D668" t="s">
        <v>218</v>
      </c>
      <c r="E668">
        <v>26</v>
      </c>
      <c r="F668" t="s">
        <v>2</v>
      </c>
      <c r="G668" t="s">
        <v>4225</v>
      </c>
      <c r="H668" t="s">
        <v>5544</v>
      </c>
      <c r="I668" t="s">
        <v>181</v>
      </c>
      <c r="J668" t="s">
        <v>2509</v>
      </c>
    </row>
    <row r="669" spans="1:10" x14ac:dyDescent="0.25">
      <c r="A669" t="s">
        <v>5545</v>
      </c>
      <c r="B669" s="3">
        <v>46281</v>
      </c>
      <c r="C669" t="s">
        <v>664</v>
      </c>
      <c r="D669" t="s">
        <v>612</v>
      </c>
      <c r="E669">
        <v>31</v>
      </c>
      <c r="F669" t="s">
        <v>2</v>
      </c>
      <c r="G669" t="s">
        <v>4234</v>
      </c>
      <c r="H669" t="s">
        <v>5546</v>
      </c>
      <c r="I669" t="s">
        <v>265</v>
      </c>
      <c r="J669" t="s">
        <v>2509</v>
      </c>
    </row>
    <row r="670" spans="1:10" x14ac:dyDescent="0.25">
      <c r="A670" t="s">
        <v>5547</v>
      </c>
      <c r="B670" s="3">
        <v>46281</v>
      </c>
      <c r="C670" t="s">
        <v>662</v>
      </c>
      <c r="D670" t="s">
        <v>599</v>
      </c>
      <c r="E670">
        <v>31</v>
      </c>
      <c r="F670" t="s">
        <v>2</v>
      </c>
      <c r="G670" t="s">
        <v>4231</v>
      </c>
      <c r="H670" t="s">
        <v>5548</v>
      </c>
      <c r="I670" t="s">
        <v>83</v>
      </c>
      <c r="J670" t="s">
        <v>2500</v>
      </c>
    </row>
    <row r="671" spans="1:10" x14ac:dyDescent="0.25">
      <c r="A671" t="s">
        <v>5549</v>
      </c>
      <c r="B671" s="3">
        <v>46281</v>
      </c>
      <c r="C671" t="s">
        <v>236</v>
      </c>
      <c r="D671" t="s">
        <v>223</v>
      </c>
      <c r="E671">
        <v>17</v>
      </c>
      <c r="F671" t="s">
        <v>2</v>
      </c>
      <c r="G671" t="s">
        <v>4234</v>
      </c>
      <c r="H671" t="s">
        <v>5550</v>
      </c>
      <c r="I671" t="s">
        <v>34</v>
      </c>
      <c r="J671" t="s">
        <v>2513</v>
      </c>
    </row>
    <row r="672" spans="1:10" x14ac:dyDescent="0.25">
      <c r="A672" t="s">
        <v>5551</v>
      </c>
      <c r="B672" s="3">
        <v>46281</v>
      </c>
      <c r="C672" t="s">
        <v>630</v>
      </c>
      <c r="D672" t="s">
        <v>594</v>
      </c>
      <c r="E672">
        <v>25</v>
      </c>
      <c r="F672" t="s">
        <v>595</v>
      </c>
      <c r="G672" t="s">
        <v>4231</v>
      </c>
      <c r="H672" t="s">
        <v>5552</v>
      </c>
      <c r="I672" t="s">
        <v>312</v>
      </c>
      <c r="J672" t="s">
        <v>2513</v>
      </c>
    </row>
    <row r="673" spans="1:10" x14ac:dyDescent="0.25">
      <c r="A673" t="s">
        <v>5553</v>
      </c>
      <c r="B673" s="3">
        <v>46281</v>
      </c>
      <c r="C673" t="s">
        <v>615</v>
      </c>
      <c r="D673" t="s">
        <v>589</v>
      </c>
      <c r="E673">
        <v>1</v>
      </c>
      <c r="F673" t="s">
        <v>469</v>
      </c>
      <c r="G673" t="s">
        <v>4225</v>
      </c>
      <c r="H673" t="s">
        <v>5554</v>
      </c>
      <c r="I673" t="s">
        <v>95</v>
      </c>
      <c r="J673" t="s">
        <v>2513</v>
      </c>
    </row>
    <row r="674" spans="1:10" x14ac:dyDescent="0.25">
      <c r="A674" t="s">
        <v>5555</v>
      </c>
      <c r="B674" s="3">
        <v>46281</v>
      </c>
      <c r="C674" t="s">
        <v>580</v>
      </c>
      <c r="D674" t="s">
        <v>490</v>
      </c>
      <c r="E674">
        <v>26</v>
      </c>
      <c r="F674" t="s">
        <v>355</v>
      </c>
      <c r="G674" t="s">
        <v>4225</v>
      </c>
      <c r="H674" t="s">
        <v>5556</v>
      </c>
      <c r="I674" t="s">
        <v>69</v>
      </c>
      <c r="J674" t="s">
        <v>2500</v>
      </c>
    </row>
    <row r="675" spans="1:10" x14ac:dyDescent="0.25">
      <c r="A675" t="s">
        <v>5557</v>
      </c>
      <c r="B675" s="3">
        <v>46281</v>
      </c>
      <c r="C675" t="s">
        <v>571</v>
      </c>
      <c r="D675" t="s">
        <v>488</v>
      </c>
      <c r="E675">
        <v>26</v>
      </c>
      <c r="F675" t="s">
        <v>469</v>
      </c>
      <c r="G675" t="s">
        <v>4234</v>
      </c>
      <c r="H675" t="s">
        <v>5558</v>
      </c>
      <c r="I675" t="s">
        <v>289</v>
      </c>
      <c r="J675" t="s">
        <v>2509</v>
      </c>
    </row>
    <row r="676" spans="1:10" x14ac:dyDescent="0.25">
      <c r="A676" t="s">
        <v>5559</v>
      </c>
      <c r="B676" s="3">
        <v>46281</v>
      </c>
      <c r="C676" t="s">
        <v>550</v>
      </c>
      <c r="D676" t="s">
        <v>481</v>
      </c>
      <c r="E676">
        <v>29</v>
      </c>
      <c r="F676" t="s">
        <v>2</v>
      </c>
      <c r="G676" t="s">
        <v>4222</v>
      </c>
      <c r="H676" t="s">
        <v>5560</v>
      </c>
      <c r="I676" t="s">
        <v>59</v>
      </c>
      <c r="J676" t="s">
        <v>2500</v>
      </c>
    </row>
    <row r="677" spans="1:10" x14ac:dyDescent="0.25">
      <c r="A677" t="s">
        <v>5561</v>
      </c>
      <c r="B677" s="3">
        <v>46281</v>
      </c>
      <c r="C677" t="s">
        <v>167</v>
      </c>
      <c r="D677" t="s">
        <v>26</v>
      </c>
      <c r="E677">
        <v>12</v>
      </c>
      <c r="F677" t="s">
        <v>2</v>
      </c>
      <c r="G677" t="s">
        <v>4231</v>
      </c>
      <c r="H677" t="s">
        <v>5562</v>
      </c>
      <c r="I677" t="s">
        <v>64</v>
      </c>
      <c r="J677" t="s">
        <v>2513</v>
      </c>
    </row>
    <row r="678" spans="1:10" x14ac:dyDescent="0.25">
      <c r="A678" t="s">
        <v>5563</v>
      </c>
      <c r="B678" s="3">
        <v>46281</v>
      </c>
      <c r="C678" t="s">
        <v>370</v>
      </c>
      <c r="D678" t="s">
        <v>344</v>
      </c>
      <c r="E678">
        <v>14</v>
      </c>
      <c r="F678" t="s">
        <v>346</v>
      </c>
      <c r="G678" t="s">
        <v>4228</v>
      </c>
      <c r="H678" t="s">
        <v>5564</v>
      </c>
      <c r="I678" t="s">
        <v>24</v>
      </c>
      <c r="J678" t="s">
        <v>2503</v>
      </c>
    </row>
    <row r="679" spans="1:10" x14ac:dyDescent="0.25">
      <c r="A679" t="s">
        <v>5565</v>
      </c>
      <c r="B679" s="3">
        <v>46281</v>
      </c>
      <c r="C679" t="s">
        <v>457</v>
      </c>
      <c r="D679" t="s">
        <v>349</v>
      </c>
      <c r="E679">
        <v>50</v>
      </c>
      <c r="F679" t="s">
        <v>2</v>
      </c>
      <c r="G679" t="s">
        <v>4222</v>
      </c>
      <c r="H679" t="s">
        <v>5566</v>
      </c>
      <c r="I679" t="s">
        <v>175</v>
      </c>
      <c r="J679" t="s">
        <v>2500</v>
      </c>
    </row>
    <row r="680" spans="1:10" x14ac:dyDescent="0.25">
      <c r="A680" t="s">
        <v>5567</v>
      </c>
      <c r="B680" s="3">
        <v>46281</v>
      </c>
      <c r="C680" t="s">
        <v>282</v>
      </c>
      <c r="D680" t="s">
        <v>213</v>
      </c>
      <c r="E680">
        <v>2</v>
      </c>
      <c r="F680" t="s">
        <v>2</v>
      </c>
      <c r="G680" t="s">
        <v>4231</v>
      </c>
      <c r="H680" t="s">
        <v>5568</v>
      </c>
      <c r="I680" t="s">
        <v>83</v>
      </c>
      <c r="J680" t="s">
        <v>2509</v>
      </c>
    </row>
    <row r="681" spans="1:10" x14ac:dyDescent="0.25">
      <c r="A681" t="s">
        <v>5569</v>
      </c>
      <c r="B681" s="3">
        <v>46281</v>
      </c>
      <c r="C681" t="s">
        <v>607</v>
      </c>
      <c r="D681" t="s">
        <v>587</v>
      </c>
      <c r="E681">
        <v>32</v>
      </c>
      <c r="F681" t="s">
        <v>2</v>
      </c>
      <c r="G681" t="s">
        <v>4231</v>
      </c>
      <c r="H681" t="s">
        <v>4441</v>
      </c>
      <c r="I681" t="s">
        <v>149</v>
      </c>
      <c r="J681" t="s">
        <v>2500</v>
      </c>
    </row>
    <row r="682" spans="1:10" x14ac:dyDescent="0.25">
      <c r="A682" t="s">
        <v>5570</v>
      </c>
      <c r="B682" s="3">
        <v>46281</v>
      </c>
      <c r="C682" t="s">
        <v>304</v>
      </c>
      <c r="D682" t="s">
        <v>227</v>
      </c>
      <c r="E682">
        <v>52</v>
      </c>
      <c r="F682" t="s">
        <v>2</v>
      </c>
      <c r="G682" t="s">
        <v>4228</v>
      </c>
      <c r="H682" t="s">
        <v>5571</v>
      </c>
      <c r="I682" t="s">
        <v>305</v>
      </c>
      <c r="J682" t="s">
        <v>2509</v>
      </c>
    </row>
    <row r="683" spans="1:10" x14ac:dyDescent="0.25">
      <c r="A683" t="s">
        <v>5572</v>
      </c>
      <c r="B683" s="3">
        <v>46281</v>
      </c>
      <c r="C683" t="s">
        <v>328</v>
      </c>
      <c r="D683" t="s">
        <v>240</v>
      </c>
      <c r="E683">
        <v>21</v>
      </c>
      <c r="F683" t="s">
        <v>2</v>
      </c>
      <c r="G683" t="s">
        <v>4231</v>
      </c>
      <c r="H683" t="s">
        <v>5573</v>
      </c>
      <c r="I683" t="s">
        <v>189</v>
      </c>
      <c r="J683" t="s">
        <v>2500</v>
      </c>
    </row>
    <row r="684" spans="1:10" x14ac:dyDescent="0.25">
      <c r="A684" t="s">
        <v>5574</v>
      </c>
      <c r="B684" s="3">
        <v>46281</v>
      </c>
      <c r="C684" t="s">
        <v>302</v>
      </c>
      <c r="D684" t="s">
        <v>261</v>
      </c>
      <c r="E684">
        <v>43</v>
      </c>
      <c r="F684" t="s">
        <v>2</v>
      </c>
      <c r="G684" t="s">
        <v>4225</v>
      </c>
      <c r="H684" t="s">
        <v>5575</v>
      </c>
      <c r="I684" t="s">
        <v>133</v>
      </c>
      <c r="J684" t="s">
        <v>2513</v>
      </c>
    </row>
    <row r="685" spans="1:10" x14ac:dyDescent="0.25">
      <c r="A685" t="s">
        <v>5576</v>
      </c>
      <c r="B685" s="3">
        <v>46281</v>
      </c>
      <c r="C685" t="s">
        <v>531</v>
      </c>
      <c r="D685" t="s">
        <v>479</v>
      </c>
      <c r="E685">
        <v>2</v>
      </c>
      <c r="F685" t="s">
        <v>469</v>
      </c>
      <c r="G685" t="s">
        <v>4228</v>
      </c>
      <c r="H685" t="s">
        <v>5577</v>
      </c>
      <c r="I685" t="s">
        <v>129</v>
      </c>
      <c r="J685" t="s">
        <v>2513</v>
      </c>
    </row>
    <row r="686" spans="1:10" x14ac:dyDescent="0.25">
      <c r="A686" t="s">
        <v>5578</v>
      </c>
      <c r="B686" s="3">
        <v>46281</v>
      </c>
      <c r="C686" t="s">
        <v>656</v>
      </c>
      <c r="D686" t="s">
        <v>597</v>
      </c>
      <c r="E686">
        <v>43</v>
      </c>
      <c r="F686" t="s">
        <v>355</v>
      </c>
      <c r="G686" t="s">
        <v>4228</v>
      </c>
      <c r="H686" t="s">
        <v>5579</v>
      </c>
      <c r="I686" t="s">
        <v>95</v>
      </c>
      <c r="J686" t="s">
        <v>2509</v>
      </c>
    </row>
    <row r="687" spans="1:10" x14ac:dyDescent="0.25">
      <c r="A687" t="s">
        <v>5580</v>
      </c>
      <c r="B687" s="3">
        <v>46281</v>
      </c>
      <c r="C687" t="s">
        <v>661</v>
      </c>
      <c r="D687" t="s">
        <v>587</v>
      </c>
      <c r="E687">
        <v>19</v>
      </c>
      <c r="F687" t="s">
        <v>2</v>
      </c>
      <c r="G687" t="s">
        <v>4234</v>
      </c>
      <c r="H687" t="s">
        <v>5581</v>
      </c>
      <c r="I687" t="s">
        <v>87</v>
      </c>
      <c r="J687" t="s">
        <v>2500</v>
      </c>
    </row>
    <row r="688" spans="1:10" x14ac:dyDescent="0.25">
      <c r="A688" t="s">
        <v>5582</v>
      </c>
      <c r="B688" s="3">
        <v>46281</v>
      </c>
      <c r="C688" t="s">
        <v>459</v>
      </c>
      <c r="D688" t="s">
        <v>351</v>
      </c>
      <c r="E688">
        <v>51</v>
      </c>
      <c r="F688" t="s">
        <v>2</v>
      </c>
      <c r="G688" t="s">
        <v>4231</v>
      </c>
      <c r="H688" t="s">
        <v>5583</v>
      </c>
      <c r="I688" t="s">
        <v>77</v>
      </c>
      <c r="J688" t="s">
        <v>2500</v>
      </c>
    </row>
    <row r="689" spans="1:10" x14ac:dyDescent="0.25">
      <c r="A689" t="s">
        <v>5584</v>
      </c>
      <c r="B689" s="3">
        <v>46281</v>
      </c>
      <c r="C689" t="s">
        <v>74</v>
      </c>
      <c r="D689" t="s">
        <v>15</v>
      </c>
      <c r="E689">
        <v>45</v>
      </c>
      <c r="F689" t="s">
        <v>2</v>
      </c>
      <c r="G689" t="s">
        <v>4225</v>
      </c>
      <c r="H689" t="s">
        <v>5585</v>
      </c>
      <c r="I689" t="s">
        <v>75</v>
      </c>
      <c r="J689" t="s">
        <v>2500</v>
      </c>
    </row>
    <row r="690" spans="1:10" x14ac:dyDescent="0.25">
      <c r="A690" t="s">
        <v>5586</v>
      </c>
      <c r="B690" s="3">
        <v>46281</v>
      </c>
      <c r="C690" t="s">
        <v>489</v>
      </c>
      <c r="D690" t="s">
        <v>490</v>
      </c>
      <c r="E690">
        <v>11</v>
      </c>
      <c r="F690" t="s">
        <v>355</v>
      </c>
      <c r="G690" t="s">
        <v>4231</v>
      </c>
      <c r="H690" t="s">
        <v>5587</v>
      </c>
      <c r="I690" t="s">
        <v>183</v>
      </c>
      <c r="J690" t="s">
        <v>2500</v>
      </c>
    </row>
    <row r="691" spans="1:10" x14ac:dyDescent="0.25">
      <c r="A691" t="s">
        <v>5588</v>
      </c>
      <c r="B691" s="3">
        <v>46282</v>
      </c>
      <c r="C691" t="s">
        <v>68</v>
      </c>
      <c r="D691" t="s">
        <v>29</v>
      </c>
      <c r="E691">
        <v>45</v>
      </c>
      <c r="F691" t="s">
        <v>2</v>
      </c>
      <c r="G691" t="s">
        <v>4225</v>
      </c>
      <c r="H691" t="s">
        <v>5589</v>
      </c>
      <c r="I691" t="s">
        <v>69</v>
      </c>
      <c r="J691" t="s">
        <v>2500</v>
      </c>
    </row>
    <row r="692" spans="1:10" x14ac:dyDescent="0.25">
      <c r="A692" t="s">
        <v>5590</v>
      </c>
      <c r="B692" s="3">
        <v>46282</v>
      </c>
      <c r="C692" t="s">
        <v>123</v>
      </c>
      <c r="D692" t="s">
        <v>26</v>
      </c>
      <c r="E692">
        <v>43</v>
      </c>
      <c r="F692" t="s">
        <v>2</v>
      </c>
      <c r="G692" t="s">
        <v>4228</v>
      </c>
      <c r="H692" t="s">
        <v>5591</v>
      </c>
      <c r="I692" t="s">
        <v>124</v>
      </c>
      <c r="J692" t="s">
        <v>2509</v>
      </c>
    </row>
    <row r="693" spans="1:10" x14ac:dyDescent="0.25">
      <c r="A693" t="s">
        <v>5592</v>
      </c>
      <c r="B693" s="3">
        <v>46282</v>
      </c>
      <c r="C693" t="s">
        <v>658</v>
      </c>
      <c r="D693" t="s">
        <v>597</v>
      </c>
      <c r="E693">
        <v>40</v>
      </c>
      <c r="F693" t="s">
        <v>355</v>
      </c>
      <c r="G693" t="s">
        <v>4228</v>
      </c>
      <c r="H693" t="s">
        <v>5593</v>
      </c>
      <c r="I693" t="s">
        <v>113</v>
      </c>
      <c r="J693" t="s">
        <v>2500</v>
      </c>
    </row>
    <row r="694" spans="1:10" x14ac:dyDescent="0.25">
      <c r="A694" t="s">
        <v>5594</v>
      </c>
      <c r="B694" s="3">
        <v>46282</v>
      </c>
      <c r="C694" t="s">
        <v>80</v>
      </c>
      <c r="D694" t="s">
        <v>54</v>
      </c>
      <c r="E694">
        <v>40</v>
      </c>
      <c r="F694" t="s">
        <v>2</v>
      </c>
      <c r="G694" t="s">
        <v>4231</v>
      </c>
      <c r="H694" t="s">
        <v>5595</v>
      </c>
      <c r="I694" t="s">
        <v>83</v>
      </c>
      <c r="J694" t="s">
        <v>2500</v>
      </c>
    </row>
    <row r="695" spans="1:10" x14ac:dyDescent="0.25">
      <c r="A695" t="s">
        <v>5596</v>
      </c>
      <c r="B695" s="3">
        <v>46282</v>
      </c>
      <c r="C695" t="s">
        <v>162</v>
      </c>
      <c r="D695" t="s">
        <v>163</v>
      </c>
      <c r="E695">
        <v>30</v>
      </c>
      <c r="F695" t="s">
        <v>2</v>
      </c>
      <c r="G695" t="s">
        <v>4225</v>
      </c>
      <c r="H695" t="s">
        <v>5597</v>
      </c>
      <c r="I695" t="s">
        <v>164</v>
      </c>
      <c r="J695" t="s">
        <v>2500</v>
      </c>
    </row>
    <row r="696" spans="1:10" x14ac:dyDescent="0.25">
      <c r="A696" t="s">
        <v>5598</v>
      </c>
      <c r="B696" s="3">
        <v>46282</v>
      </c>
      <c r="C696" t="s">
        <v>290</v>
      </c>
      <c r="D696" t="s">
        <v>210</v>
      </c>
      <c r="E696">
        <v>38</v>
      </c>
      <c r="F696" t="s">
        <v>2</v>
      </c>
      <c r="G696" t="s">
        <v>4222</v>
      </c>
      <c r="H696" t="s">
        <v>5599</v>
      </c>
      <c r="I696" t="s">
        <v>124</v>
      </c>
      <c r="J696" t="s">
        <v>2503</v>
      </c>
    </row>
    <row r="697" spans="1:10" x14ac:dyDescent="0.25">
      <c r="A697" t="s">
        <v>5600</v>
      </c>
      <c r="B697" s="3">
        <v>46282</v>
      </c>
      <c r="C697" t="s">
        <v>300</v>
      </c>
      <c r="D697" t="s">
        <v>261</v>
      </c>
      <c r="E697">
        <v>27</v>
      </c>
      <c r="F697" t="s">
        <v>2</v>
      </c>
      <c r="G697" t="s">
        <v>4222</v>
      </c>
      <c r="H697" t="s">
        <v>5601</v>
      </c>
      <c r="I697" t="s">
        <v>201</v>
      </c>
      <c r="J697" t="s">
        <v>2503</v>
      </c>
    </row>
    <row r="698" spans="1:10" x14ac:dyDescent="0.25">
      <c r="A698" t="s">
        <v>5602</v>
      </c>
      <c r="B698" s="3">
        <v>46282</v>
      </c>
      <c r="C698" t="s">
        <v>299</v>
      </c>
      <c r="D698" t="s">
        <v>216</v>
      </c>
      <c r="E698">
        <v>11</v>
      </c>
      <c r="F698" t="s">
        <v>2</v>
      </c>
      <c r="G698" t="s">
        <v>4222</v>
      </c>
      <c r="H698" t="s">
        <v>5603</v>
      </c>
      <c r="I698" t="s">
        <v>155</v>
      </c>
      <c r="J698" t="s">
        <v>2503</v>
      </c>
    </row>
    <row r="699" spans="1:10" x14ac:dyDescent="0.25">
      <c r="A699" t="s">
        <v>5604</v>
      </c>
      <c r="B699" s="3">
        <v>46282</v>
      </c>
      <c r="C699" t="s">
        <v>150</v>
      </c>
      <c r="D699" t="s">
        <v>47</v>
      </c>
      <c r="E699">
        <v>8</v>
      </c>
      <c r="F699" t="s">
        <v>2</v>
      </c>
      <c r="G699" t="s">
        <v>4225</v>
      </c>
      <c r="H699" t="s">
        <v>5605</v>
      </c>
      <c r="I699" t="s">
        <v>71</v>
      </c>
      <c r="J699" t="s">
        <v>2500</v>
      </c>
    </row>
    <row r="700" spans="1:10" x14ac:dyDescent="0.25">
      <c r="A700" t="s">
        <v>5606</v>
      </c>
      <c r="B700" s="3">
        <v>46282</v>
      </c>
      <c r="C700" t="s">
        <v>567</v>
      </c>
      <c r="D700" t="s">
        <v>502</v>
      </c>
      <c r="E700">
        <v>22</v>
      </c>
      <c r="F700" t="s">
        <v>469</v>
      </c>
      <c r="G700" t="s">
        <v>4228</v>
      </c>
      <c r="H700" t="s">
        <v>5607</v>
      </c>
      <c r="I700" t="s">
        <v>152</v>
      </c>
      <c r="J700" t="s">
        <v>2503</v>
      </c>
    </row>
    <row r="701" spans="1:10" x14ac:dyDescent="0.25">
      <c r="A701" t="s">
        <v>5608</v>
      </c>
      <c r="B701" s="3">
        <v>46282</v>
      </c>
      <c r="C701" t="s">
        <v>151</v>
      </c>
      <c r="D701" t="s">
        <v>44</v>
      </c>
      <c r="E701">
        <v>3</v>
      </c>
      <c r="F701" t="s">
        <v>2</v>
      </c>
      <c r="G701" t="s">
        <v>4222</v>
      </c>
      <c r="H701" t="s">
        <v>5609</v>
      </c>
      <c r="I701" t="s">
        <v>152</v>
      </c>
      <c r="J701" t="s">
        <v>2513</v>
      </c>
    </row>
    <row r="702" spans="1:10" x14ac:dyDescent="0.25">
      <c r="A702" t="s">
        <v>5610</v>
      </c>
      <c r="B702" s="3">
        <v>46282</v>
      </c>
      <c r="C702" t="s">
        <v>249</v>
      </c>
      <c r="D702" t="s">
        <v>216</v>
      </c>
      <c r="E702">
        <v>52</v>
      </c>
      <c r="F702" t="s">
        <v>2</v>
      </c>
      <c r="G702" t="s">
        <v>4234</v>
      </c>
      <c r="H702" t="s">
        <v>5611</v>
      </c>
      <c r="I702" t="s">
        <v>250</v>
      </c>
      <c r="J702" t="s">
        <v>2513</v>
      </c>
    </row>
    <row r="703" spans="1:10" x14ac:dyDescent="0.25">
      <c r="A703" t="s">
        <v>5612</v>
      </c>
      <c r="B703" s="3">
        <v>46282</v>
      </c>
      <c r="C703" t="s">
        <v>670</v>
      </c>
      <c r="D703" t="s">
        <v>599</v>
      </c>
      <c r="E703">
        <v>31</v>
      </c>
      <c r="F703" t="s">
        <v>2</v>
      </c>
      <c r="G703" t="s">
        <v>4228</v>
      </c>
      <c r="H703" t="s">
        <v>5613</v>
      </c>
      <c r="I703" t="s">
        <v>93</v>
      </c>
      <c r="J703" t="s">
        <v>2513</v>
      </c>
    </row>
    <row r="704" spans="1:10" x14ac:dyDescent="0.25">
      <c r="A704" t="s">
        <v>5614</v>
      </c>
      <c r="B704" s="3">
        <v>46282</v>
      </c>
      <c r="C704" t="s">
        <v>449</v>
      </c>
      <c r="D704" t="s">
        <v>378</v>
      </c>
      <c r="E704">
        <v>31</v>
      </c>
      <c r="F704" t="s">
        <v>2</v>
      </c>
      <c r="G704" t="s">
        <v>4222</v>
      </c>
      <c r="H704" t="s">
        <v>5615</v>
      </c>
      <c r="I704" t="s">
        <v>77</v>
      </c>
      <c r="J704" t="s">
        <v>2509</v>
      </c>
    </row>
    <row r="705" spans="1:10" x14ac:dyDescent="0.25">
      <c r="A705" t="s">
        <v>5616</v>
      </c>
      <c r="B705" s="3">
        <v>46282</v>
      </c>
      <c r="C705" t="s">
        <v>336</v>
      </c>
      <c r="D705" t="s">
        <v>227</v>
      </c>
      <c r="E705">
        <v>17</v>
      </c>
      <c r="F705" t="s">
        <v>2</v>
      </c>
      <c r="G705" t="s">
        <v>4222</v>
      </c>
      <c r="H705" t="s">
        <v>5617</v>
      </c>
      <c r="I705" t="s">
        <v>330</v>
      </c>
      <c r="J705" t="s">
        <v>2500</v>
      </c>
    </row>
    <row r="706" spans="1:10" x14ac:dyDescent="0.25">
      <c r="A706" t="s">
        <v>5618</v>
      </c>
      <c r="B706" s="3">
        <v>46282</v>
      </c>
      <c r="C706" t="s">
        <v>564</v>
      </c>
      <c r="D706" t="s">
        <v>481</v>
      </c>
      <c r="E706">
        <v>34</v>
      </c>
      <c r="F706" t="s">
        <v>2</v>
      </c>
      <c r="G706" t="s">
        <v>4225</v>
      </c>
      <c r="H706" t="s">
        <v>5619</v>
      </c>
      <c r="I706" t="s">
        <v>164</v>
      </c>
      <c r="J706" t="s">
        <v>2509</v>
      </c>
    </row>
    <row r="707" spans="1:10" x14ac:dyDescent="0.25">
      <c r="A707" t="s">
        <v>5620</v>
      </c>
      <c r="B707" s="3">
        <v>46282</v>
      </c>
      <c r="C707" t="s">
        <v>491</v>
      </c>
      <c r="D707" t="s">
        <v>481</v>
      </c>
      <c r="E707">
        <v>23</v>
      </c>
      <c r="F707" t="s">
        <v>2</v>
      </c>
      <c r="G707" t="s">
        <v>4225</v>
      </c>
      <c r="H707" t="s">
        <v>5621</v>
      </c>
      <c r="I707" t="s">
        <v>324</v>
      </c>
      <c r="J707" t="s">
        <v>2513</v>
      </c>
    </row>
    <row r="708" spans="1:10" x14ac:dyDescent="0.25">
      <c r="A708" t="s">
        <v>5622</v>
      </c>
      <c r="B708" s="3">
        <v>46282</v>
      </c>
      <c r="C708" t="s">
        <v>627</v>
      </c>
      <c r="D708" t="s">
        <v>589</v>
      </c>
      <c r="E708">
        <v>13</v>
      </c>
      <c r="F708" t="s">
        <v>469</v>
      </c>
      <c r="G708" t="s">
        <v>4231</v>
      </c>
      <c r="H708" t="s">
        <v>5623</v>
      </c>
      <c r="I708" t="s">
        <v>149</v>
      </c>
      <c r="J708" t="s">
        <v>2500</v>
      </c>
    </row>
    <row r="709" spans="1:10" x14ac:dyDescent="0.25">
      <c r="A709" t="s">
        <v>5624</v>
      </c>
      <c r="B709" s="3">
        <v>46282</v>
      </c>
      <c r="C709" t="s">
        <v>486</v>
      </c>
      <c r="D709" t="s">
        <v>479</v>
      </c>
      <c r="E709">
        <v>11</v>
      </c>
      <c r="F709" t="s">
        <v>469</v>
      </c>
      <c r="G709" t="s">
        <v>4231</v>
      </c>
      <c r="H709" t="s">
        <v>5560</v>
      </c>
      <c r="I709" t="s">
        <v>52</v>
      </c>
      <c r="J709" t="s">
        <v>2509</v>
      </c>
    </row>
    <row r="710" spans="1:10" x14ac:dyDescent="0.25">
      <c r="A710" t="s">
        <v>5625</v>
      </c>
      <c r="B710" s="3">
        <v>46282</v>
      </c>
      <c r="C710" t="s">
        <v>622</v>
      </c>
      <c r="D710" t="s">
        <v>585</v>
      </c>
      <c r="E710">
        <v>25</v>
      </c>
      <c r="F710" t="s">
        <v>355</v>
      </c>
      <c r="G710" t="s">
        <v>4234</v>
      </c>
      <c r="H710" t="s">
        <v>5626</v>
      </c>
      <c r="I710" t="s">
        <v>71</v>
      </c>
      <c r="J710" t="s">
        <v>2509</v>
      </c>
    </row>
    <row r="711" spans="1:10" x14ac:dyDescent="0.25">
      <c r="A711" t="s">
        <v>5627</v>
      </c>
      <c r="B711" s="3">
        <v>46282</v>
      </c>
      <c r="C711" t="s">
        <v>60</v>
      </c>
      <c r="D711" t="s">
        <v>44</v>
      </c>
      <c r="E711">
        <v>21</v>
      </c>
      <c r="F711" t="s">
        <v>2</v>
      </c>
      <c r="G711" t="s">
        <v>4228</v>
      </c>
      <c r="H711" t="s">
        <v>5628</v>
      </c>
      <c r="I711" t="s">
        <v>27</v>
      </c>
      <c r="J711" t="s">
        <v>2500</v>
      </c>
    </row>
    <row r="712" spans="1:10" x14ac:dyDescent="0.25">
      <c r="A712" t="s">
        <v>5629</v>
      </c>
      <c r="B712" s="3">
        <v>46282</v>
      </c>
      <c r="C712" t="s">
        <v>616</v>
      </c>
      <c r="D712" t="s">
        <v>589</v>
      </c>
      <c r="E712">
        <v>7</v>
      </c>
      <c r="F712" t="s">
        <v>469</v>
      </c>
      <c r="G712" t="s">
        <v>4234</v>
      </c>
      <c r="H712" t="s">
        <v>5630</v>
      </c>
      <c r="I712" t="s">
        <v>110</v>
      </c>
      <c r="J712" t="s">
        <v>2500</v>
      </c>
    </row>
    <row r="713" spans="1:10" x14ac:dyDescent="0.25">
      <c r="A713" t="s">
        <v>5631</v>
      </c>
      <c r="B713" s="3">
        <v>46282</v>
      </c>
      <c r="C713" t="s">
        <v>523</v>
      </c>
      <c r="D713" t="s">
        <v>481</v>
      </c>
      <c r="E713">
        <v>27</v>
      </c>
      <c r="F713" t="s">
        <v>2</v>
      </c>
      <c r="G713" t="s">
        <v>4234</v>
      </c>
      <c r="H713" t="s">
        <v>5632</v>
      </c>
      <c r="I713" t="s">
        <v>175</v>
      </c>
      <c r="J713" t="s">
        <v>2513</v>
      </c>
    </row>
    <row r="714" spans="1:10" x14ac:dyDescent="0.25">
      <c r="A714" t="s">
        <v>5633</v>
      </c>
      <c r="B714" s="3">
        <v>46282</v>
      </c>
      <c r="C714" t="s">
        <v>443</v>
      </c>
      <c r="D714" t="s">
        <v>382</v>
      </c>
      <c r="E714">
        <v>47</v>
      </c>
      <c r="F714" t="s">
        <v>383</v>
      </c>
      <c r="G714" t="s">
        <v>4222</v>
      </c>
      <c r="H714" t="s">
        <v>5634</v>
      </c>
      <c r="I714" t="s">
        <v>330</v>
      </c>
      <c r="J714" t="s">
        <v>2500</v>
      </c>
    </row>
    <row r="715" spans="1:10" x14ac:dyDescent="0.25">
      <c r="A715" t="s">
        <v>5635</v>
      </c>
      <c r="B715" s="3">
        <v>46282</v>
      </c>
      <c r="C715" t="s">
        <v>271</v>
      </c>
      <c r="D715" t="s">
        <v>225</v>
      </c>
      <c r="E715">
        <v>39</v>
      </c>
      <c r="F715" t="s">
        <v>2</v>
      </c>
      <c r="G715" t="s">
        <v>4225</v>
      </c>
      <c r="H715" t="s">
        <v>5636</v>
      </c>
      <c r="I715" t="s">
        <v>147</v>
      </c>
      <c r="J715" t="s">
        <v>2513</v>
      </c>
    </row>
    <row r="716" spans="1:10" x14ac:dyDescent="0.25">
      <c r="A716" t="s">
        <v>5637</v>
      </c>
      <c r="B716" s="3">
        <v>46282</v>
      </c>
      <c r="C716" t="s">
        <v>128</v>
      </c>
      <c r="D716" t="s">
        <v>47</v>
      </c>
      <c r="E716">
        <v>51</v>
      </c>
      <c r="F716" t="s">
        <v>2</v>
      </c>
      <c r="G716" t="s">
        <v>4231</v>
      </c>
      <c r="H716" t="s">
        <v>5638</v>
      </c>
      <c r="I716" t="s">
        <v>129</v>
      </c>
      <c r="J716" t="s">
        <v>2513</v>
      </c>
    </row>
    <row r="717" spans="1:10" x14ac:dyDescent="0.25">
      <c r="A717" t="s">
        <v>5639</v>
      </c>
      <c r="B717" s="3">
        <v>46282</v>
      </c>
      <c r="C717" t="s">
        <v>296</v>
      </c>
      <c r="D717" t="s">
        <v>234</v>
      </c>
      <c r="E717">
        <v>39</v>
      </c>
      <c r="F717" t="s">
        <v>2</v>
      </c>
      <c r="G717" t="s">
        <v>4234</v>
      </c>
      <c r="H717" t="s">
        <v>5640</v>
      </c>
      <c r="I717" t="s">
        <v>297</v>
      </c>
      <c r="J717" t="s">
        <v>2513</v>
      </c>
    </row>
    <row r="718" spans="1:10" x14ac:dyDescent="0.25">
      <c r="A718" t="s">
        <v>5641</v>
      </c>
      <c r="B718" s="3">
        <v>46282</v>
      </c>
      <c r="C718" t="s">
        <v>338</v>
      </c>
      <c r="D718" t="s">
        <v>213</v>
      </c>
      <c r="E718">
        <v>8</v>
      </c>
      <c r="F718" t="s">
        <v>2</v>
      </c>
      <c r="G718" t="s">
        <v>4225</v>
      </c>
      <c r="H718" t="s">
        <v>5642</v>
      </c>
      <c r="I718" t="s">
        <v>34</v>
      </c>
      <c r="J718" t="s">
        <v>2513</v>
      </c>
    </row>
    <row r="719" spans="1:10" x14ac:dyDescent="0.25">
      <c r="A719" t="s">
        <v>5643</v>
      </c>
      <c r="B719" s="3">
        <v>46282</v>
      </c>
      <c r="C719" t="s">
        <v>348</v>
      </c>
      <c r="D719" t="s">
        <v>349</v>
      </c>
      <c r="E719">
        <v>1</v>
      </c>
      <c r="F719" t="s">
        <v>2</v>
      </c>
      <c r="G719" t="s">
        <v>4231</v>
      </c>
      <c r="H719" t="s">
        <v>5644</v>
      </c>
      <c r="I719" t="s">
        <v>171</v>
      </c>
      <c r="J719" t="s">
        <v>2500</v>
      </c>
    </row>
    <row r="720" spans="1:10" x14ac:dyDescent="0.25">
      <c r="A720" t="s">
        <v>5645</v>
      </c>
      <c r="B720" s="3">
        <v>46282</v>
      </c>
      <c r="C720" t="s">
        <v>548</v>
      </c>
      <c r="D720" t="s">
        <v>502</v>
      </c>
      <c r="E720">
        <v>40</v>
      </c>
      <c r="F720" t="s">
        <v>469</v>
      </c>
      <c r="G720" t="s">
        <v>4225</v>
      </c>
      <c r="H720" t="s">
        <v>5646</v>
      </c>
      <c r="I720" t="s">
        <v>181</v>
      </c>
      <c r="J720" t="s">
        <v>2503</v>
      </c>
    </row>
    <row r="721" spans="1:10" x14ac:dyDescent="0.25">
      <c r="A721" t="s">
        <v>5647</v>
      </c>
      <c r="B721" s="3">
        <v>46282</v>
      </c>
      <c r="C721" t="s">
        <v>260</v>
      </c>
      <c r="D721" t="s">
        <v>261</v>
      </c>
      <c r="E721">
        <v>37</v>
      </c>
      <c r="F721" t="s">
        <v>2</v>
      </c>
      <c r="G721" t="s">
        <v>4225</v>
      </c>
      <c r="H721" t="s">
        <v>5648</v>
      </c>
      <c r="I721" t="s">
        <v>45</v>
      </c>
      <c r="J721" t="s">
        <v>2513</v>
      </c>
    </row>
    <row r="722" spans="1:10" x14ac:dyDescent="0.25">
      <c r="A722" t="s">
        <v>5649</v>
      </c>
      <c r="B722" s="3">
        <v>46282</v>
      </c>
      <c r="C722" t="s">
        <v>212</v>
      </c>
      <c r="D722" t="s">
        <v>213</v>
      </c>
      <c r="E722">
        <v>27</v>
      </c>
      <c r="F722" t="s">
        <v>2</v>
      </c>
      <c r="G722" t="s">
        <v>4225</v>
      </c>
      <c r="H722" t="s">
        <v>5650</v>
      </c>
      <c r="I722" t="s">
        <v>129</v>
      </c>
      <c r="J722" t="s">
        <v>2500</v>
      </c>
    </row>
    <row r="723" spans="1:10" x14ac:dyDescent="0.25">
      <c r="A723" t="s">
        <v>5651</v>
      </c>
      <c r="B723" s="3">
        <v>46282</v>
      </c>
      <c r="C723" t="s">
        <v>565</v>
      </c>
      <c r="D723" t="s">
        <v>474</v>
      </c>
      <c r="E723">
        <v>9</v>
      </c>
      <c r="F723" t="s">
        <v>2</v>
      </c>
      <c r="G723" t="s">
        <v>4234</v>
      </c>
      <c r="H723" t="s">
        <v>5652</v>
      </c>
      <c r="I723" t="s">
        <v>45</v>
      </c>
      <c r="J723" t="s">
        <v>2513</v>
      </c>
    </row>
    <row r="724" spans="1:10" x14ac:dyDescent="0.25">
      <c r="A724" t="s">
        <v>5653</v>
      </c>
      <c r="B724" s="3">
        <v>46282</v>
      </c>
      <c r="C724" t="s">
        <v>51</v>
      </c>
      <c r="D724" t="s">
        <v>44</v>
      </c>
      <c r="E724">
        <v>11</v>
      </c>
      <c r="F724" t="s">
        <v>2</v>
      </c>
      <c r="G724" t="s">
        <v>4225</v>
      </c>
      <c r="H724" t="s">
        <v>5654</v>
      </c>
      <c r="I724" t="s">
        <v>52</v>
      </c>
      <c r="J724" t="s">
        <v>2500</v>
      </c>
    </row>
    <row r="725" spans="1:10" x14ac:dyDescent="0.25">
      <c r="A725" t="s">
        <v>5655</v>
      </c>
      <c r="B725" s="3">
        <v>46282</v>
      </c>
      <c r="C725" t="s">
        <v>521</v>
      </c>
      <c r="D725" t="s">
        <v>479</v>
      </c>
      <c r="E725">
        <v>42</v>
      </c>
      <c r="F725" t="s">
        <v>469</v>
      </c>
      <c r="G725" t="s">
        <v>4231</v>
      </c>
      <c r="H725" t="s">
        <v>5656</v>
      </c>
      <c r="I725" t="s">
        <v>289</v>
      </c>
      <c r="J725" t="s">
        <v>2513</v>
      </c>
    </row>
    <row r="726" spans="1:10" x14ac:dyDescent="0.25">
      <c r="A726" t="s">
        <v>5657</v>
      </c>
      <c r="B726" s="3">
        <v>46282</v>
      </c>
      <c r="C726" t="s">
        <v>665</v>
      </c>
      <c r="D726" t="s">
        <v>589</v>
      </c>
      <c r="E726">
        <v>52</v>
      </c>
      <c r="F726" t="s">
        <v>469</v>
      </c>
      <c r="G726" t="s">
        <v>4231</v>
      </c>
      <c r="H726" t="s">
        <v>5658</v>
      </c>
      <c r="I726" t="s">
        <v>274</v>
      </c>
      <c r="J726" t="s">
        <v>2500</v>
      </c>
    </row>
    <row r="727" spans="1:10" x14ac:dyDescent="0.25">
      <c r="A727" t="s">
        <v>5659</v>
      </c>
      <c r="B727" s="3">
        <v>46282</v>
      </c>
      <c r="C727" t="s">
        <v>661</v>
      </c>
      <c r="D727" t="s">
        <v>587</v>
      </c>
      <c r="E727">
        <v>22</v>
      </c>
      <c r="F727" t="s">
        <v>2</v>
      </c>
      <c r="G727" t="s">
        <v>4222</v>
      </c>
      <c r="H727" t="s">
        <v>5660</v>
      </c>
      <c r="I727" t="s">
        <v>87</v>
      </c>
      <c r="J727" t="s">
        <v>2513</v>
      </c>
    </row>
    <row r="728" spans="1:10" x14ac:dyDescent="0.25">
      <c r="A728" t="s">
        <v>5661</v>
      </c>
      <c r="B728" s="3">
        <v>46282</v>
      </c>
      <c r="C728" t="s">
        <v>371</v>
      </c>
      <c r="D728" t="s">
        <v>364</v>
      </c>
      <c r="E728">
        <v>49</v>
      </c>
      <c r="F728" t="s">
        <v>358</v>
      </c>
      <c r="G728" t="s">
        <v>4231</v>
      </c>
      <c r="H728" t="s">
        <v>5662</v>
      </c>
      <c r="I728" t="s">
        <v>121</v>
      </c>
      <c r="J728" t="s">
        <v>2500</v>
      </c>
    </row>
    <row r="729" spans="1:10" x14ac:dyDescent="0.25">
      <c r="A729" t="s">
        <v>5663</v>
      </c>
      <c r="B729" s="3">
        <v>46282</v>
      </c>
      <c r="C729" t="s">
        <v>295</v>
      </c>
      <c r="D729" t="s">
        <v>210</v>
      </c>
      <c r="E729">
        <v>9</v>
      </c>
      <c r="F729" t="s">
        <v>2</v>
      </c>
      <c r="G729" t="s">
        <v>4225</v>
      </c>
      <c r="H729" t="s">
        <v>5664</v>
      </c>
      <c r="I729" t="s">
        <v>140</v>
      </c>
      <c r="J729" t="s">
        <v>2503</v>
      </c>
    </row>
    <row r="730" spans="1:10" x14ac:dyDescent="0.25">
      <c r="A730" t="s">
        <v>5665</v>
      </c>
      <c r="B730" s="3">
        <v>46282</v>
      </c>
      <c r="C730" t="s">
        <v>169</v>
      </c>
      <c r="D730" t="s">
        <v>54</v>
      </c>
      <c r="E730">
        <v>8</v>
      </c>
      <c r="F730" t="s">
        <v>2</v>
      </c>
      <c r="G730" t="s">
        <v>4231</v>
      </c>
      <c r="H730" t="s">
        <v>5666</v>
      </c>
      <c r="I730" t="s">
        <v>119</v>
      </c>
      <c r="J730" t="s">
        <v>2509</v>
      </c>
    </row>
    <row r="731" spans="1:10" x14ac:dyDescent="0.25">
      <c r="A731" t="s">
        <v>5667</v>
      </c>
      <c r="B731" s="3">
        <v>46282</v>
      </c>
      <c r="C731" t="s">
        <v>352</v>
      </c>
      <c r="D731" t="s">
        <v>344</v>
      </c>
      <c r="E731">
        <v>4</v>
      </c>
      <c r="F731" t="s">
        <v>346</v>
      </c>
      <c r="G731" t="s">
        <v>4228</v>
      </c>
      <c r="H731" t="s">
        <v>5668</v>
      </c>
      <c r="I731" t="s">
        <v>189</v>
      </c>
      <c r="J731" t="s">
        <v>2513</v>
      </c>
    </row>
    <row r="732" spans="1:10" x14ac:dyDescent="0.25">
      <c r="A732" t="s">
        <v>5669</v>
      </c>
      <c r="B732" s="3">
        <v>46282</v>
      </c>
      <c r="C732" t="s">
        <v>532</v>
      </c>
      <c r="D732" t="s">
        <v>488</v>
      </c>
      <c r="E732">
        <v>46</v>
      </c>
      <c r="F732" t="s">
        <v>469</v>
      </c>
      <c r="G732" t="s">
        <v>4225</v>
      </c>
      <c r="H732" t="s">
        <v>5670</v>
      </c>
      <c r="I732" t="s">
        <v>106</v>
      </c>
      <c r="J732" t="s">
        <v>2500</v>
      </c>
    </row>
    <row r="733" spans="1:10" x14ac:dyDescent="0.25">
      <c r="A733" t="s">
        <v>5671</v>
      </c>
      <c r="B733" s="3">
        <v>46282</v>
      </c>
      <c r="C733" t="s">
        <v>543</v>
      </c>
      <c r="D733" t="s">
        <v>484</v>
      </c>
      <c r="E733">
        <v>12</v>
      </c>
      <c r="F733" t="s">
        <v>469</v>
      </c>
      <c r="G733" t="s">
        <v>4228</v>
      </c>
      <c r="H733" t="s">
        <v>5672</v>
      </c>
      <c r="I733" t="s">
        <v>77</v>
      </c>
      <c r="J733" t="s">
        <v>2513</v>
      </c>
    </row>
    <row r="734" spans="1:10" x14ac:dyDescent="0.25">
      <c r="A734" t="s">
        <v>5673</v>
      </c>
      <c r="B734" s="3">
        <v>46282</v>
      </c>
      <c r="C734" t="s">
        <v>271</v>
      </c>
      <c r="D734" t="s">
        <v>225</v>
      </c>
      <c r="E734">
        <v>17</v>
      </c>
      <c r="F734" t="s">
        <v>2</v>
      </c>
      <c r="G734" t="s">
        <v>4228</v>
      </c>
      <c r="H734" t="s">
        <v>5674</v>
      </c>
      <c r="I734" t="s">
        <v>147</v>
      </c>
      <c r="J734" t="s">
        <v>2503</v>
      </c>
    </row>
    <row r="735" spans="1:10" x14ac:dyDescent="0.25">
      <c r="A735" t="s">
        <v>5675</v>
      </c>
      <c r="B735" s="3">
        <v>46282</v>
      </c>
      <c r="C735" t="s">
        <v>642</v>
      </c>
      <c r="D735" t="s">
        <v>585</v>
      </c>
      <c r="E735">
        <v>24</v>
      </c>
      <c r="F735" t="s">
        <v>355</v>
      </c>
      <c r="G735" t="s">
        <v>4228</v>
      </c>
      <c r="H735" t="s">
        <v>4928</v>
      </c>
      <c r="I735" t="s">
        <v>79</v>
      </c>
      <c r="J735" t="s">
        <v>2500</v>
      </c>
    </row>
    <row r="736" spans="1:10" x14ac:dyDescent="0.25">
      <c r="A736" t="s">
        <v>5676</v>
      </c>
      <c r="B736" s="3">
        <v>46282</v>
      </c>
      <c r="C736" t="s">
        <v>416</v>
      </c>
      <c r="D736" t="s">
        <v>344</v>
      </c>
      <c r="E736">
        <v>45</v>
      </c>
      <c r="F736" t="s">
        <v>346</v>
      </c>
      <c r="G736" t="s">
        <v>4228</v>
      </c>
      <c r="H736" t="s">
        <v>5677</v>
      </c>
      <c r="I736" t="s">
        <v>102</v>
      </c>
      <c r="J736" t="s">
        <v>2509</v>
      </c>
    </row>
    <row r="737" spans="1:10" x14ac:dyDescent="0.25">
      <c r="A737" t="s">
        <v>5678</v>
      </c>
      <c r="B737" s="3">
        <v>46282</v>
      </c>
      <c r="C737" t="s">
        <v>623</v>
      </c>
      <c r="D737" t="s">
        <v>594</v>
      </c>
      <c r="E737">
        <v>39</v>
      </c>
      <c r="F737" t="s">
        <v>595</v>
      </c>
      <c r="G737" t="s">
        <v>4228</v>
      </c>
      <c r="H737" t="s">
        <v>5679</v>
      </c>
      <c r="I737" t="s">
        <v>294</v>
      </c>
      <c r="J737" t="s">
        <v>2503</v>
      </c>
    </row>
    <row r="738" spans="1:10" x14ac:dyDescent="0.25">
      <c r="A738" t="s">
        <v>5680</v>
      </c>
      <c r="B738" s="3">
        <v>46282</v>
      </c>
      <c r="C738" t="s">
        <v>678</v>
      </c>
      <c r="D738" t="s">
        <v>612</v>
      </c>
      <c r="E738">
        <v>35</v>
      </c>
      <c r="F738" t="s">
        <v>2</v>
      </c>
      <c r="G738" t="s">
        <v>4225</v>
      </c>
      <c r="H738" t="s">
        <v>5322</v>
      </c>
      <c r="I738" t="s">
        <v>242</v>
      </c>
      <c r="J738" t="s">
        <v>2513</v>
      </c>
    </row>
    <row r="739" spans="1:10" x14ac:dyDescent="0.25">
      <c r="A739" t="s">
        <v>5681</v>
      </c>
      <c r="B739" s="3">
        <v>46282</v>
      </c>
      <c r="C739" t="s">
        <v>538</v>
      </c>
      <c r="D739" t="s">
        <v>490</v>
      </c>
      <c r="E739">
        <v>39</v>
      </c>
      <c r="F739" t="s">
        <v>355</v>
      </c>
      <c r="G739" t="s">
        <v>4231</v>
      </c>
      <c r="H739" t="s">
        <v>5682</v>
      </c>
      <c r="I739" t="s">
        <v>327</v>
      </c>
      <c r="J739" t="s">
        <v>2500</v>
      </c>
    </row>
    <row r="740" spans="1:10" x14ac:dyDescent="0.25">
      <c r="A740" t="s">
        <v>5683</v>
      </c>
      <c r="B740" s="3">
        <v>46283</v>
      </c>
      <c r="C740" t="s">
        <v>634</v>
      </c>
      <c r="D740" t="s">
        <v>597</v>
      </c>
      <c r="E740">
        <v>35</v>
      </c>
      <c r="F740" t="s">
        <v>355</v>
      </c>
      <c r="G740" t="s">
        <v>4225</v>
      </c>
      <c r="H740" t="s">
        <v>5684</v>
      </c>
      <c r="I740" t="s">
        <v>265</v>
      </c>
      <c r="J740" t="s">
        <v>2509</v>
      </c>
    </row>
    <row r="741" spans="1:10" x14ac:dyDescent="0.25">
      <c r="A741" t="s">
        <v>5685</v>
      </c>
      <c r="B741" s="3">
        <v>46283</v>
      </c>
      <c r="C741" t="s">
        <v>571</v>
      </c>
      <c r="D741" t="s">
        <v>488</v>
      </c>
      <c r="E741">
        <v>21</v>
      </c>
      <c r="F741" t="s">
        <v>469</v>
      </c>
      <c r="G741" t="s">
        <v>4228</v>
      </c>
      <c r="H741" t="s">
        <v>5686</v>
      </c>
      <c r="I741" t="s">
        <v>289</v>
      </c>
      <c r="J741" t="s">
        <v>2513</v>
      </c>
    </row>
    <row r="742" spans="1:10" x14ac:dyDescent="0.25">
      <c r="A742" t="s">
        <v>5687</v>
      </c>
      <c r="B742" s="3">
        <v>46283</v>
      </c>
      <c r="C742" t="s">
        <v>212</v>
      </c>
      <c r="D742" t="s">
        <v>213</v>
      </c>
      <c r="E742">
        <v>4</v>
      </c>
      <c r="F742" t="s">
        <v>2</v>
      </c>
      <c r="G742" t="s">
        <v>4225</v>
      </c>
      <c r="H742" t="s">
        <v>5688</v>
      </c>
      <c r="I742" t="s">
        <v>129</v>
      </c>
      <c r="J742" t="s">
        <v>2500</v>
      </c>
    </row>
    <row r="743" spans="1:10" x14ac:dyDescent="0.25">
      <c r="A743" t="s">
        <v>5689</v>
      </c>
      <c r="B743" s="3">
        <v>46283</v>
      </c>
      <c r="C743" t="s">
        <v>591</v>
      </c>
      <c r="D743" t="s">
        <v>585</v>
      </c>
      <c r="E743">
        <v>19</v>
      </c>
      <c r="F743" t="s">
        <v>355</v>
      </c>
      <c r="G743" t="s">
        <v>4231</v>
      </c>
      <c r="H743" t="s">
        <v>5690</v>
      </c>
      <c r="I743" t="s">
        <v>368</v>
      </c>
      <c r="J743" t="s">
        <v>2500</v>
      </c>
    </row>
    <row r="744" spans="1:10" x14ac:dyDescent="0.25">
      <c r="A744" t="s">
        <v>5691</v>
      </c>
      <c r="B744" s="3">
        <v>46283</v>
      </c>
      <c r="C744" t="s">
        <v>273</v>
      </c>
      <c r="D744" t="s">
        <v>234</v>
      </c>
      <c r="E744">
        <v>6</v>
      </c>
      <c r="F744" t="s">
        <v>2</v>
      </c>
      <c r="G744" t="s">
        <v>4225</v>
      </c>
      <c r="H744" t="s">
        <v>5692</v>
      </c>
      <c r="I744" t="s">
        <v>274</v>
      </c>
      <c r="J744" t="s">
        <v>2503</v>
      </c>
    </row>
    <row r="745" spans="1:10" x14ac:dyDescent="0.25">
      <c r="A745" t="s">
        <v>5693</v>
      </c>
      <c r="B745" s="3">
        <v>46283</v>
      </c>
      <c r="C745" t="s">
        <v>191</v>
      </c>
      <c r="D745" t="s">
        <v>163</v>
      </c>
      <c r="E745">
        <v>42</v>
      </c>
      <c r="F745" t="s">
        <v>2</v>
      </c>
      <c r="G745" t="s">
        <v>4228</v>
      </c>
      <c r="H745" t="s">
        <v>5694</v>
      </c>
      <c r="I745" t="s">
        <v>95</v>
      </c>
      <c r="J745" t="s">
        <v>2500</v>
      </c>
    </row>
    <row r="746" spans="1:10" x14ac:dyDescent="0.25">
      <c r="A746" t="s">
        <v>5695</v>
      </c>
      <c r="B746" s="3">
        <v>46283</v>
      </c>
      <c r="C746" t="s">
        <v>687</v>
      </c>
      <c r="D746" t="s">
        <v>612</v>
      </c>
      <c r="E746">
        <v>9</v>
      </c>
      <c r="F746" t="s">
        <v>2</v>
      </c>
      <c r="G746" t="s">
        <v>4225</v>
      </c>
      <c r="H746" t="s">
        <v>5696</v>
      </c>
      <c r="I746" t="s">
        <v>59</v>
      </c>
      <c r="J746" t="s">
        <v>2513</v>
      </c>
    </row>
    <row r="747" spans="1:10" x14ac:dyDescent="0.25">
      <c r="A747" t="s">
        <v>5697</v>
      </c>
      <c r="B747" s="3">
        <v>46283</v>
      </c>
      <c r="C747" t="s">
        <v>521</v>
      </c>
      <c r="D747" t="s">
        <v>479</v>
      </c>
      <c r="E747">
        <v>10</v>
      </c>
      <c r="F747" t="s">
        <v>469</v>
      </c>
      <c r="G747" t="s">
        <v>4222</v>
      </c>
      <c r="H747" t="s">
        <v>5698</v>
      </c>
      <c r="I747" t="s">
        <v>289</v>
      </c>
      <c r="J747" t="s">
        <v>2513</v>
      </c>
    </row>
    <row r="748" spans="1:10" x14ac:dyDescent="0.25">
      <c r="A748" t="s">
        <v>5699</v>
      </c>
      <c r="B748" s="3">
        <v>46283</v>
      </c>
      <c r="C748" t="s">
        <v>584</v>
      </c>
      <c r="D748" t="s">
        <v>585</v>
      </c>
      <c r="E748">
        <v>21</v>
      </c>
      <c r="F748" t="s">
        <v>355</v>
      </c>
      <c r="G748" t="s">
        <v>4225</v>
      </c>
      <c r="H748" t="s">
        <v>5700</v>
      </c>
      <c r="I748" t="s">
        <v>129</v>
      </c>
      <c r="J748" t="s">
        <v>2513</v>
      </c>
    </row>
    <row r="749" spans="1:10" x14ac:dyDescent="0.25">
      <c r="A749" t="s">
        <v>5701</v>
      </c>
      <c r="B749" s="3">
        <v>46283</v>
      </c>
      <c r="C749" t="s">
        <v>172</v>
      </c>
      <c r="D749" t="s">
        <v>26</v>
      </c>
      <c r="E749">
        <v>33</v>
      </c>
      <c r="F749" t="s">
        <v>2</v>
      </c>
      <c r="G749" t="s">
        <v>4234</v>
      </c>
      <c r="H749" t="s">
        <v>5702</v>
      </c>
      <c r="I749" t="s">
        <v>173</v>
      </c>
      <c r="J749" t="s">
        <v>2503</v>
      </c>
    </row>
    <row r="750" spans="1:10" x14ac:dyDescent="0.25">
      <c r="A750" t="s">
        <v>5703</v>
      </c>
      <c r="B750" s="3">
        <v>46283</v>
      </c>
      <c r="C750" t="s">
        <v>392</v>
      </c>
      <c r="D750" t="s">
        <v>349</v>
      </c>
      <c r="E750">
        <v>9</v>
      </c>
      <c r="F750" t="s">
        <v>2</v>
      </c>
      <c r="G750" t="s">
        <v>4234</v>
      </c>
      <c r="H750" t="s">
        <v>5704</v>
      </c>
      <c r="I750" t="s">
        <v>24</v>
      </c>
      <c r="J750" t="s">
        <v>2500</v>
      </c>
    </row>
    <row r="751" spans="1:10" x14ac:dyDescent="0.25">
      <c r="A751" t="s">
        <v>5705</v>
      </c>
      <c r="B751" s="3">
        <v>46283</v>
      </c>
      <c r="C751" t="s">
        <v>359</v>
      </c>
      <c r="D751" t="s">
        <v>360</v>
      </c>
      <c r="E751">
        <v>5</v>
      </c>
      <c r="F751" t="s">
        <v>358</v>
      </c>
      <c r="G751" t="s">
        <v>4231</v>
      </c>
      <c r="H751" t="s">
        <v>5706</v>
      </c>
      <c r="I751" t="s">
        <v>361</v>
      </c>
      <c r="J751" t="s">
        <v>2503</v>
      </c>
    </row>
    <row r="752" spans="1:10" x14ac:dyDescent="0.25">
      <c r="A752" t="s">
        <v>5707</v>
      </c>
      <c r="B752" s="3">
        <v>46283</v>
      </c>
      <c r="C752" t="s">
        <v>215</v>
      </c>
      <c r="D752" t="s">
        <v>216</v>
      </c>
      <c r="E752">
        <v>2</v>
      </c>
      <c r="F752" t="s">
        <v>2</v>
      </c>
      <c r="G752" t="s">
        <v>4228</v>
      </c>
      <c r="H752" t="s">
        <v>5708</v>
      </c>
      <c r="I752" t="s">
        <v>98</v>
      </c>
      <c r="J752" t="s">
        <v>2513</v>
      </c>
    </row>
    <row r="753" spans="1:10" x14ac:dyDescent="0.25">
      <c r="A753" t="s">
        <v>5709</v>
      </c>
      <c r="B753" s="3">
        <v>46283</v>
      </c>
      <c r="C753" t="s">
        <v>564</v>
      </c>
      <c r="D753" t="s">
        <v>481</v>
      </c>
      <c r="E753">
        <v>35</v>
      </c>
      <c r="F753" t="s">
        <v>2</v>
      </c>
      <c r="G753" t="s">
        <v>4225</v>
      </c>
      <c r="H753" t="s">
        <v>5710</v>
      </c>
      <c r="I753" t="s">
        <v>164</v>
      </c>
      <c r="J753" t="s">
        <v>2509</v>
      </c>
    </row>
    <row r="754" spans="1:10" x14ac:dyDescent="0.25">
      <c r="A754" t="s">
        <v>5711</v>
      </c>
      <c r="B754" s="3">
        <v>46283</v>
      </c>
      <c r="C754" t="s">
        <v>342</v>
      </c>
      <c r="D754" t="s">
        <v>240</v>
      </c>
      <c r="E754">
        <v>48</v>
      </c>
      <c r="F754" t="s">
        <v>2</v>
      </c>
      <c r="G754" t="s">
        <v>4231</v>
      </c>
      <c r="H754" t="s">
        <v>5712</v>
      </c>
      <c r="I754" t="s">
        <v>195</v>
      </c>
      <c r="J754" t="s">
        <v>2503</v>
      </c>
    </row>
    <row r="755" spans="1:10" x14ac:dyDescent="0.25">
      <c r="A755" t="s">
        <v>5713</v>
      </c>
      <c r="B755" s="3">
        <v>46283</v>
      </c>
      <c r="C755" t="s">
        <v>521</v>
      </c>
      <c r="D755" t="s">
        <v>479</v>
      </c>
      <c r="E755">
        <v>2</v>
      </c>
      <c r="F755" t="s">
        <v>469</v>
      </c>
      <c r="G755" t="s">
        <v>4225</v>
      </c>
      <c r="H755" t="s">
        <v>5714</v>
      </c>
      <c r="I755" t="s">
        <v>289</v>
      </c>
      <c r="J755" t="s">
        <v>2513</v>
      </c>
    </row>
    <row r="756" spans="1:10" x14ac:dyDescent="0.25">
      <c r="A756" t="s">
        <v>5715</v>
      </c>
      <c r="B756" s="3">
        <v>46283</v>
      </c>
      <c r="C756" t="s">
        <v>386</v>
      </c>
      <c r="D756" t="s">
        <v>344</v>
      </c>
      <c r="E756">
        <v>27</v>
      </c>
      <c r="F756" t="s">
        <v>346</v>
      </c>
      <c r="G756" t="s">
        <v>4231</v>
      </c>
      <c r="H756" t="s">
        <v>5716</v>
      </c>
      <c r="I756" t="s">
        <v>93</v>
      </c>
      <c r="J756" t="s">
        <v>2513</v>
      </c>
    </row>
    <row r="757" spans="1:10" x14ac:dyDescent="0.25">
      <c r="A757" t="s">
        <v>5717</v>
      </c>
      <c r="B757" s="3">
        <v>46283</v>
      </c>
      <c r="C757" t="s">
        <v>125</v>
      </c>
      <c r="D757" t="s">
        <v>15</v>
      </c>
      <c r="E757">
        <v>3</v>
      </c>
      <c r="F757" t="s">
        <v>2</v>
      </c>
      <c r="G757" t="s">
        <v>4222</v>
      </c>
      <c r="H757" t="s">
        <v>5718</v>
      </c>
      <c r="I757" t="s">
        <v>126</v>
      </c>
      <c r="J757" t="s">
        <v>2503</v>
      </c>
    </row>
    <row r="758" spans="1:10" x14ac:dyDescent="0.25">
      <c r="A758" t="s">
        <v>5719</v>
      </c>
      <c r="B758" s="3">
        <v>46283</v>
      </c>
      <c r="C758" t="s">
        <v>125</v>
      </c>
      <c r="D758" t="s">
        <v>15</v>
      </c>
      <c r="E758">
        <v>18</v>
      </c>
      <c r="F758" t="s">
        <v>2</v>
      </c>
      <c r="G758" t="s">
        <v>4225</v>
      </c>
      <c r="H758" t="s">
        <v>5720</v>
      </c>
      <c r="I758" t="s">
        <v>126</v>
      </c>
      <c r="J758" t="s">
        <v>2513</v>
      </c>
    </row>
    <row r="759" spans="1:10" x14ac:dyDescent="0.25">
      <c r="A759" t="s">
        <v>5721</v>
      </c>
      <c r="B759" s="3">
        <v>46283</v>
      </c>
      <c r="C759" t="s">
        <v>679</v>
      </c>
      <c r="D759" t="s">
        <v>597</v>
      </c>
      <c r="E759">
        <v>28</v>
      </c>
      <c r="F759" t="s">
        <v>355</v>
      </c>
      <c r="G759" t="s">
        <v>4222</v>
      </c>
      <c r="H759" t="s">
        <v>5722</v>
      </c>
      <c r="I759" t="s">
        <v>368</v>
      </c>
      <c r="J759" t="s">
        <v>2500</v>
      </c>
    </row>
    <row r="760" spans="1:10" x14ac:dyDescent="0.25">
      <c r="A760" t="s">
        <v>5723</v>
      </c>
      <c r="B760" s="3">
        <v>46283</v>
      </c>
      <c r="C760" t="s">
        <v>298</v>
      </c>
      <c r="D760" t="s">
        <v>216</v>
      </c>
      <c r="E760">
        <v>13</v>
      </c>
      <c r="F760" t="s">
        <v>2</v>
      </c>
      <c r="G760" t="s">
        <v>4231</v>
      </c>
      <c r="H760" t="s">
        <v>5724</v>
      </c>
      <c r="I760" t="s">
        <v>161</v>
      </c>
      <c r="J760" t="s">
        <v>2513</v>
      </c>
    </row>
    <row r="761" spans="1:10" x14ac:dyDescent="0.25">
      <c r="A761" t="s">
        <v>5725</v>
      </c>
      <c r="B761" s="3">
        <v>46283</v>
      </c>
      <c r="C761" t="s">
        <v>97</v>
      </c>
      <c r="D761" t="s">
        <v>1</v>
      </c>
      <c r="E761">
        <v>26</v>
      </c>
      <c r="F761" t="s">
        <v>2</v>
      </c>
      <c r="G761" t="s">
        <v>4225</v>
      </c>
      <c r="H761" t="s">
        <v>5726</v>
      </c>
      <c r="I761" t="s">
        <v>98</v>
      </c>
      <c r="J761" t="s">
        <v>2500</v>
      </c>
    </row>
    <row r="762" spans="1:10" x14ac:dyDescent="0.25">
      <c r="A762" t="s">
        <v>5727</v>
      </c>
      <c r="B762" s="3">
        <v>46283</v>
      </c>
      <c r="C762" t="s">
        <v>538</v>
      </c>
      <c r="D762" t="s">
        <v>490</v>
      </c>
      <c r="E762">
        <v>45</v>
      </c>
      <c r="F762" t="s">
        <v>355</v>
      </c>
      <c r="G762" t="s">
        <v>4234</v>
      </c>
      <c r="H762" t="s">
        <v>5728</v>
      </c>
      <c r="I762" t="s">
        <v>327</v>
      </c>
      <c r="J762" t="s">
        <v>2513</v>
      </c>
    </row>
    <row r="763" spans="1:10" x14ac:dyDescent="0.25">
      <c r="A763" t="s">
        <v>5729</v>
      </c>
      <c r="B763" s="3">
        <v>46283</v>
      </c>
      <c r="C763" t="s">
        <v>578</v>
      </c>
      <c r="D763" t="s">
        <v>502</v>
      </c>
      <c r="E763">
        <v>26</v>
      </c>
      <c r="F763" t="s">
        <v>469</v>
      </c>
      <c r="G763" t="s">
        <v>4231</v>
      </c>
      <c r="H763" t="s">
        <v>5730</v>
      </c>
      <c r="I763" t="s">
        <v>42</v>
      </c>
      <c r="J763" t="s">
        <v>2513</v>
      </c>
    </row>
    <row r="764" spans="1:10" x14ac:dyDescent="0.25">
      <c r="A764" t="s">
        <v>5731</v>
      </c>
      <c r="B764" s="3">
        <v>46283</v>
      </c>
      <c r="C764" t="s">
        <v>238</v>
      </c>
      <c r="D764" t="s">
        <v>216</v>
      </c>
      <c r="E764">
        <v>24</v>
      </c>
      <c r="F764" t="s">
        <v>2</v>
      </c>
      <c r="G764" t="s">
        <v>4228</v>
      </c>
      <c r="H764" t="s">
        <v>5732</v>
      </c>
      <c r="I764" t="s">
        <v>126</v>
      </c>
      <c r="J764" t="s">
        <v>2513</v>
      </c>
    </row>
    <row r="765" spans="1:10" x14ac:dyDescent="0.25">
      <c r="A765" t="s">
        <v>5733</v>
      </c>
      <c r="B765" s="3">
        <v>46283</v>
      </c>
      <c r="C765" t="s">
        <v>359</v>
      </c>
      <c r="D765" t="s">
        <v>360</v>
      </c>
      <c r="E765">
        <v>16</v>
      </c>
      <c r="F765" t="s">
        <v>358</v>
      </c>
      <c r="G765" t="s">
        <v>4228</v>
      </c>
      <c r="H765" t="s">
        <v>5571</v>
      </c>
      <c r="I765" t="s">
        <v>361</v>
      </c>
      <c r="J765" t="s">
        <v>2509</v>
      </c>
    </row>
    <row r="766" spans="1:10" x14ac:dyDescent="0.25">
      <c r="A766" t="s">
        <v>5734</v>
      </c>
      <c r="B766" s="3">
        <v>46283</v>
      </c>
      <c r="C766" t="s">
        <v>377</v>
      </c>
      <c r="D766" t="s">
        <v>378</v>
      </c>
      <c r="E766">
        <v>23</v>
      </c>
      <c r="F766" t="s">
        <v>2</v>
      </c>
      <c r="G766" t="s">
        <v>4225</v>
      </c>
      <c r="H766" t="s">
        <v>5735</v>
      </c>
      <c r="I766" t="s">
        <v>50</v>
      </c>
      <c r="J766" t="s">
        <v>2509</v>
      </c>
    </row>
    <row r="767" spans="1:10" x14ac:dyDescent="0.25">
      <c r="A767" t="s">
        <v>5736</v>
      </c>
      <c r="B767" s="3">
        <v>46283</v>
      </c>
      <c r="C767" t="s">
        <v>458</v>
      </c>
      <c r="D767" t="s">
        <v>360</v>
      </c>
      <c r="E767">
        <v>30</v>
      </c>
      <c r="F767" t="s">
        <v>358</v>
      </c>
      <c r="G767" t="s">
        <v>4234</v>
      </c>
      <c r="H767" t="s">
        <v>5737</v>
      </c>
      <c r="I767" t="s">
        <v>42</v>
      </c>
      <c r="J767" t="s">
        <v>2513</v>
      </c>
    </row>
    <row r="768" spans="1:10" x14ac:dyDescent="0.25">
      <c r="A768" t="s">
        <v>5738</v>
      </c>
      <c r="B768" s="3">
        <v>46283</v>
      </c>
      <c r="C768" t="s">
        <v>432</v>
      </c>
      <c r="D768" t="s">
        <v>351</v>
      </c>
      <c r="E768">
        <v>21</v>
      </c>
      <c r="F768" t="s">
        <v>2</v>
      </c>
      <c r="G768" t="s">
        <v>4231</v>
      </c>
      <c r="H768" t="s">
        <v>5739</v>
      </c>
      <c r="I768" t="s">
        <v>314</v>
      </c>
      <c r="J768" t="s">
        <v>2500</v>
      </c>
    </row>
    <row r="769" spans="1:10" x14ac:dyDescent="0.25">
      <c r="A769" t="s">
        <v>5740</v>
      </c>
      <c r="B769" s="3">
        <v>46283</v>
      </c>
      <c r="C769" t="s">
        <v>424</v>
      </c>
      <c r="D769" t="s">
        <v>349</v>
      </c>
      <c r="E769">
        <v>51</v>
      </c>
      <c r="F769" t="s">
        <v>2</v>
      </c>
      <c r="G769" t="s">
        <v>4231</v>
      </c>
      <c r="H769" t="s">
        <v>5741</v>
      </c>
      <c r="I769" t="s">
        <v>152</v>
      </c>
      <c r="J769" t="s">
        <v>2509</v>
      </c>
    </row>
    <row r="770" spans="1:10" x14ac:dyDescent="0.25">
      <c r="A770" t="s">
        <v>5742</v>
      </c>
      <c r="B770" s="3">
        <v>46283</v>
      </c>
      <c r="C770" t="s">
        <v>678</v>
      </c>
      <c r="D770" t="s">
        <v>612</v>
      </c>
      <c r="E770">
        <v>1</v>
      </c>
      <c r="F770" t="s">
        <v>2</v>
      </c>
      <c r="G770" t="s">
        <v>4228</v>
      </c>
      <c r="H770" t="s">
        <v>5743</v>
      </c>
      <c r="I770" t="s">
        <v>242</v>
      </c>
      <c r="J770" t="s">
        <v>2509</v>
      </c>
    </row>
    <row r="771" spans="1:10" x14ac:dyDescent="0.25">
      <c r="A771" t="s">
        <v>5744</v>
      </c>
      <c r="B771" s="3">
        <v>46283</v>
      </c>
      <c r="C771" t="s">
        <v>241</v>
      </c>
      <c r="D771" t="s">
        <v>223</v>
      </c>
      <c r="E771">
        <v>12</v>
      </c>
      <c r="F771" t="s">
        <v>2</v>
      </c>
      <c r="G771" t="s">
        <v>4225</v>
      </c>
      <c r="H771" t="s">
        <v>4916</v>
      </c>
      <c r="I771" t="s">
        <v>242</v>
      </c>
      <c r="J771" t="s">
        <v>2509</v>
      </c>
    </row>
    <row r="772" spans="1:10" x14ac:dyDescent="0.25">
      <c r="A772" t="s">
        <v>5745</v>
      </c>
      <c r="B772" s="3">
        <v>46283</v>
      </c>
      <c r="C772" t="s">
        <v>446</v>
      </c>
      <c r="D772" t="s">
        <v>382</v>
      </c>
      <c r="E772">
        <v>6</v>
      </c>
      <c r="F772" t="s">
        <v>383</v>
      </c>
      <c r="G772" t="s">
        <v>4234</v>
      </c>
      <c r="H772" t="s">
        <v>5746</v>
      </c>
      <c r="I772" t="s">
        <v>183</v>
      </c>
      <c r="J772" t="s">
        <v>2513</v>
      </c>
    </row>
    <row r="773" spans="1:10" x14ac:dyDescent="0.25">
      <c r="A773" t="s">
        <v>5747</v>
      </c>
      <c r="B773" s="3">
        <v>46283</v>
      </c>
      <c r="C773" t="s">
        <v>238</v>
      </c>
      <c r="D773" t="s">
        <v>216</v>
      </c>
      <c r="E773">
        <v>35</v>
      </c>
      <c r="F773" t="s">
        <v>2</v>
      </c>
      <c r="G773" t="s">
        <v>4228</v>
      </c>
      <c r="H773" t="s">
        <v>5748</v>
      </c>
      <c r="I773" t="s">
        <v>126</v>
      </c>
      <c r="J773" t="s">
        <v>2509</v>
      </c>
    </row>
    <row r="774" spans="1:10" x14ac:dyDescent="0.25">
      <c r="A774" t="s">
        <v>5749</v>
      </c>
      <c r="B774" s="3">
        <v>46283</v>
      </c>
      <c r="C774" t="s">
        <v>398</v>
      </c>
      <c r="D774" t="s">
        <v>344</v>
      </c>
      <c r="E774">
        <v>45</v>
      </c>
      <c r="F774" t="s">
        <v>346</v>
      </c>
      <c r="G774" t="s">
        <v>4231</v>
      </c>
      <c r="H774" t="s">
        <v>5750</v>
      </c>
      <c r="I774" t="s">
        <v>108</v>
      </c>
      <c r="J774" t="s">
        <v>2500</v>
      </c>
    </row>
    <row r="775" spans="1:10" x14ac:dyDescent="0.25">
      <c r="A775" t="s">
        <v>5751</v>
      </c>
      <c r="B775" s="3">
        <v>46283</v>
      </c>
      <c r="C775" t="s">
        <v>258</v>
      </c>
      <c r="D775" t="s">
        <v>210</v>
      </c>
      <c r="E775">
        <v>55</v>
      </c>
      <c r="F775" t="s">
        <v>2</v>
      </c>
      <c r="G775" t="s">
        <v>4225</v>
      </c>
      <c r="H775" t="s">
        <v>5752</v>
      </c>
      <c r="I775" t="s">
        <v>259</v>
      </c>
      <c r="J775" t="s">
        <v>2500</v>
      </c>
    </row>
    <row r="776" spans="1:10" x14ac:dyDescent="0.25">
      <c r="A776" t="s">
        <v>5753</v>
      </c>
      <c r="B776" s="3">
        <v>46283</v>
      </c>
      <c r="C776" t="s">
        <v>313</v>
      </c>
      <c r="D776" t="s">
        <v>225</v>
      </c>
      <c r="E776">
        <v>44</v>
      </c>
      <c r="F776" t="s">
        <v>2</v>
      </c>
      <c r="G776" t="s">
        <v>4231</v>
      </c>
      <c r="H776" t="s">
        <v>5754</v>
      </c>
      <c r="I776" t="s">
        <v>314</v>
      </c>
      <c r="J776" t="s">
        <v>2503</v>
      </c>
    </row>
    <row r="777" spans="1:10" x14ac:dyDescent="0.25">
      <c r="A777" t="s">
        <v>5755</v>
      </c>
      <c r="B777" s="3">
        <v>46283</v>
      </c>
      <c r="C777" t="s">
        <v>381</v>
      </c>
      <c r="D777" t="s">
        <v>382</v>
      </c>
      <c r="E777">
        <v>12</v>
      </c>
      <c r="F777" t="s">
        <v>383</v>
      </c>
      <c r="G777" t="s">
        <v>4234</v>
      </c>
      <c r="H777" t="s">
        <v>5756</v>
      </c>
      <c r="I777" t="s">
        <v>106</v>
      </c>
      <c r="J777" t="s">
        <v>2509</v>
      </c>
    </row>
    <row r="778" spans="1:10" x14ac:dyDescent="0.25">
      <c r="A778" t="s">
        <v>5757</v>
      </c>
      <c r="B778" s="3">
        <v>46283</v>
      </c>
      <c r="C778" t="s">
        <v>463</v>
      </c>
      <c r="D778" t="s">
        <v>360</v>
      </c>
      <c r="E778">
        <v>20</v>
      </c>
      <c r="F778" t="s">
        <v>358</v>
      </c>
      <c r="G778" t="s">
        <v>4225</v>
      </c>
      <c r="H778" t="s">
        <v>5758</v>
      </c>
      <c r="I778" t="s">
        <v>464</v>
      </c>
      <c r="J778" t="s">
        <v>2513</v>
      </c>
    </row>
    <row r="779" spans="1:10" x14ac:dyDescent="0.25">
      <c r="A779" t="s">
        <v>5759</v>
      </c>
      <c r="B779" s="3">
        <v>46283</v>
      </c>
      <c r="C779" t="s">
        <v>84</v>
      </c>
      <c r="D779" t="s">
        <v>1</v>
      </c>
      <c r="E779">
        <v>37</v>
      </c>
      <c r="F779" t="s">
        <v>2</v>
      </c>
      <c r="G779" t="s">
        <v>4231</v>
      </c>
      <c r="H779" t="s">
        <v>5714</v>
      </c>
      <c r="I779" t="s">
        <v>87</v>
      </c>
      <c r="J779" t="s">
        <v>2513</v>
      </c>
    </row>
    <row r="780" spans="1:10" x14ac:dyDescent="0.25">
      <c r="A780" t="s">
        <v>5760</v>
      </c>
      <c r="B780" s="3">
        <v>46283</v>
      </c>
      <c r="C780" t="s">
        <v>536</v>
      </c>
      <c r="D780" t="s">
        <v>481</v>
      </c>
      <c r="E780">
        <v>2</v>
      </c>
      <c r="F780" t="s">
        <v>2</v>
      </c>
      <c r="G780" t="s">
        <v>4228</v>
      </c>
      <c r="H780" t="s">
        <v>5761</v>
      </c>
      <c r="I780" t="s">
        <v>221</v>
      </c>
      <c r="J780" t="s">
        <v>2509</v>
      </c>
    </row>
    <row r="781" spans="1:10" x14ac:dyDescent="0.25">
      <c r="A781" t="s">
        <v>5762</v>
      </c>
      <c r="B781" s="3">
        <v>46283</v>
      </c>
      <c r="C781" t="s">
        <v>672</v>
      </c>
      <c r="D781" t="s">
        <v>612</v>
      </c>
      <c r="E781">
        <v>30</v>
      </c>
      <c r="F781" t="s">
        <v>2</v>
      </c>
      <c r="G781" t="s">
        <v>4228</v>
      </c>
      <c r="H781" t="s">
        <v>4963</v>
      </c>
      <c r="I781" t="s">
        <v>147</v>
      </c>
      <c r="J781" t="s">
        <v>2509</v>
      </c>
    </row>
    <row r="782" spans="1:10" x14ac:dyDescent="0.25">
      <c r="A782" t="s">
        <v>5763</v>
      </c>
      <c r="B782" s="3">
        <v>46283</v>
      </c>
      <c r="C782" t="s">
        <v>91</v>
      </c>
      <c r="D782" t="s">
        <v>47</v>
      </c>
      <c r="E782">
        <v>20</v>
      </c>
      <c r="F782" t="s">
        <v>2</v>
      </c>
      <c r="G782" t="s">
        <v>4231</v>
      </c>
      <c r="H782" t="s">
        <v>5764</v>
      </c>
      <c r="I782" t="s">
        <v>83</v>
      </c>
      <c r="J782" t="s">
        <v>2500</v>
      </c>
    </row>
    <row r="783" spans="1:10" x14ac:dyDescent="0.25">
      <c r="A783" t="s">
        <v>5765</v>
      </c>
      <c r="B783" s="3">
        <v>46284</v>
      </c>
      <c r="C783" t="s">
        <v>260</v>
      </c>
      <c r="D783" t="s">
        <v>261</v>
      </c>
      <c r="E783">
        <v>55</v>
      </c>
      <c r="F783" t="s">
        <v>2</v>
      </c>
      <c r="G783" t="s">
        <v>4231</v>
      </c>
      <c r="H783" t="s">
        <v>5251</v>
      </c>
      <c r="I783" t="s">
        <v>45</v>
      </c>
      <c r="J783" t="s">
        <v>2500</v>
      </c>
    </row>
    <row r="784" spans="1:10" x14ac:dyDescent="0.25">
      <c r="A784" t="s">
        <v>5766</v>
      </c>
      <c r="B784" s="3">
        <v>46284</v>
      </c>
      <c r="C784" t="s">
        <v>315</v>
      </c>
      <c r="D784" t="s">
        <v>213</v>
      </c>
      <c r="E784">
        <v>24</v>
      </c>
      <c r="F784" t="s">
        <v>2</v>
      </c>
      <c r="G784" t="s">
        <v>4222</v>
      </c>
      <c r="H784" t="s">
        <v>5767</v>
      </c>
      <c r="I784" t="s">
        <v>189</v>
      </c>
      <c r="J784" t="s">
        <v>2500</v>
      </c>
    </row>
    <row r="785" spans="1:10" x14ac:dyDescent="0.25">
      <c r="A785" t="s">
        <v>5768</v>
      </c>
      <c r="B785" s="3">
        <v>46284</v>
      </c>
      <c r="C785" t="s">
        <v>441</v>
      </c>
      <c r="D785" t="s">
        <v>366</v>
      </c>
      <c r="E785">
        <v>44</v>
      </c>
      <c r="F785" t="s">
        <v>2</v>
      </c>
      <c r="G785" t="s">
        <v>4228</v>
      </c>
      <c r="H785" t="s">
        <v>5769</v>
      </c>
      <c r="I785" t="s">
        <v>314</v>
      </c>
      <c r="J785" t="s">
        <v>2513</v>
      </c>
    </row>
    <row r="786" spans="1:10" x14ac:dyDescent="0.25">
      <c r="A786" t="s">
        <v>5770</v>
      </c>
      <c r="B786" s="3">
        <v>46284</v>
      </c>
      <c r="C786" t="s">
        <v>235</v>
      </c>
      <c r="D786" t="s">
        <v>216</v>
      </c>
      <c r="E786">
        <v>54</v>
      </c>
      <c r="F786" t="s">
        <v>2</v>
      </c>
      <c r="G786" t="s">
        <v>4228</v>
      </c>
      <c r="H786" t="s">
        <v>5771</v>
      </c>
      <c r="I786" t="s">
        <v>38</v>
      </c>
      <c r="J786" t="s">
        <v>2503</v>
      </c>
    </row>
    <row r="787" spans="1:10" x14ac:dyDescent="0.25">
      <c r="A787" t="s">
        <v>5772</v>
      </c>
      <c r="B787" s="3">
        <v>46284</v>
      </c>
      <c r="C787" t="s">
        <v>198</v>
      </c>
      <c r="D787" t="s">
        <v>1</v>
      </c>
      <c r="E787">
        <v>41</v>
      </c>
      <c r="F787" t="s">
        <v>2</v>
      </c>
      <c r="G787" t="s">
        <v>4222</v>
      </c>
      <c r="H787" t="s">
        <v>5773</v>
      </c>
      <c r="I787" t="s">
        <v>140</v>
      </c>
      <c r="J787" t="s">
        <v>2503</v>
      </c>
    </row>
    <row r="788" spans="1:10" x14ac:dyDescent="0.25">
      <c r="A788" t="s">
        <v>5774</v>
      </c>
      <c r="B788" s="3">
        <v>46284</v>
      </c>
      <c r="C788" t="s">
        <v>63</v>
      </c>
      <c r="D788" t="s">
        <v>26</v>
      </c>
      <c r="E788">
        <v>21</v>
      </c>
      <c r="F788" t="s">
        <v>2</v>
      </c>
      <c r="G788" t="s">
        <v>4234</v>
      </c>
      <c r="H788" t="s">
        <v>5775</v>
      </c>
      <c r="I788" t="s">
        <v>64</v>
      </c>
      <c r="J788" t="s">
        <v>2513</v>
      </c>
    </row>
    <row r="789" spans="1:10" x14ac:dyDescent="0.25">
      <c r="A789" t="s">
        <v>5776</v>
      </c>
      <c r="B789" s="3">
        <v>46284</v>
      </c>
      <c r="C789" t="s">
        <v>337</v>
      </c>
      <c r="D789" t="s">
        <v>240</v>
      </c>
      <c r="E789">
        <v>16</v>
      </c>
      <c r="F789" t="s">
        <v>2</v>
      </c>
      <c r="G789" t="s">
        <v>4225</v>
      </c>
      <c r="H789" t="s">
        <v>5777</v>
      </c>
      <c r="I789" t="s">
        <v>142</v>
      </c>
      <c r="J789" t="s">
        <v>2513</v>
      </c>
    </row>
    <row r="790" spans="1:10" x14ac:dyDescent="0.25">
      <c r="A790" t="s">
        <v>5778</v>
      </c>
      <c r="B790" s="3">
        <v>46284</v>
      </c>
      <c r="C790" t="s">
        <v>411</v>
      </c>
      <c r="D790" t="s">
        <v>366</v>
      </c>
      <c r="E790">
        <v>44</v>
      </c>
      <c r="F790" t="s">
        <v>2</v>
      </c>
      <c r="G790" t="s">
        <v>4231</v>
      </c>
      <c r="H790" t="s">
        <v>5779</v>
      </c>
      <c r="I790" t="s">
        <v>312</v>
      </c>
      <c r="J790" t="s">
        <v>2503</v>
      </c>
    </row>
    <row r="791" spans="1:10" x14ac:dyDescent="0.25">
      <c r="A791" t="s">
        <v>5780</v>
      </c>
      <c r="B791" s="3">
        <v>46284</v>
      </c>
      <c r="C791" t="s">
        <v>491</v>
      </c>
      <c r="D791" t="s">
        <v>481</v>
      </c>
      <c r="E791">
        <v>47</v>
      </c>
      <c r="F791" t="s">
        <v>2</v>
      </c>
      <c r="G791" t="s">
        <v>4231</v>
      </c>
      <c r="H791" t="s">
        <v>5781</v>
      </c>
      <c r="I791" t="s">
        <v>324</v>
      </c>
      <c r="J791" t="s">
        <v>2509</v>
      </c>
    </row>
    <row r="792" spans="1:10" x14ac:dyDescent="0.25">
      <c r="A792" t="s">
        <v>5782</v>
      </c>
      <c r="B792" s="3">
        <v>46284</v>
      </c>
      <c r="C792" t="s">
        <v>167</v>
      </c>
      <c r="D792" t="s">
        <v>26</v>
      </c>
      <c r="E792">
        <v>18</v>
      </c>
      <c r="F792" t="s">
        <v>2</v>
      </c>
      <c r="G792" t="s">
        <v>4234</v>
      </c>
      <c r="H792" t="s">
        <v>5783</v>
      </c>
      <c r="I792" t="s">
        <v>64</v>
      </c>
      <c r="J792" t="s">
        <v>2500</v>
      </c>
    </row>
    <row r="793" spans="1:10" x14ac:dyDescent="0.25">
      <c r="A793" t="s">
        <v>5784</v>
      </c>
      <c r="B793" s="3">
        <v>46284</v>
      </c>
      <c r="C793" t="s">
        <v>286</v>
      </c>
      <c r="D793" t="s">
        <v>218</v>
      </c>
      <c r="E793">
        <v>49</v>
      </c>
      <c r="F793" t="s">
        <v>2</v>
      </c>
      <c r="G793" t="s">
        <v>4228</v>
      </c>
      <c r="H793" t="s">
        <v>4705</v>
      </c>
      <c r="I793" t="s">
        <v>287</v>
      </c>
      <c r="J793" t="s">
        <v>2509</v>
      </c>
    </row>
    <row r="794" spans="1:10" x14ac:dyDescent="0.25">
      <c r="A794" t="s">
        <v>5785</v>
      </c>
      <c r="B794" s="3">
        <v>46284</v>
      </c>
      <c r="C794" t="s">
        <v>384</v>
      </c>
      <c r="D794" t="s">
        <v>366</v>
      </c>
      <c r="E794">
        <v>5</v>
      </c>
      <c r="F794" t="s">
        <v>2</v>
      </c>
      <c r="G794" t="s">
        <v>4225</v>
      </c>
      <c r="H794" t="s">
        <v>5786</v>
      </c>
      <c r="I794" t="s">
        <v>104</v>
      </c>
      <c r="J794" t="s">
        <v>2513</v>
      </c>
    </row>
    <row r="795" spans="1:10" x14ac:dyDescent="0.25">
      <c r="A795" t="s">
        <v>5787</v>
      </c>
      <c r="B795" s="3">
        <v>46284</v>
      </c>
      <c r="C795" t="s">
        <v>527</v>
      </c>
      <c r="D795" t="s">
        <v>467</v>
      </c>
      <c r="E795">
        <v>18</v>
      </c>
      <c r="F795" t="s">
        <v>469</v>
      </c>
      <c r="G795" t="s">
        <v>4222</v>
      </c>
      <c r="H795" t="s">
        <v>5788</v>
      </c>
      <c r="I795" t="s">
        <v>289</v>
      </c>
      <c r="J795" t="s">
        <v>2513</v>
      </c>
    </row>
    <row r="796" spans="1:10" x14ac:dyDescent="0.25">
      <c r="A796" t="s">
        <v>5789</v>
      </c>
      <c r="B796" s="3">
        <v>46284</v>
      </c>
      <c r="C796" t="s">
        <v>252</v>
      </c>
      <c r="D796" t="s">
        <v>216</v>
      </c>
      <c r="E796">
        <v>48</v>
      </c>
      <c r="F796" t="s">
        <v>2</v>
      </c>
      <c r="G796" t="s">
        <v>4225</v>
      </c>
      <c r="H796" t="s">
        <v>5790</v>
      </c>
      <c r="I796" t="s">
        <v>52</v>
      </c>
      <c r="J796" t="s">
        <v>2513</v>
      </c>
    </row>
    <row r="797" spans="1:10" x14ac:dyDescent="0.25">
      <c r="A797" t="s">
        <v>5791</v>
      </c>
      <c r="B797" s="3">
        <v>46284</v>
      </c>
      <c r="C797" t="s">
        <v>408</v>
      </c>
      <c r="D797" t="s">
        <v>354</v>
      </c>
      <c r="E797">
        <v>45</v>
      </c>
      <c r="F797" t="s">
        <v>355</v>
      </c>
      <c r="G797" t="s">
        <v>4231</v>
      </c>
      <c r="H797" t="s">
        <v>5792</v>
      </c>
      <c r="I797" t="s">
        <v>219</v>
      </c>
      <c r="J797" t="s">
        <v>2513</v>
      </c>
    </row>
    <row r="798" spans="1:10" x14ac:dyDescent="0.25">
      <c r="A798" t="s">
        <v>5793</v>
      </c>
      <c r="B798" s="3">
        <v>46284</v>
      </c>
      <c r="C798" t="s">
        <v>548</v>
      </c>
      <c r="D798" t="s">
        <v>502</v>
      </c>
      <c r="E798">
        <v>42</v>
      </c>
      <c r="F798" t="s">
        <v>469</v>
      </c>
      <c r="G798" t="s">
        <v>4225</v>
      </c>
      <c r="H798" t="s">
        <v>5794</v>
      </c>
      <c r="I798" t="s">
        <v>181</v>
      </c>
      <c r="J798" t="s">
        <v>2500</v>
      </c>
    </row>
    <row r="799" spans="1:10" x14ac:dyDescent="0.25">
      <c r="A799" t="s">
        <v>5795</v>
      </c>
      <c r="B799" s="3">
        <v>46284</v>
      </c>
      <c r="C799" t="s">
        <v>384</v>
      </c>
      <c r="D799" t="s">
        <v>366</v>
      </c>
      <c r="E799">
        <v>8</v>
      </c>
      <c r="F799" t="s">
        <v>2</v>
      </c>
      <c r="G799" t="s">
        <v>4225</v>
      </c>
      <c r="H799" t="s">
        <v>5796</v>
      </c>
      <c r="I799" t="s">
        <v>104</v>
      </c>
      <c r="J799" t="s">
        <v>2500</v>
      </c>
    </row>
    <row r="800" spans="1:10" x14ac:dyDescent="0.25">
      <c r="A800" t="s">
        <v>5797</v>
      </c>
      <c r="B800" s="3">
        <v>46284</v>
      </c>
      <c r="C800" t="s">
        <v>88</v>
      </c>
      <c r="D800" t="s">
        <v>26</v>
      </c>
      <c r="E800">
        <v>11</v>
      </c>
      <c r="F800" t="s">
        <v>2</v>
      </c>
      <c r="G800" t="s">
        <v>4231</v>
      </c>
      <c r="H800" t="s">
        <v>5798</v>
      </c>
      <c r="I800" t="s">
        <v>89</v>
      </c>
      <c r="J800" t="s">
        <v>2513</v>
      </c>
    </row>
    <row r="801" spans="1:10" x14ac:dyDescent="0.25">
      <c r="A801" t="s">
        <v>5799</v>
      </c>
      <c r="B801" s="3">
        <v>46284</v>
      </c>
      <c r="C801" t="s">
        <v>205</v>
      </c>
      <c r="D801" t="s">
        <v>54</v>
      </c>
      <c r="E801">
        <v>41</v>
      </c>
      <c r="F801" t="s">
        <v>2</v>
      </c>
      <c r="G801" t="s">
        <v>4225</v>
      </c>
      <c r="H801" t="s">
        <v>5800</v>
      </c>
      <c r="I801" t="s">
        <v>206</v>
      </c>
      <c r="J801" t="s">
        <v>2503</v>
      </c>
    </row>
    <row r="802" spans="1:10" x14ac:dyDescent="0.25">
      <c r="A802" t="s">
        <v>5801</v>
      </c>
      <c r="B802" s="3">
        <v>46284</v>
      </c>
      <c r="C802" t="s">
        <v>76</v>
      </c>
      <c r="D802" t="s">
        <v>15</v>
      </c>
      <c r="E802">
        <v>44</v>
      </c>
      <c r="F802" t="s">
        <v>2</v>
      </c>
      <c r="G802" t="s">
        <v>4222</v>
      </c>
      <c r="H802" t="s">
        <v>4494</v>
      </c>
      <c r="I802" t="s">
        <v>77</v>
      </c>
      <c r="J802" t="s">
        <v>2513</v>
      </c>
    </row>
    <row r="803" spans="1:10" x14ac:dyDescent="0.25">
      <c r="A803" t="s">
        <v>5802</v>
      </c>
      <c r="B803" s="3">
        <v>46284</v>
      </c>
      <c r="C803" t="s">
        <v>196</v>
      </c>
      <c r="D803" t="s">
        <v>47</v>
      </c>
      <c r="E803">
        <v>23</v>
      </c>
      <c r="F803" t="s">
        <v>2</v>
      </c>
      <c r="G803" t="s">
        <v>4225</v>
      </c>
      <c r="H803" t="s">
        <v>5803</v>
      </c>
      <c r="I803" t="s">
        <v>164</v>
      </c>
      <c r="J803" t="s">
        <v>2509</v>
      </c>
    </row>
    <row r="804" spans="1:10" x14ac:dyDescent="0.25">
      <c r="A804" t="s">
        <v>5804</v>
      </c>
      <c r="B804" s="3">
        <v>46284</v>
      </c>
      <c r="C804" t="s">
        <v>603</v>
      </c>
      <c r="D804" t="s">
        <v>594</v>
      </c>
      <c r="E804">
        <v>46</v>
      </c>
      <c r="F804" t="s">
        <v>595</v>
      </c>
      <c r="G804" t="s">
        <v>4225</v>
      </c>
      <c r="H804" t="s">
        <v>5805</v>
      </c>
      <c r="I804" t="s">
        <v>45</v>
      </c>
      <c r="J804" t="s">
        <v>2500</v>
      </c>
    </row>
    <row r="805" spans="1:10" x14ac:dyDescent="0.25">
      <c r="A805" t="s">
        <v>5806</v>
      </c>
      <c r="B805" s="3">
        <v>46284</v>
      </c>
      <c r="C805" t="s">
        <v>347</v>
      </c>
      <c r="D805" t="s">
        <v>344</v>
      </c>
      <c r="E805">
        <v>44</v>
      </c>
      <c r="F805" t="s">
        <v>346</v>
      </c>
      <c r="G805" t="s">
        <v>4231</v>
      </c>
      <c r="H805" t="s">
        <v>5807</v>
      </c>
      <c r="I805" t="s">
        <v>185</v>
      </c>
      <c r="J805" t="s">
        <v>2503</v>
      </c>
    </row>
    <row r="806" spans="1:10" x14ac:dyDescent="0.25">
      <c r="A806" t="s">
        <v>5808</v>
      </c>
      <c r="B806" s="3">
        <v>46284</v>
      </c>
      <c r="C806" t="s">
        <v>90</v>
      </c>
      <c r="D806" t="s">
        <v>15</v>
      </c>
      <c r="E806">
        <v>25</v>
      </c>
      <c r="F806" t="s">
        <v>2</v>
      </c>
      <c r="G806" t="s">
        <v>4225</v>
      </c>
      <c r="H806" t="s">
        <v>5809</v>
      </c>
      <c r="I806" t="s">
        <v>73</v>
      </c>
      <c r="J806" t="s">
        <v>2509</v>
      </c>
    </row>
    <row r="807" spans="1:10" x14ac:dyDescent="0.25">
      <c r="A807" t="s">
        <v>5810</v>
      </c>
      <c r="B807" s="3">
        <v>46284</v>
      </c>
      <c r="C807" t="s">
        <v>359</v>
      </c>
      <c r="D807" t="s">
        <v>360</v>
      </c>
      <c r="E807">
        <v>25</v>
      </c>
      <c r="F807" t="s">
        <v>358</v>
      </c>
      <c r="G807" t="s">
        <v>4231</v>
      </c>
      <c r="H807" t="s">
        <v>5811</v>
      </c>
      <c r="I807" t="s">
        <v>361</v>
      </c>
      <c r="J807" t="s">
        <v>2500</v>
      </c>
    </row>
    <row r="808" spans="1:10" x14ac:dyDescent="0.25">
      <c r="A808" t="s">
        <v>5812</v>
      </c>
      <c r="B808" s="3">
        <v>46284</v>
      </c>
      <c r="C808" t="s">
        <v>337</v>
      </c>
      <c r="D808" t="s">
        <v>240</v>
      </c>
      <c r="E808">
        <v>50</v>
      </c>
      <c r="F808" t="s">
        <v>2</v>
      </c>
      <c r="G808" t="s">
        <v>4231</v>
      </c>
      <c r="H808" t="s">
        <v>5813</v>
      </c>
      <c r="I808" t="s">
        <v>142</v>
      </c>
      <c r="J808" t="s">
        <v>2500</v>
      </c>
    </row>
    <row r="809" spans="1:10" x14ac:dyDescent="0.25">
      <c r="A809" t="s">
        <v>5814</v>
      </c>
      <c r="B809" s="3">
        <v>46284</v>
      </c>
      <c r="C809" t="s">
        <v>263</v>
      </c>
      <c r="D809" t="s">
        <v>213</v>
      </c>
      <c r="E809">
        <v>21</v>
      </c>
      <c r="F809" t="s">
        <v>2</v>
      </c>
      <c r="G809" t="s">
        <v>4222</v>
      </c>
      <c r="H809" t="s">
        <v>5815</v>
      </c>
      <c r="I809" t="s">
        <v>175</v>
      </c>
      <c r="J809" t="s">
        <v>2509</v>
      </c>
    </row>
    <row r="810" spans="1:10" x14ac:dyDescent="0.25">
      <c r="A810" t="s">
        <v>5816</v>
      </c>
      <c r="B810" s="3">
        <v>46284</v>
      </c>
      <c r="C810" t="s">
        <v>593</v>
      </c>
      <c r="D810" t="s">
        <v>594</v>
      </c>
      <c r="E810">
        <v>22</v>
      </c>
      <c r="F810" t="s">
        <v>595</v>
      </c>
      <c r="G810" t="s">
        <v>4228</v>
      </c>
      <c r="H810" t="s">
        <v>5817</v>
      </c>
      <c r="I810" t="s">
        <v>149</v>
      </c>
      <c r="J810" t="s">
        <v>2500</v>
      </c>
    </row>
    <row r="811" spans="1:10" x14ac:dyDescent="0.25">
      <c r="A811" t="s">
        <v>5818</v>
      </c>
      <c r="B811" s="3">
        <v>46284</v>
      </c>
      <c r="C811" t="s">
        <v>352</v>
      </c>
      <c r="D811" t="s">
        <v>344</v>
      </c>
      <c r="E811">
        <v>36</v>
      </c>
      <c r="F811" t="s">
        <v>346</v>
      </c>
      <c r="G811" t="s">
        <v>4231</v>
      </c>
      <c r="H811" t="s">
        <v>5819</v>
      </c>
      <c r="I811" t="s">
        <v>189</v>
      </c>
      <c r="J811" t="s">
        <v>2500</v>
      </c>
    </row>
    <row r="812" spans="1:10" x14ac:dyDescent="0.25">
      <c r="A812" t="s">
        <v>5820</v>
      </c>
      <c r="B812" s="3">
        <v>46284</v>
      </c>
      <c r="C812" t="s">
        <v>431</v>
      </c>
      <c r="D812" t="s">
        <v>354</v>
      </c>
      <c r="E812">
        <v>14</v>
      </c>
      <c r="F812" t="s">
        <v>355</v>
      </c>
      <c r="G812" t="s">
        <v>4225</v>
      </c>
      <c r="H812" t="s">
        <v>5821</v>
      </c>
      <c r="I812" t="s">
        <v>87</v>
      </c>
      <c r="J812" t="s">
        <v>2503</v>
      </c>
    </row>
    <row r="813" spans="1:10" x14ac:dyDescent="0.25">
      <c r="A813" t="s">
        <v>5822</v>
      </c>
      <c r="B813" s="3">
        <v>46284</v>
      </c>
      <c r="C813" t="s">
        <v>565</v>
      </c>
      <c r="D813" t="s">
        <v>474</v>
      </c>
      <c r="E813">
        <v>17</v>
      </c>
      <c r="F813" t="s">
        <v>2</v>
      </c>
      <c r="G813" t="s">
        <v>4234</v>
      </c>
      <c r="H813" t="s">
        <v>5823</v>
      </c>
      <c r="I813" t="s">
        <v>45</v>
      </c>
      <c r="J813" t="s">
        <v>2513</v>
      </c>
    </row>
    <row r="814" spans="1:10" x14ac:dyDescent="0.25">
      <c r="A814" t="s">
        <v>5824</v>
      </c>
      <c r="B814" s="3">
        <v>46284</v>
      </c>
      <c r="C814" t="s">
        <v>596</v>
      </c>
      <c r="D814" t="s">
        <v>597</v>
      </c>
      <c r="E814">
        <v>36</v>
      </c>
      <c r="F814" t="s">
        <v>355</v>
      </c>
      <c r="G814" t="s">
        <v>4222</v>
      </c>
      <c r="H814" t="s">
        <v>5825</v>
      </c>
      <c r="I814" t="s">
        <v>142</v>
      </c>
      <c r="J814" t="s">
        <v>2503</v>
      </c>
    </row>
    <row r="815" spans="1:10" x14ac:dyDescent="0.25">
      <c r="A815" t="s">
        <v>5826</v>
      </c>
      <c r="B815" s="3">
        <v>46284</v>
      </c>
      <c r="C815" t="s">
        <v>80</v>
      </c>
      <c r="D815" t="s">
        <v>54</v>
      </c>
      <c r="E815">
        <v>21</v>
      </c>
      <c r="F815" t="s">
        <v>2</v>
      </c>
      <c r="G815" t="s">
        <v>4222</v>
      </c>
      <c r="H815" t="s">
        <v>5827</v>
      </c>
      <c r="I815" t="s">
        <v>83</v>
      </c>
      <c r="J815" t="s">
        <v>2503</v>
      </c>
    </row>
    <row r="816" spans="1:10" x14ac:dyDescent="0.25">
      <c r="A816" t="s">
        <v>5828</v>
      </c>
      <c r="B816" s="3">
        <v>46284</v>
      </c>
      <c r="C816" t="s">
        <v>434</v>
      </c>
      <c r="D816" t="s">
        <v>360</v>
      </c>
      <c r="E816">
        <v>22</v>
      </c>
      <c r="F816" t="s">
        <v>358</v>
      </c>
      <c r="G816" t="s">
        <v>4228</v>
      </c>
      <c r="H816" t="s">
        <v>5829</v>
      </c>
      <c r="I816" t="s">
        <v>69</v>
      </c>
      <c r="J816" t="s">
        <v>2503</v>
      </c>
    </row>
    <row r="817" spans="1:10" x14ac:dyDescent="0.25">
      <c r="A817" t="s">
        <v>5830</v>
      </c>
      <c r="B817" s="3">
        <v>46284</v>
      </c>
      <c r="C817" t="s">
        <v>508</v>
      </c>
      <c r="D817" t="s">
        <v>476</v>
      </c>
      <c r="E817">
        <v>21</v>
      </c>
      <c r="F817" t="s">
        <v>477</v>
      </c>
      <c r="G817" t="s">
        <v>4231</v>
      </c>
      <c r="H817" t="s">
        <v>5831</v>
      </c>
      <c r="I817" t="s">
        <v>89</v>
      </c>
      <c r="J817" t="s">
        <v>2500</v>
      </c>
    </row>
    <row r="818" spans="1:10" x14ac:dyDescent="0.25">
      <c r="A818" t="s">
        <v>5832</v>
      </c>
      <c r="B818" s="3">
        <v>46285</v>
      </c>
      <c r="C818" t="s">
        <v>511</v>
      </c>
      <c r="D818" t="s">
        <v>502</v>
      </c>
      <c r="E818">
        <v>26</v>
      </c>
      <c r="F818" t="s">
        <v>469</v>
      </c>
      <c r="G818" t="s">
        <v>4234</v>
      </c>
      <c r="H818" t="s">
        <v>5833</v>
      </c>
      <c r="I818" t="s">
        <v>512</v>
      </c>
      <c r="J818" t="s">
        <v>2500</v>
      </c>
    </row>
    <row r="819" spans="1:10" x14ac:dyDescent="0.25">
      <c r="A819" t="s">
        <v>5834</v>
      </c>
      <c r="B819" s="3">
        <v>46285</v>
      </c>
      <c r="C819" t="s">
        <v>604</v>
      </c>
      <c r="D819" t="s">
        <v>599</v>
      </c>
      <c r="E819">
        <v>19</v>
      </c>
      <c r="F819" t="s">
        <v>2</v>
      </c>
      <c r="G819" t="s">
        <v>4222</v>
      </c>
      <c r="H819" t="s">
        <v>5835</v>
      </c>
      <c r="I819" t="s">
        <v>110</v>
      </c>
      <c r="J819" t="s">
        <v>2513</v>
      </c>
    </row>
    <row r="820" spans="1:10" x14ac:dyDescent="0.25">
      <c r="A820" t="s">
        <v>5836</v>
      </c>
      <c r="B820" s="3">
        <v>46285</v>
      </c>
      <c r="C820" t="s">
        <v>186</v>
      </c>
      <c r="D820" t="s">
        <v>26</v>
      </c>
      <c r="E820">
        <v>22</v>
      </c>
      <c r="F820" t="s">
        <v>2</v>
      </c>
      <c r="G820" t="s">
        <v>4222</v>
      </c>
      <c r="H820" t="s">
        <v>4979</v>
      </c>
      <c r="I820" t="s">
        <v>52</v>
      </c>
      <c r="J820" t="s">
        <v>2500</v>
      </c>
    </row>
    <row r="821" spans="1:10" x14ac:dyDescent="0.25">
      <c r="A821" t="s">
        <v>5837</v>
      </c>
      <c r="B821" s="3">
        <v>46285</v>
      </c>
      <c r="C821" t="s">
        <v>136</v>
      </c>
      <c r="D821" t="s">
        <v>21</v>
      </c>
      <c r="E821">
        <v>50</v>
      </c>
      <c r="F821" t="s">
        <v>2</v>
      </c>
      <c r="G821" t="s">
        <v>4228</v>
      </c>
      <c r="H821" t="s">
        <v>5838</v>
      </c>
      <c r="I821" t="s">
        <v>83</v>
      </c>
      <c r="J821" t="s">
        <v>2509</v>
      </c>
    </row>
    <row r="822" spans="1:10" x14ac:dyDescent="0.25">
      <c r="A822" t="s">
        <v>5839</v>
      </c>
      <c r="B822" s="3">
        <v>46285</v>
      </c>
      <c r="C822" t="s">
        <v>186</v>
      </c>
      <c r="D822" t="s">
        <v>26</v>
      </c>
      <c r="E822">
        <v>3</v>
      </c>
      <c r="F822" t="s">
        <v>2</v>
      </c>
      <c r="G822" t="s">
        <v>4225</v>
      </c>
      <c r="H822" t="s">
        <v>5840</v>
      </c>
      <c r="I822" t="s">
        <v>52</v>
      </c>
      <c r="J822" t="s">
        <v>2513</v>
      </c>
    </row>
    <row r="823" spans="1:10" x14ac:dyDescent="0.25">
      <c r="A823" t="s">
        <v>5841</v>
      </c>
      <c r="B823" s="3">
        <v>46285</v>
      </c>
      <c r="C823" t="s">
        <v>506</v>
      </c>
      <c r="D823" t="s">
        <v>471</v>
      </c>
      <c r="E823">
        <v>16</v>
      </c>
      <c r="F823" t="s">
        <v>355</v>
      </c>
      <c r="G823" t="s">
        <v>4231</v>
      </c>
      <c r="H823" t="s">
        <v>5842</v>
      </c>
      <c r="I823" t="s">
        <v>34</v>
      </c>
      <c r="J823" t="s">
        <v>2513</v>
      </c>
    </row>
    <row r="824" spans="1:10" x14ac:dyDescent="0.25">
      <c r="A824" t="s">
        <v>5843</v>
      </c>
      <c r="B824" s="3">
        <v>46285</v>
      </c>
      <c r="C824" t="s">
        <v>353</v>
      </c>
      <c r="D824" t="s">
        <v>354</v>
      </c>
      <c r="E824">
        <v>1</v>
      </c>
      <c r="F824" t="s">
        <v>355</v>
      </c>
      <c r="G824" t="s">
        <v>4222</v>
      </c>
      <c r="H824" t="s">
        <v>4912</v>
      </c>
      <c r="I824" t="s">
        <v>312</v>
      </c>
      <c r="J824" t="s">
        <v>2503</v>
      </c>
    </row>
    <row r="825" spans="1:10" x14ac:dyDescent="0.25">
      <c r="A825" t="s">
        <v>5844</v>
      </c>
      <c r="B825" s="3">
        <v>46285</v>
      </c>
      <c r="C825" t="s">
        <v>646</v>
      </c>
      <c r="D825" t="s">
        <v>599</v>
      </c>
      <c r="E825">
        <v>14</v>
      </c>
      <c r="F825" t="s">
        <v>2</v>
      </c>
      <c r="G825" t="s">
        <v>4222</v>
      </c>
      <c r="H825" t="s">
        <v>5845</v>
      </c>
      <c r="I825" t="s">
        <v>294</v>
      </c>
      <c r="J825" t="s">
        <v>2509</v>
      </c>
    </row>
    <row r="826" spans="1:10" x14ac:dyDescent="0.25">
      <c r="A826" t="s">
        <v>5846</v>
      </c>
      <c r="B826" s="3">
        <v>46285</v>
      </c>
      <c r="C826" t="s">
        <v>417</v>
      </c>
      <c r="D826" t="s">
        <v>349</v>
      </c>
      <c r="E826">
        <v>49</v>
      </c>
      <c r="F826" t="s">
        <v>2</v>
      </c>
      <c r="G826" t="s">
        <v>4225</v>
      </c>
      <c r="H826" t="s">
        <v>5847</v>
      </c>
      <c r="I826" t="s">
        <v>75</v>
      </c>
      <c r="J826" t="s">
        <v>2513</v>
      </c>
    </row>
    <row r="827" spans="1:10" x14ac:dyDescent="0.25">
      <c r="A827" t="s">
        <v>5848</v>
      </c>
      <c r="B827" s="3">
        <v>46285</v>
      </c>
      <c r="C827" t="s">
        <v>90</v>
      </c>
      <c r="D827" t="s">
        <v>15</v>
      </c>
      <c r="E827">
        <v>25</v>
      </c>
      <c r="F827" t="s">
        <v>2</v>
      </c>
      <c r="G827" t="s">
        <v>4234</v>
      </c>
      <c r="H827" t="s">
        <v>5849</v>
      </c>
      <c r="I827" t="s">
        <v>73</v>
      </c>
      <c r="J827" t="s">
        <v>2500</v>
      </c>
    </row>
    <row r="828" spans="1:10" x14ac:dyDescent="0.25">
      <c r="A828" t="s">
        <v>5850</v>
      </c>
      <c r="B828" s="3">
        <v>46285</v>
      </c>
      <c r="C828" t="s">
        <v>226</v>
      </c>
      <c r="D828" t="s">
        <v>227</v>
      </c>
      <c r="E828">
        <v>28</v>
      </c>
      <c r="F828" t="s">
        <v>2</v>
      </c>
      <c r="G828" t="s">
        <v>4222</v>
      </c>
      <c r="H828" t="s">
        <v>5851</v>
      </c>
      <c r="I828" t="s">
        <v>201</v>
      </c>
      <c r="J828" t="s">
        <v>2509</v>
      </c>
    </row>
    <row r="829" spans="1:10" x14ac:dyDescent="0.25">
      <c r="A829" t="s">
        <v>5852</v>
      </c>
      <c r="B829" s="3">
        <v>46285</v>
      </c>
      <c r="C829" t="s">
        <v>271</v>
      </c>
      <c r="D829" t="s">
        <v>225</v>
      </c>
      <c r="E829">
        <v>16</v>
      </c>
      <c r="F829" t="s">
        <v>2</v>
      </c>
      <c r="G829" t="s">
        <v>4225</v>
      </c>
      <c r="H829" t="s">
        <v>5355</v>
      </c>
      <c r="I829" t="s">
        <v>147</v>
      </c>
      <c r="J829" t="s">
        <v>2503</v>
      </c>
    </row>
    <row r="830" spans="1:10" x14ac:dyDescent="0.25">
      <c r="A830" t="s">
        <v>5853</v>
      </c>
      <c r="B830" s="3">
        <v>46285</v>
      </c>
      <c r="C830" t="s">
        <v>128</v>
      </c>
      <c r="D830" t="s">
        <v>47</v>
      </c>
      <c r="E830">
        <v>13</v>
      </c>
      <c r="F830" t="s">
        <v>2</v>
      </c>
      <c r="G830" t="s">
        <v>4225</v>
      </c>
      <c r="H830" t="s">
        <v>5854</v>
      </c>
      <c r="I830" t="s">
        <v>129</v>
      </c>
      <c r="J830" t="s">
        <v>2513</v>
      </c>
    </row>
    <row r="831" spans="1:10" x14ac:dyDescent="0.25">
      <c r="A831" t="s">
        <v>5855</v>
      </c>
      <c r="B831" s="3">
        <v>46285</v>
      </c>
      <c r="C831" t="s">
        <v>686</v>
      </c>
      <c r="D831" t="s">
        <v>589</v>
      </c>
      <c r="E831">
        <v>4</v>
      </c>
      <c r="F831" t="s">
        <v>469</v>
      </c>
      <c r="G831" t="s">
        <v>4222</v>
      </c>
      <c r="H831" t="s">
        <v>5856</v>
      </c>
      <c r="I831" t="s">
        <v>185</v>
      </c>
      <c r="J831" t="s">
        <v>2513</v>
      </c>
    </row>
    <row r="832" spans="1:10" x14ac:dyDescent="0.25">
      <c r="A832" t="s">
        <v>5857</v>
      </c>
      <c r="B832" s="3">
        <v>46285</v>
      </c>
      <c r="C832" t="s">
        <v>222</v>
      </c>
      <c r="D832" t="s">
        <v>223</v>
      </c>
      <c r="E832">
        <v>28</v>
      </c>
      <c r="F832" t="s">
        <v>2</v>
      </c>
      <c r="G832" t="s">
        <v>4231</v>
      </c>
      <c r="H832" t="s">
        <v>4353</v>
      </c>
      <c r="I832" t="s">
        <v>189</v>
      </c>
      <c r="J832" t="s">
        <v>2500</v>
      </c>
    </row>
    <row r="833" spans="1:10" x14ac:dyDescent="0.25">
      <c r="A833" t="s">
        <v>5858</v>
      </c>
      <c r="B833" s="3">
        <v>46285</v>
      </c>
      <c r="C833" t="s">
        <v>470</v>
      </c>
      <c r="D833" t="s">
        <v>471</v>
      </c>
      <c r="E833">
        <v>37</v>
      </c>
      <c r="F833" t="s">
        <v>355</v>
      </c>
      <c r="G833" t="s">
        <v>4234</v>
      </c>
      <c r="H833" t="s">
        <v>5859</v>
      </c>
      <c r="I833" t="s">
        <v>195</v>
      </c>
      <c r="J833" t="s">
        <v>2509</v>
      </c>
    </row>
    <row r="834" spans="1:10" x14ac:dyDescent="0.25">
      <c r="A834" t="s">
        <v>5860</v>
      </c>
      <c r="B834" s="3">
        <v>46285</v>
      </c>
      <c r="C834" t="s">
        <v>392</v>
      </c>
      <c r="D834" t="s">
        <v>349</v>
      </c>
      <c r="E834">
        <v>18</v>
      </c>
      <c r="F834" t="s">
        <v>2</v>
      </c>
      <c r="G834" t="s">
        <v>4225</v>
      </c>
      <c r="H834" t="s">
        <v>5861</v>
      </c>
      <c r="I834" t="s">
        <v>24</v>
      </c>
      <c r="J834" t="s">
        <v>2503</v>
      </c>
    </row>
    <row r="835" spans="1:10" x14ac:dyDescent="0.25">
      <c r="A835" t="s">
        <v>5862</v>
      </c>
      <c r="B835" s="3">
        <v>46285</v>
      </c>
      <c r="C835" t="s">
        <v>315</v>
      </c>
      <c r="D835" t="s">
        <v>213</v>
      </c>
      <c r="E835">
        <v>16</v>
      </c>
      <c r="F835" t="s">
        <v>2</v>
      </c>
      <c r="G835" t="s">
        <v>4225</v>
      </c>
      <c r="H835" t="s">
        <v>5863</v>
      </c>
      <c r="I835" t="s">
        <v>189</v>
      </c>
      <c r="J835" t="s">
        <v>2513</v>
      </c>
    </row>
    <row r="836" spans="1:10" x14ac:dyDescent="0.25">
      <c r="A836" t="s">
        <v>5864</v>
      </c>
      <c r="B836" s="3">
        <v>46285</v>
      </c>
      <c r="C836" t="s">
        <v>326</v>
      </c>
      <c r="D836" t="s">
        <v>223</v>
      </c>
      <c r="E836">
        <v>39</v>
      </c>
      <c r="F836" t="s">
        <v>2</v>
      </c>
      <c r="G836" t="s">
        <v>4222</v>
      </c>
      <c r="H836" t="s">
        <v>5227</v>
      </c>
      <c r="I836" t="s">
        <v>327</v>
      </c>
      <c r="J836" t="s">
        <v>2509</v>
      </c>
    </row>
    <row r="837" spans="1:10" x14ac:dyDescent="0.25">
      <c r="A837" t="s">
        <v>5865</v>
      </c>
      <c r="B837" s="3">
        <v>46285</v>
      </c>
      <c r="C837" t="s">
        <v>483</v>
      </c>
      <c r="D837" t="s">
        <v>484</v>
      </c>
      <c r="E837">
        <v>47</v>
      </c>
      <c r="F837" t="s">
        <v>469</v>
      </c>
      <c r="G837" t="s">
        <v>4231</v>
      </c>
      <c r="H837" t="s">
        <v>5866</v>
      </c>
      <c r="I837" t="s">
        <v>368</v>
      </c>
      <c r="J837" t="s">
        <v>2513</v>
      </c>
    </row>
    <row r="838" spans="1:10" x14ac:dyDescent="0.25">
      <c r="A838" t="s">
        <v>5867</v>
      </c>
      <c r="B838" s="3">
        <v>46285</v>
      </c>
      <c r="C838" t="s">
        <v>302</v>
      </c>
      <c r="D838" t="s">
        <v>261</v>
      </c>
      <c r="E838">
        <v>41</v>
      </c>
      <c r="F838" t="s">
        <v>2</v>
      </c>
      <c r="G838" t="s">
        <v>4222</v>
      </c>
      <c r="H838" t="s">
        <v>5868</v>
      </c>
      <c r="I838" t="s">
        <v>133</v>
      </c>
      <c r="J838" t="s">
        <v>2503</v>
      </c>
    </row>
    <row r="839" spans="1:10" x14ac:dyDescent="0.25">
      <c r="A839" t="s">
        <v>5869</v>
      </c>
      <c r="B839" s="3">
        <v>46285</v>
      </c>
      <c r="C839" t="s">
        <v>413</v>
      </c>
      <c r="D839" t="s">
        <v>360</v>
      </c>
      <c r="E839">
        <v>13</v>
      </c>
      <c r="F839" t="s">
        <v>358</v>
      </c>
      <c r="G839" t="s">
        <v>4225</v>
      </c>
      <c r="H839" t="s">
        <v>5870</v>
      </c>
      <c r="I839" t="s">
        <v>368</v>
      </c>
      <c r="J839" t="s">
        <v>2500</v>
      </c>
    </row>
    <row r="840" spans="1:10" x14ac:dyDescent="0.25">
      <c r="A840" t="s">
        <v>5871</v>
      </c>
      <c r="B840" s="3">
        <v>46285</v>
      </c>
      <c r="C840" t="s">
        <v>146</v>
      </c>
      <c r="D840" t="s">
        <v>1</v>
      </c>
      <c r="E840">
        <v>16</v>
      </c>
      <c r="F840" t="s">
        <v>2</v>
      </c>
      <c r="G840" t="s">
        <v>4225</v>
      </c>
      <c r="H840" t="s">
        <v>5872</v>
      </c>
      <c r="I840" t="s">
        <v>147</v>
      </c>
      <c r="J840" t="s">
        <v>2509</v>
      </c>
    </row>
    <row r="841" spans="1:10" x14ac:dyDescent="0.25">
      <c r="A841" t="s">
        <v>5873</v>
      </c>
      <c r="B841" s="3">
        <v>46285</v>
      </c>
      <c r="C841" t="s">
        <v>373</v>
      </c>
      <c r="D841" t="s">
        <v>364</v>
      </c>
      <c r="E841">
        <v>40</v>
      </c>
      <c r="F841" t="s">
        <v>358</v>
      </c>
      <c r="G841" t="s">
        <v>4222</v>
      </c>
      <c r="H841" t="s">
        <v>5874</v>
      </c>
      <c r="I841" t="s">
        <v>206</v>
      </c>
      <c r="J841" t="s">
        <v>2509</v>
      </c>
    </row>
    <row r="842" spans="1:10" x14ac:dyDescent="0.25">
      <c r="A842" t="s">
        <v>5875</v>
      </c>
      <c r="B842" s="3">
        <v>46285</v>
      </c>
      <c r="C842" t="s">
        <v>530</v>
      </c>
      <c r="D842" t="s">
        <v>481</v>
      </c>
      <c r="E842">
        <v>40</v>
      </c>
      <c r="F842" t="s">
        <v>2</v>
      </c>
      <c r="G842" t="s">
        <v>4234</v>
      </c>
      <c r="H842" t="s">
        <v>5876</v>
      </c>
      <c r="I842" t="s">
        <v>124</v>
      </c>
      <c r="J842" t="s">
        <v>2503</v>
      </c>
    </row>
    <row r="843" spans="1:10" x14ac:dyDescent="0.25">
      <c r="A843" t="s">
        <v>5877</v>
      </c>
      <c r="B843" s="3">
        <v>46285</v>
      </c>
      <c r="C843" t="s">
        <v>418</v>
      </c>
      <c r="D843" t="s">
        <v>349</v>
      </c>
      <c r="E843">
        <v>21</v>
      </c>
      <c r="F843" t="s">
        <v>2</v>
      </c>
      <c r="G843" t="s">
        <v>4231</v>
      </c>
      <c r="H843" t="s">
        <v>5587</v>
      </c>
      <c r="I843" t="s">
        <v>250</v>
      </c>
      <c r="J843" t="s">
        <v>2500</v>
      </c>
    </row>
    <row r="844" spans="1:10" x14ac:dyDescent="0.25">
      <c r="A844" t="s">
        <v>5878</v>
      </c>
      <c r="B844" s="3">
        <v>46285</v>
      </c>
      <c r="C844" t="s">
        <v>341</v>
      </c>
      <c r="D844" t="s">
        <v>234</v>
      </c>
      <c r="E844">
        <v>49</v>
      </c>
      <c r="F844" t="s">
        <v>2</v>
      </c>
      <c r="G844" t="s">
        <v>4234</v>
      </c>
      <c r="H844" t="s">
        <v>5879</v>
      </c>
      <c r="I844" t="s">
        <v>161</v>
      </c>
      <c r="J844" t="s">
        <v>2500</v>
      </c>
    </row>
    <row r="845" spans="1:10" x14ac:dyDescent="0.25">
      <c r="A845" t="s">
        <v>5880</v>
      </c>
      <c r="B845" s="3">
        <v>46285</v>
      </c>
      <c r="C845" t="s">
        <v>691</v>
      </c>
      <c r="D845" t="s">
        <v>585</v>
      </c>
      <c r="E845">
        <v>13</v>
      </c>
      <c r="F845" t="s">
        <v>355</v>
      </c>
      <c r="G845" t="s">
        <v>4228</v>
      </c>
      <c r="H845" t="s">
        <v>5881</v>
      </c>
      <c r="I845" t="s">
        <v>19</v>
      </c>
      <c r="J845" t="s">
        <v>2509</v>
      </c>
    </row>
    <row r="846" spans="1:10" x14ac:dyDescent="0.25">
      <c r="A846" t="s">
        <v>5882</v>
      </c>
      <c r="B846" s="3">
        <v>46285</v>
      </c>
      <c r="C846" t="s">
        <v>430</v>
      </c>
      <c r="D846" t="s">
        <v>349</v>
      </c>
      <c r="E846">
        <v>4</v>
      </c>
      <c r="F846" t="s">
        <v>2</v>
      </c>
      <c r="G846" t="s">
        <v>4234</v>
      </c>
      <c r="H846" t="s">
        <v>5883</v>
      </c>
      <c r="I846" t="s">
        <v>64</v>
      </c>
      <c r="J846" t="s">
        <v>2513</v>
      </c>
    </row>
    <row r="847" spans="1:10" x14ac:dyDescent="0.25">
      <c r="A847" t="s">
        <v>5884</v>
      </c>
      <c r="B847" s="3">
        <v>46285</v>
      </c>
      <c r="C847" t="s">
        <v>43</v>
      </c>
      <c r="D847" t="s">
        <v>44</v>
      </c>
      <c r="E847">
        <v>6</v>
      </c>
      <c r="F847" t="s">
        <v>2</v>
      </c>
      <c r="G847" t="s">
        <v>4231</v>
      </c>
      <c r="H847" t="s">
        <v>5885</v>
      </c>
      <c r="I847" t="s">
        <v>45</v>
      </c>
      <c r="J847" t="s">
        <v>2503</v>
      </c>
    </row>
    <row r="848" spans="1:10" x14ac:dyDescent="0.25">
      <c r="A848" t="s">
        <v>5886</v>
      </c>
      <c r="B848" s="3">
        <v>46285</v>
      </c>
      <c r="C848" t="s">
        <v>273</v>
      </c>
      <c r="D848" t="s">
        <v>234</v>
      </c>
      <c r="E848">
        <v>2</v>
      </c>
      <c r="F848" t="s">
        <v>2</v>
      </c>
      <c r="G848" t="s">
        <v>4234</v>
      </c>
      <c r="H848" t="s">
        <v>5887</v>
      </c>
      <c r="I848" t="s">
        <v>274</v>
      </c>
      <c r="J848" t="s">
        <v>2500</v>
      </c>
    </row>
    <row r="849" spans="1:10" x14ac:dyDescent="0.25">
      <c r="A849" t="s">
        <v>5888</v>
      </c>
      <c r="B849" s="3">
        <v>46285</v>
      </c>
      <c r="C849" t="s">
        <v>296</v>
      </c>
      <c r="D849" t="s">
        <v>234</v>
      </c>
      <c r="E849">
        <v>27</v>
      </c>
      <c r="F849" t="s">
        <v>2</v>
      </c>
      <c r="G849" t="s">
        <v>4231</v>
      </c>
      <c r="H849" t="s">
        <v>5889</v>
      </c>
      <c r="I849" t="s">
        <v>297</v>
      </c>
      <c r="J849" t="s">
        <v>2500</v>
      </c>
    </row>
    <row r="850" spans="1:10" x14ac:dyDescent="0.25">
      <c r="A850" t="s">
        <v>5890</v>
      </c>
      <c r="B850" s="3">
        <v>46285</v>
      </c>
      <c r="C850" t="s">
        <v>616</v>
      </c>
      <c r="D850" t="s">
        <v>589</v>
      </c>
      <c r="E850">
        <v>7</v>
      </c>
      <c r="F850" t="s">
        <v>469</v>
      </c>
      <c r="G850" t="s">
        <v>4222</v>
      </c>
      <c r="H850" t="s">
        <v>5891</v>
      </c>
      <c r="I850" t="s">
        <v>110</v>
      </c>
      <c r="J850" t="s">
        <v>2503</v>
      </c>
    </row>
    <row r="851" spans="1:10" x14ac:dyDescent="0.25">
      <c r="A851" t="s">
        <v>5892</v>
      </c>
      <c r="B851" s="3">
        <v>46285</v>
      </c>
      <c r="C851" t="s">
        <v>207</v>
      </c>
      <c r="D851" t="s">
        <v>29</v>
      </c>
      <c r="E851">
        <v>30</v>
      </c>
      <c r="F851" t="s">
        <v>2</v>
      </c>
      <c r="G851" t="s">
        <v>4228</v>
      </c>
      <c r="H851" t="s">
        <v>5893</v>
      </c>
      <c r="I851" t="s">
        <v>208</v>
      </c>
      <c r="J851" t="s">
        <v>2503</v>
      </c>
    </row>
    <row r="852" spans="1:10" x14ac:dyDescent="0.25">
      <c r="A852" t="s">
        <v>5894</v>
      </c>
      <c r="B852" s="3">
        <v>46285</v>
      </c>
      <c r="C852" t="s">
        <v>39</v>
      </c>
      <c r="D852" t="s">
        <v>21</v>
      </c>
      <c r="E852">
        <v>41</v>
      </c>
      <c r="F852" t="s">
        <v>2</v>
      </c>
      <c r="G852" t="s">
        <v>4234</v>
      </c>
      <c r="H852" t="s">
        <v>5895</v>
      </c>
      <c r="I852" t="s">
        <v>42</v>
      </c>
      <c r="J852" t="s">
        <v>2503</v>
      </c>
    </row>
    <row r="853" spans="1:10" x14ac:dyDescent="0.25">
      <c r="A853" t="s">
        <v>5896</v>
      </c>
      <c r="B853" s="3">
        <v>46285</v>
      </c>
      <c r="C853" t="s">
        <v>649</v>
      </c>
      <c r="D853" t="s">
        <v>597</v>
      </c>
      <c r="E853">
        <v>35</v>
      </c>
      <c r="F853" t="s">
        <v>355</v>
      </c>
      <c r="G853" t="s">
        <v>4231</v>
      </c>
      <c r="H853" t="s">
        <v>5897</v>
      </c>
      <c r="I853" t="s">
        <v>361</v>
      </c>
      <c r="J853" t="s">
        <v>2503</v>
      </c>
    </row>
    <row r="854" spans="1:10" x14ac:dyDescent="0.25">
      <c r="A854" t="s">
        <v>5898</v>
      </c>
      <c r="B854" s="3">
        <v>46285</v>
      </c>
      <c r="C854" t="s">
        <v>281</v>
      </c>
      <c r="D854" t="s">
        <v>216</v>
      </c>
      <c r="E854">
        <v>29</v>
      </c>
      <c r="F854" t="s">
        <v>2</v>
      </c>
      <c r="G854" t="s">
        <v>4222</v>
      </c>
      <c r="H854" t="s">
        <v>5899</v>
      </c>
      <c r="I854" t="s">
        <v>166</v>
      </c>
      <c r="J854" t="s">
        <v>2509</v>
      </c>
    </row>
    <row r="855" spans="1:10" x14ac:dyDescent="0.25">
      <c r="A855" t="s">
        <v>5900</v>
      </c>
      <c r="B855" s="3">
        <v>46285</v>
      </c>
      <c r="C855" t="s">
        <v>205</v>
      </c>
      <c r="D855" t="s">
        <v>54</v>
      </c>
      <c r="E855">
        <v>25</v>
      </c>
      <c r="F855" t="s">
        <v>2</v>
      </c>
      <c r="G855" t="s">
        <v>4231</v>
      </c>
      <c r="H855" t="s">
        <v>5901</v>
      </c>
      <c r="I855" t="s">
        <v>206</v>
      </c>
      <c r="J855" t="s">
        <v>2500</v>
      </c>
    </row>
    <row r="856" spans="1:10" x14ac:dyDescent="0.25">
      <c r="A856" t="s">
        <v>5902</v>
      </c>
      <c r="B856" s="3">
        <v>46285</v>
      </c>
      <c r="C856" t="s">
        <v>275</v>
      </c>
      <c r="D856" t="s">
        <v>218</v>
      </c>
      <c r="E856">
        <v>19</v>
      </c>
      <c r="F856" t="s">
        <v>2</v>
      </c>
      <c r="G856" t="s">
        <v>4231</v>
      </c>
      <c r="H856" t="s">
        <v>5903</v>
      </c>
      <c r="I856" t="s">
        <v>259</v>
      </c>
      <c r="J856" t="s">
        <v>2509</v>
      </c>
    </row>
    <row r="857" spans="1:10" x14ac:dyDescent="0.25">
      <c r="A857" t="s">
        <v>5904</v>
      </c>
      <c r="B857" s="3">
        <v>46285</v>
      </c>
      <c r="C857" t="s">
        <v>236</v>
      </c>
      <c r="D857" t="s">
        <v>223</v>
      </c>
      <c r="E857">
        <v>14</v>
      </c>
      <c r="F857" t="s">
        <v>2</v>
      </c>
      <c r="G857" t="s">
        <v>4234</v>
      </c>
      <c r="H857" t="s">
        <v>5905</v>
      </c>
      <c r="I857" t="s">
        <v>34</v>
      </c>
      <c r="J857" t="s">
        <v>2503</v>
      </c>
    </row>
    <row r="858" spans="1:10" x14ac:dyDescent="0.25">
      <c r="A858" t="s">
        <v>5906</v>
      </c>
      <c r="B858" s="3">
        <v>46285</v>
      </c>
      <c r="C858" t="s">
        <v>441</v>
      </c>
      <c r="D858" t="s">
        <v>366</v>
      </c>
      <c r="E858">
        <v>41</v>
      </c>
      <c r="F858" t="s">
        <v>2</v>
      </c>
      <c r="G858" t="s">
        <v>4231</v>
      </c>
      <c r="H858" t="s">
        <v>5907</v>
      </c>
      <c r="I858" t="s">
        <v>314</v>
      </c>
      <c r="J858" t="s">
        <v>2513</v>
      </c>
    </row>
    <row r="859" spans="1:10" x14ac:dyDescent="0.25">
      <c r="A859" t="s">
        <v>5908</v>
      </c>
      <c r="B859" s="3">
        <v>46285</v>
      </c>
      <c r="C859" t="s">
        <v>251</v>
      </c>
      <c r="D859" t="s">
        <v>216</v>
      </c>
      <c r="E859">
        <v>22</v>
      </c>
      <c r="F859" t="s">
        <v>2</v>
      </c>
      <c r="G859" t="s">
        <v>4228</v>
      </c>
      <c r="H859" t="s">
        <v>5909</v>
      </c>
      <c r="I859" t="s">
        <v>71</v>
      </c>
      <c r="J859" t="s">
        <v>2513</v>
      </c>
    </row>
    <row r="860" spans="1:10" x14ac:dyDescent="0.25">
      <c r="A860" t="s">
        <v>5910</v>
      </c>
      <c r="B860" s="3">
        <v>46285</v>
      </c>
      <c r="C860" t="s">
        <v>498</v>
      </c>
      <c r="D860" t="s">
        <v>488</v>
      </c>
      <c r="E860">
        <v>40</v>
      </c>
      <c r="F860" t="s">
        <v>469</v>
      </c>
      <c r="G860" t="s">
        <v>4222</v>
      </c>
      <c r="H860" t="s">
        <v>5911</v>
      </c>
      <c r="I860" t="s">
        <v>52</v>
      </c>
      <c r="J860" t="s">
        <v>2509</v>
      </c>
    </row>
    <row r="861" spans="1:10" x14ac:dyDescent="0.25">
      <c r="A861" t="s">
        <v>5912</v>
      </c>
      <c r="B861" s="3">
        <v>46285</v>
      </c>
      <c r="C861" t="s">
        <v>76</v>
      </c>
      <c r="D861" t="s">
        <v>15</v>
      </c>
      <c r="E861">
        <v>14</v>
      </c>
      <c r="F861" t="s">
        <v>2</v>
      </c>
      <c r="G861" t="s">
        <v>4228</v>
      </c>
      <c r="H861" t="s">
        <v>5913</v>
      </c>
      <c r="I861" t="s">
        <v>77</v>
      </c>
      <c r="J861" t="s">
        <v>2513</v>
      </c>
    </row>
    <row r="862" spans="1:10" x14ac:dyDescent="0.25">
      <c r="A862" t="s">
        <v>5914</v>
      </c>
      <c r="B862" s="3">
        <v>46286</v>
      </c>
      <c r="C862" t="s">
        <v>412</v>
      </c>
      <c r="D862" t="s">
        <v>351</v>
      </c>
      <c r="E862">
        <v>11</v>
      </c>
      <c r="F862" t="s">
        <v>2</v>
      </c>
      <c r="G862" t="s">
        <v>4222</v>
      </c>
      <c r="H862" t="s">
        <v>5915</v>
      </c>
      <c r="I862" t="s">
        <v>140</v>
      </c>
      <c r="J862" t="s">
        <v>2503</v>
      </c>
    </row>
    <row r="863" spans="1:10" x14ac:dyDescent="0.25">
      <c r="A863" t="s">
        <v>5916</v>
      </c>
      <c r="B863" s="3">
        <v>46286</v>
      </c>
      <c r="C863" t="s">
        <v>398</v>
      </c>
      <c r="D863" t="s">
        <v>344</v>
      </c>
      <c r="E863">
        <v>43</v>
      </c>
      <c r="F863" t="s">
        <v>346</v>
      </c>
      <c r="G863" t="s">
        <v>4222</v>
      </c>
      <c r="H863" t="s">
        <v>5917</v>
      </c>
      <c r="I863" t="s">
        <v>108</v>
      </c>
      <c r="J863" t="s">
        <v>2509</v>
      </c>
    </row>
    <row r="864" spans="1:10" x14ac:dyDescent="0.25">
      <c r="A864" t="s">
        <v>5918</v>
      </c>
      <c r="B864" s="3">
        <v>46286</v>
      </c>
      <c r="C864" t="s">
        <v>209</v>
      </c>
      <c r="D864" t="s">
        <v>210</v>
      </c>
      <c r="E864">
        <v>17</v>
      </c>
      <c r="F864" t="s">
        <v>2</v>
      </c>
      <c r="G864" t="s">
        <v>4225</v>
      </c>
      <c r="H864" t="s">
        <v>5919</v>
      </c>
      <c r="I864" t="s">
        <v>183</v>
      </c>
      <c r="J864" t="s">
        <v>2503</v>
      </c>
    </row>
    <row r="865" spans="1:10" x14ac:dyDescent="0.25">
      <c r="A865" t="s">
        <v>5920</v>
      </c>
      <c r="B865" s="3">
        <v>46286</v>
      </c>
      <c r="C865" t="s">
        <v>525</v>
      </c>
      <c r="D865" t="s">
        <v>474</v>
      </c>
      <c r="E865">
        <v>27</v>
      </c>
      <c r="F865" t="s">
        <v>2</v>
      </c>
      <c r="G865" t="s">
        <v>4225</v>
      </c>
      <c r="H865" t="s">
        <v>5921</v>
      </c>
      <c r="I865" t="s">
        <v>104</v>
      </c>
      <c r="J865" t="s">
        <v>2509</v>
      </c>
    </row>
    <row r="866" spans="1:10" x14ac:dyDescent="0.25">
      <c r="A866" t="s">
        <v>5922</v>
      </c>
      <c r="B866" s="3">
        <v>46286</v>
      </c>
      <c r="C866" t="s">
        <v>162</v>
      </c>
      <c r="D866" t="s">
        <v>163</v>
      </c>
      <c r="E866">
        <v>28</v>
      </c>
      <c r="F866" t="s">
        <v>2</v>
      </c>
      <c r="G866" t="s">
        <v>4234</v>
      </c>
      <c r="H866" t="s">
        <v>4833</v>
      </c>
      <c r="I866" t="s">
        <v>164</v>
      </c>
      <c r="J866" t="s">
        <v>2513</v>
      </c>
    </row>
    <row r="867" spans="1:10" x14ac:dyDescent="0.25">
      <c r="A867" t="s">
        <v>5923</v>
      </c>
      <c r="B867" s="3">
        <v>46286</v>
      </c>
      <c r="C867" t="s">
        <v>532</v>
      </c>
      <c r="D867" t="s">
        <v>488</v>
      </c>
      <c r="E867">
        <v>38</v>
      </c>
      <c r="F867" t="s">
        <v>469</v>
      </c>
      <c r="G867" t="s">
        <v>4234</v>
      </c>
      <c r="H867" t="s">
        <v>5924</v>
      </c>
      <c r="I867" t="s">
        <v>106</v>
      </c>
      <c r="J867" t="s">
        <v>2509</v>
      </c>
    </row>
    <row r="868" spans="1:10" x14ac:dyDescent="0.25">
      <c r="A868" t="s">
        <v>5925</v>
      </c>
      <c r="B868" s="3">
        <v>46286</v>
      </c>
      <c r="C868" t="s">
        <v>461</v>
      </c>
      <c r="D868" t="s">
        <v>344</v>
      </c>
      <c r="E868">
        <v>3</v>
      </c>
      <c r="F868" t="s">
        <v>346</v>
      </c>
      <c r="G868" t="s">
        <v>4231</v>
      </c>
      <c r="H868" t="s">
        <v>5926</v>
      </c>
      <c r="I868" t="s">
        <v>219</v>
      </c>
      <c r="J868" t="s">
        <v>2500</v>
      </c>
    </row>
    <row r="869" spans="1:10" x14ac:dyDescent="0.25">
      <c r="A869" t="s">
        <v>5927</v>
      </c>
      <c r="B869" s="3">
        <v>46286</v>
      </c>
      <c r="C869" t="s">
        <v>107</v>
      </c>
      <c r="D869" t="s">
        <v>29</v>
      </c>
      <c r="E869">
        <v>46</v>
      </c>
      <c r="F869" t="s">
        <v>2</v>
      </c>
      <c r="G869" t="s">
        <v>4225</v>
      </c>
      <c r="H869" t="s">
        <v>5928</v>
      </c>
      <c r="I869" t="s">
        <v>108</v>
      </c>
      <c r="J869" t="s">
        <v>2513</v>
      </c>
    </row>
    <row r="870" spans="1:10" x14ac:dyDescent="0.25">
      <c r="A870" t="s">
        <v>5929</v>
      </c>
      <c r="B870" s="3">
        <v>46286</v>
      </c>
      <c r="C870" t="s">
        <v>276</v>
      </c>
      <c r="D870" t="s">
        <v>225</v>
      </c>
      <c r="E870">
        <v>25</v>
      </c>
      <c r="F870" t="s">
        <v>2</v>
      </c>
      <c r="G870" t="s">
        <v>4228</v>
      </c>
      <c r="H870" t="s">
        <v>5930</v>
      </c>
      <c r="I870" t="s">
        <v>38</v>
      </c>
      <c r="J870" t="s">
        <v>2513</v>
      </c>
    </row>
    <row r="871" spans="1:10" x14ac:dyDescent="0.25">
      <c r="A871" t="s">
        <v>5931</v>
      </c>
      <c r="B871" s="3">
        <v>46286</v>
      </c>
      <c r="C871" t="s">
        <v>690</v>
      </c>
      <c r="D871" t="s">
        <v>597</v>
      </c>
      <c r="E871">
        <v>30</v>
      </c>
      <c r="F871" t="s">
        <v>355</v>
      </c>
      <c r="G871" t="s">
        <v>4222</v>
      </c>
      <c r="H871" t="s">
        <v>5932</v>
      </c>
      <c r="I871" t="s">
        <v>52</v>
      </c>
      <c r="J871" t="s">
        <v>2500</v>
      </c>
    </row>
    <row r="872" spans="1:10" x14ac:dyDescent="0.25">
      <c r="A872" t="s">
        <v>5933</v>
      </c>
      <c r="B872" s="3">
        <v>46286</v>
      </c>
      <c r="C872" t="s">
        <v>626</v>
      </c>
      <c r="D872" t="s">
        <v>589</v>
      </c>
      <c r="E872">
        <v>49</v>
      </c>
      <c r="F872" t="s">
        <v>469</v>
      </c>
      <c r="G872" t="s">
        <v>4234</v>
      </c>
      <c r="H872" t="s">
        <v>5934</v>
      </c>
      <c r="I872" t="s">
        <v>289</v>
      </c>
      <c r="J872" t="s">
        <v>2509</v>
      </c>
    </row>
    <row r="873" spans="1:10" x14ac:dyDescent="0.25">
      <c r="A873" t="s">
        <v>5935</v>
      </c>
      <c r="B873" s="3">
        <v>46286</v>
      </c>
      <c r="C873" t="s">
        <v>308</v>
      </c>
      <c r="D873" t="s">
        <v>227</v>
      </c>
      <c r="E873">
        <v>1</v>
      </c>
      <c r="F873" t="s">
        <v>2</v>
      </c>
      <c r="G873" t="s">
        <v>4234</v>
      </c>
      <c r="H873" t="s">
        <v>5936</v>
      </c>
      <c r="I873" t="s">
        <v>259</v>
      </c>
      <c r="J873" t="s">
        <v>2503</v>
      </c>
    </row>
    <row r="874" spans="1:10" x14ac:dyDescent="0.25">
      <c r="A874" t="s">
        <v>5937</v>
      </c>
      <c r="B874" s="3">
        <v>46286</v>
      </c>
      <c r="C874" t="s">
        <v>337</v>
      </c>
      <c r="D874" t="s">
        <v>240</v>
      </c>
      <c r="E874">
        <v>29</v>
      </c>
      <c r="F874" t="s">
        <v>2</v>
      </c>
      <c r="G874" t="s">
        <v>4234</v>
      </c>
      <c r="H874" t="s">
        <v>5938</v>
      </c>
      <c r="I874" t="s">
        <v>142</v>
      </c>
      <c r="J874" t="s">
        <v>2503</v>
      </c>
    </row>
    <row r="875" spans="1:10" x14ac:dyDescent="0.25">
      <c r="A875" t="s">
        <v>5939</v>
      </c>
      <c r="B875" s="3">
        <v>46286</v>
      </c>
      <c r="C875" t="s">
        <v>674</v>
      </c>
      <c r="D875" t="s">
        <v>587</v>
      </c>
      <c r="E875">
        <v>49</v>
      </c>
      <c r="F875" t="s">
        <v>2</v>
      </c>
      <c r="G875" t="s">
        <v>4222</v>
      </c>
      <c r="H875" t="s">
        <v>5940</v>
      </c>
      <c r="I875" t="s">
        <v>75</v>
      </c>
      <c r="J875" t="s">
        <v>2509</v>
      </c>
    </row>
    <row r="876" spans="1:10" x14ac:dyDescent="0.25">
      <c r="A876" t="s">
        <v>5941</v>
      </c>
      <c r="B876" s="3">
        <v>46286</v>
      </c>
      <c r="C876" t="s">
        <v>424</v>
      </c>
      <c r="D876" t="s">
        <v>349</v>
      </c>
      <c r="E876">
        <v>8</v>
      </c>
      <c r="F876" t="s">
        <v>2</v>
      </c>
      <c r="G876" t="s">
        <v>4225</v>
      </c>
      <c r="H876" t="s">
        <v>4787</v>
      </c>
      <c r="I876" t="s">
        <v>152</v>
      </c>
      <c r="J876" t="s">
        <v>2509</v>
      </c>
    </row>
    <row r="877" spans="1:10" x14ac:dyDescent="0.25">
      <c r="A877" t="s">
        <v>5942</v>
      </c>
      <c r="B877" s="3">
        <v>46286</v>
      </c>
      <c r="C877" t="s">
        <v>295</v>
      </c>
      <c r="D877" t="s">
        <v>210</v>
      </c>
      <c r="E877">
        <v>16</v>
      </c>
      <c r="F877" t="s">
        <v>2</v>
      </c>
      <c r="G877" t="s">
        <v>4231</v>
      </c>
      <c r="H877" t="s">
        <v>5943</v>
      </c>
      <c r="I877" t="s">
        <v>140</v>
      </c>
      <c r="J877" t="s">
        <v>2503</v>
      </c>
    </row>
    <row r="878" spans="1:10" x14ac:dyDescent="0.25">
      <c r="A878" t="s">
        <v>5944</v>
      </c>
      <c r="B878" s="3">
        <v>46286</v>
      </c>
      <c r="C878" t="s">
        <v>243</v>
      </c>
      <c r="D878" t="s">
        <v>213</v>
      </c>
      <c r="E878">
        <v>18</v>
      </c>
      <c r="F878" t="s">
        <v>2</v>
      </c>
      <c r="G878" t="s">
        <v>4234</v>
      </c>
      <c r="H878" t="s">
        <v>5945</v>
      </c>
      <c r="I878" t="s">
        <v>177</v>
      </c>
      <c r="J878" t="s">
        <v>2500</v>
      </c>
    </row>
    <row r="879" spans="1:10" x14ac:dyDescent="0.25">
      <c r="A879" t="s">
        <v>5946</v>
      </c>
      <c r="B879" s="3">
        <v>46286</v>
      </c>
      <c r="C879" t="s">
        <v>182</v>
      </c>
      <c r="D879" t="s">
        <v>15</v>
      </c>
      <c r="E879">
        <v>9</v>
      </c>
      <c r="F879" t="s">
        <v>2</v>
      </c>
      <c r="G879" t="s">
        <v>4231</v>
      </c>
      <c r="H879" t="s">
        <v>5947</v>
      </c>
      <c r="I879" t="s">
        <v>183</v>
      </c>
      <c r="J879" t="s">
        <v>2509</v>
      </c>
    </row>
    <row r="880" spans="1:10" x14ac:dyDescent="0.25">
      <c r="A880" t="s">
        <v>5948</v>
      </c>
      <c r="B880" s="3">
        <v>46286</v>
      </c>
      <c r="C880" t="s">
        <v>116</v>
      </c>
      <c r="D880" t="s">
        <v>54</v>
      </c>
      <c r="E880">
        <v>8</v>
      </c>
      <c r="F880" t="s">
        <v>2</v>
      </c>
      <c r="G880" t="s">
        <v>4228</v>
      </c>
      <c r="H880" t="s">
        <v>5949</v>
      </c>
      <c r="I880" t="s">
        <v>117</v>
      </c>
      <c r="J880" t="s">
        <v>2513</v>
      </c>
    </row>
    <row r="881" spans="1:10" x14ac:dyDescent="0.25">
      <c r="A881" t="s">
        <v>5950</v>
      </c>
      <c r="B881" s="3">
        <v>46286</v>
      </c>
      <c r="C881" t="s">
        <v>507</v>
      </c>
      <c r="D881" t="s">
        <v>471</v>
      </c>
      <c r="E881">
        <v>48</v>
      </c>
      <c r="F881" t="s">
        <v>355</v>
      </c>
      <c r="G881" t="s">
        <v>4222</v>
      </c>
      <c r="H881" t="s">
        <v>5951</v>
      </c>
      <c r="I881" t="s">
        <v>19</v>
      </c>
      <c r="J881" t="s">
        <v>2500</v>
      </c>
    </row>
    <row r="882" spans="1:10" x14ac:dyDescent="0.25">
      <c r="A882" t="s">
        <v>5952</v>
      </c>
      <c r="B882" s="3">
        <v>46286</v>
      </c>
      <c r="C882" t="s">
        <v>552</v>
      </c>
      <c r="D882" t="s">
        <v>476</v>
      </c>
      <c r="E882">
        <v>29</v>
      </c>
      <c r="F882" t="s">
        <v>477</v>
      </c>
      <c r="G882" t="s">
        <v>4228</v>
      </c>
      <c r="H882" t="s">
        <v>5953</v>
      </c>
      <c r="I882" t="s">
        <v>77</v>
      </c>
      <c r="J882" t="s">
        <v>2503</v>
      </c>
    </row>
    <row r="883" spans="1:10" x14ac:dyDescent="0.25">
      <c r="A883" t="s">
        <v>5954</v>
      </c>
      <c r="B883" s="3">
        <v>46286</v>
      </c>
      <c r="C883" t="s">
        <v>315</v>
      </c>
      <c r="D883" t="s">
        <v>213</v>
      </c>
      <c r="E883">
        <v>15</v>
      </c>
      <c r="F883" t="s">
        <v>2</v>
      </c>
      <c r="G883" t="s">
        <v>4231</v>
      </c>
      <c r="H883" t="s">
        <v>5955</v>
      </c>
      <c r="I883" t="s">
        <v>189</v>
      </c>
      <c r="J883" t="s">
        <v>2509</v>
      </c>
    </row>
    <row r="884" spans="1:10" x14ac:dyDescent="0.25">
      <c r="A884" t="s">
        <v>5956</v>
      </c>
      <c r="B884" s="3">
        <v>46286</v>
      </c>
      <c r="C884" t="s">
        <v>568</v>
      </c>
      <c r="D884" t="s">
        <v>467</v>
      </c>
      <c r="E884">
        <v>25</v>
      </c>
      <c r="F884" t="s">
        <v>469</v>
      </c>
      <c r="G884" t="s">
        <v>4222</v>
      </c>
      <c r="H884" t="s">
        <v>5957</v>
      </c>
      <c r="I884" t="s">
        <v>133</v>
      </c>
      <c r="J884" t="s">
        <v>2509</v>
      </c>
    </row>
    <row r="885" spans="1:10" x14ac:dyDescent="0.25">
      <c r="A885" t="s">
        <v>5958</v>
      </c>
      <c r="B885" s="3">
        <v>46286</v>
      </c>
      <c r="C885" t="s">
        <v>621</v>
      </c>
      <c r="D885" t="s">
        <v>582</v>
      </c>
      <c r="E885">
        <v>40</v>
      </c>
      <c r="F885" t="s">
        <v>2</v>
      </c>
      <c r="G885" t="s">
        <v>4234</v>
      </c>
      <c r="H885" t="s">
        <v>5959</v>
      </c>
      <c r="I885" t="s">
        <v>312</v>
      </c>
      <c r="J885" t="s">
        <v>2509</v>
      </c>
    </row>
    <row r="886" spans="1:10" x14ac:dyDescent="0.25">
      <c r="A886" t="s">
        <v>5960</v>
      </c>
      <c r="B886" s="3">
        <v>46286</v>
      </c>
      <c r="C886" t="s">
        <v>145</v>
      </c>
      <c r="D886" t="s">
        <v>26</v>
      </c>
      <c r="E886">
        <v>23</v>
      </c>
      <c r="F886" t="s">
        <v>2</v>
      </c>
      <c r="G886" t="s">
        <v>4231</v>
      </c>
      <c r="H886" t="s">
        <v>5961</v>
      </c>
      <c r="I886" t="s">
        <v>59</v>
      </c>
      <c r="J886" t="s">
        <v>2509</v>
      </c>
    </row>
    <row r="887" spans="1:10" x14ac:dyDescent="0.25">
      <c r="A887" t="s">
        <v>5962</v>
      </c>
      <c r="B887" s="3">
        <v>46286</v>
      </c>
      <c r="C887" t="s">
        <v>320</v>
      </c>
      <c r="D887" t="s">
        <v>227</v>
      </c>
      <c r="E887">
        <v>25</v>
      </c>
      <c r="F887" t="s">
        <v>2</v>
      </c>
      <c r="G887" t="s">
        <v>4222</v>
      </c>
      <c r="H887" t="s">
        <v>5963</v>
      </c>
      <c r="I887" t="s">
        <v>171</v>
      </c>
      <c r="J887" t="s">
        <v>2503</v>
      </c>
    </row>
    <row r="888" spans="1:10" x14ac:dyDescent="0.25">
      <c r="A888" t="s">
        <v>5964</v>
      </c>
      <c r="B888" s="3">
        <v>46286</v>
      </c>
      <c r="C888" t="s">
        <v>466</v>
      </c>
      <c r="D888" t="s">
        <v>467</v>
      </c>
      <c r="E888">
        <v>46</v>
      </c>
      <c r="F888" t="s">
        <v>469</v>
      </c>
      <c r="G888" t="s">
        <v>4222</v>
      </c>
      <c r="H888" t="s">
        <v>5965</v>
      </c>
      <c r="I888" t="s">
        <v>106</v>
      </c>
      <c r="J888" t="s">
        <v>2513</v>
      </c>
    </row>
    <row r="889" spans="1:10" x14ac:dyDescent="0.25">
      <c r="A889" t="s">
        <v>5966</v>
      </c>
      <c r="B889" s="3">
        <v>46286</v>
      </c>
      <c r="C889" t="s">
        <v>372</v>
      </c>
      <c r="D889" t="s">
        <v>360</v>
      </c>
      <c r="E889">
        <v>16</v>
      </c>
      <c r="F889" t="s">
        <v>358</v>
      </c>
      <c r="G889" t="s">
        <v>4225</v>
      </c>
      <c r="H889" t="s">
        <v>5967</v>
      </c>
      <c r="I889" t="s">
        <v>126</v>
      </c>
      <c r="J889" t="s">
        <v>2500</v>
      </c>
    </row>
    <row r="890" spans="1:10" x14ac:dyDescent="0.25">
      <c r="A890" t="s">
        <v>5968</v>
      </c>
      <c r="B890" s="3">
        <v>46286</v>
      </c>
      <c r="C890" t="s">
        <v>167</v>
      </c>
      <c r="D890" t="s">
        <v>26</v>
      </c>
      <c r="E890">
        <v>54</v>
      </c>
      <c r="F890" t="s">
        <v>2</v>
      </c>
      <c r="G890" t="s">
        <v>4225</v>
      </c>
      <c r="H890" t="s">
        <v>5969</v>
      </c>
      <c r="I890" t="s">
        <v>64</v>
      </c>
      <c r="J890" t="s">
        <v>2509</v>
      </c>
    </row>
    <row r="891" spans="1:10" x14ac:dyDescent="0.25">
      <c r="A891" t="s">
        <v>5970</v>
      </c>
      <c r="B891" s="3">
        <v>46286</v>
      </c>
      <c r="C891" t="s">
        <v>608</v>
      </c>
      <c r="D891" t="s">
        <v>582</v>
      </c>
      <c r="E891">
        <v>48</v>
      </c>
      <c r="F891" t="s">
        <v>2</v>
      </c>
      <c r="G891" t="s">
        <v>4225</v>
      </c>
      <c r="H891" t="s">
        <v>5971</v>
      </c>
      <c r="I891" t="s">
        <v>206</v>
      </c>
      <c r="J891" t="s">
        <v>2513</v>
      </c>
    </row>
    <row r="892" spans="1:10" x14ac:dyDescent="0.25">
      <c r="A892" t="s">
        <v>5972</v>
      </c>
      <c r="B892" s="3">
        <v>46286</v>
      </c>
      <c r="C892" t="s">
        <v>496</v>
      </c>
      <c r="D892" t="s">
        <v>490</v>
      </c>
      <c r="E892">
        <v>19</v>
      </c>
      <c r="F892" t="s">
        <v>355</v>
      </c>
      <c r="G892" t="s">
        <v>4228</v>
      </c>
      <c r="H892" t="s">
        <v>4407</v>
      </c>
      <c r="I892" t="s">
        <v>42</v>
      </c>
      <c r="J892" t="s">
        <v>2500</v>
      </c>
    </row>
    <row r="893" spans="1:10" x14ac:dyDescent="0.25">
      <c r="A893" t="s">
        <v>5973</v>
      </c>
      <c r="B893" s="3">
        <v>46286</v>
      </c>
      <c r="C893" t="s">
        <v>199</v>
      </c>
      <c r="D893" t="s">
        <v>163</v>
      </c>
      <c r="E893">
        <v>44</v>
      </c>
      <c r="F893" t="s">
        <v>2</v>
      </c>
      <c r="G893" t="s">
        <v>4222</v>
      </c>
      <c r="H893" t="s">
        <v>5847</v>
      </c>
      <c r="I893" t="s">
        <v>75</v>
      </c>
      <c r="J893" t="s">
        <v>2513</v>
      </c>
    </row>
    <row r="894" spans="1:10" x14ac:dyDescent="0.25">
      <c r="A894" t="s">
        <v>5974</v>
      </c>
      <c r="B894" s="3">
        <v>46286</v>
      </c>
      <c r="C894" t="s">
        <v>398</v>
      </c>
      <c r="D894" t="s">
        <v>344</v>
      </c>
      <c r="E894">
        <v>17</v>
      </c>
      <c r="F894" t="s">
        <v>346</v>
      </c>
      <c r="G894" t="s">
        <v>4228</v>
      </c>
      <c r="H894" t="s">
        <v>5975</v>
      </c>
      <c r="I894" t="s">
        <v>108</v>
      </c>
      <c r="J894" t="s">
        <v>2509</v>
      </c>
    </row>
    <row r="895" spans="1:10" x14ac:dyDescent="0.25">
      <c r="A895" t="s">
        <v>5976</v>
      </c>
      <c r="B895" s="3">
        <v>46286</v>
      </c>
      <c r="C895" t="s">
        <v>249</v>
      </c>
      <c r="D895" t="s">
        <v>216</v>
      </c>
      <c r="E895">
        <v>34</v>
      </c>
      <c r="F895" t="s">
        <v>2</v>
      </c>
      <c r="G895" t="s">
        <v>4228</v>
      </c>
      <c r="H895" t="s">
        <v>5977</v>
      </c>
      <c r="I895" t="s">
        <v>250</v>
      </c>
      <c r="J895" t="s">
        <v>2509</v>
      </c>
    </row>
    <row r="896" spans="1:10" x14ac:dyDescent="0.25">
      <c r="A896" t="s">
        <v>5978</v>
      </c>
      <c r="B896" s="3">
        <v>46286</v>
      </c>
      <c r="C896" t="s">
        <v>60</v>
      </c>
      <c r="D896" t="s">
        <v>44</v>
      </c>
      <c r="E896">
        <v>28</v>
      </c>
      <c r="F896" t="s">
        <v>2</v>
      </c>
      <c r="G896" t="s">
        <v>4225</v>
      </c>
      <c r="H896" t="s">
        <v>5979</v>
      </c>
      <c r="I896" t="s">
        <v>27</v>
      </c>
      <c r="J896" t="s">
        <v>2513</v>
      </c>
    </row>
    <row r="897" spans="1:10" x14ac:dyDescent="0.25">
      <c r="A897" t="s">
        <v>5980</v>
      </c>
      <c r="B897" s="3">
        <v>46286</v>
      </c>
      <c r="C897" t="s">
        <v>563</v>
      </c>
      <c r="D897" t="s">
        <v>479</v>
      </c>
      <c r="E897">
        <v>27</v>
      </c>
      <c r="F897" t="s">
        <v>469</v>
      </c>
      <c r="G897" t="s">
        <v>4234</v>
      </c>
      <c r="H897" t="s">
        <v>5981</v>
      </c>
      <c r="I897" t="s">
        <v>287</v>
      </c>
      <c r="J897" t="s">
        <v>2500</v>
      </c>
    </row>
    <row r="898" spans="1:10" x14ac:dyDescent="0.25">
      <c r="A898" t="s">
        <v>5982</v>
      </c>
      <c r="B898" s="3">
        <v>46286</v>
      </c>
      <c r="C898" t="s">
        <v>249</v>
      </c>
      <c r="D898" t="s">
        <v>216</v>
      </c>
      <c r="E898">
        <v>37</v>
      </c>
      <c r="F898" t="s">
        <v>2</v>
      </c>
      <c r="G898" t="s">
        <v>4231</v>
      </c>
      <c r="H898" t="s">
        <v>5983</v>
      </c>
      <c r="I898" t="s">
        <v>250</v>
      </c>
      <c r="J898" t="s">
        <v>2503</v>
      </c>
    </row>
    <row r="899" spans="1:10" x14ac:dyDescent="0.25">
      <c r="A899" t="s">
        <v>5984</v>
      </c>
      <c r="B899" s="3">
        <v>46286</v>
      </c>
      <c r="C899" t="s">
        <v>489</v>
      </c>
      <c r="D899" t="s">
        <v>490</v>
      </c>
      <c r="E899">
        <v>49</v>
      </c>
      <c r="F899" t="s">
        <v>355</v>
      </c>
      <c r="G899" t="s">
        <v>4225</v>
      </c>
      <c r="H899" t="s">
        <v>5985</v>
      </c>
      <c r="I899" t="s">
        <v>183</v>
      </c>
      <c r="J899" t="s">
        <v>2503</v>
      </c>
    </row>
    <row r="900" spans="1:10" x14ac:dyDescent="0.25">
      <c r="A900" t="s">
        <v>5986</v>
      </c>
      <c r="B900" s="3">
        <v>46286</v>
      </c>
      <c r="C900" t="s">
        <v>472</v>
      </c>
      <c r="D900" t="s">
        <v>467</v>
      </c>
      <c r="E900">
        <v>21</v>
      </c>
      <c r="F900" t="s">
        <v>469</v>
      </c>
      <c r="G900" t="s">
        <v>4231</v>
      </c>
      <c r="H900" t="s">
        <v>5987</v>
      </c>
      <c r="I900" t="s">
        <v>119</v>
      </c>
      <c r="J900" t="s">
        <v>2513</v>
      </c>
    </row>
    <row r="901" spans="1:10" x14ac:dyDescent="0.25">
      <c r="A901" t="s">
        <v>5988</v>
      </c>
      <c r="B901" s="3">
        <v>46286</v>
      </c>
      <c r="C901" t="s">
        <v>97</v>
      </c>
      <c r="D901" t="s">
        <v>1</v>
      </c>
      <c r="E901">
        <v>50</v>
      </c>
      <c r="F901" t="s">
        <v>2</v>
      </c>
      <c r="G901" t="s">
        <v>4231</v>
      </c>
      <c r="H901" t="s">
        <v>5989</v>
      </c>
      <c r="I901" t="s">
        <v>98</v>
      </c>
      <c r="J901" t="s">
        <v>2509</v>
      </c>
    </row>
    <row r="902" spans="1:10" x14ac:dyDescent="0.25">
      <c r="A902" t="s">
        <v>5990</v>
      </c>
      <c r="B902" s="3">
        <v>46286</v>
      </c>
      <c r="C902" t="s">
        <v>529</v>
      </c>
      <c r="D902" t="s">
        <v>481</v>
      </c>
      <c r="E902">
        <v>27</v>
      </c>
      <c r="F902" t="s">
        <v>2</v>
      </c>
      <c r="G902" t="s">
        <v>4234</v>
      </c>
      <c r="H902" t="s">
        <v>5991</v>
      </c>
      <c r="I902" t="s">
        <v>327</v>
      </c>
      <c r="J902" t="s">
        <v>2509</v>
      </c>
    </row>
    <row r="903" spans="1:10" x14ac:dyDescent="0.25">
      <c r="A903" t="s">
        <v>5992</v>
      </c>
      <c r="B903" s="3">
        <v>46286</v>
      </c>
      <c r="C903" t="s">
        <v>509</v>
      </c>
      <c r="D903" t="s">
        <v>471</v>
      </c>
      <c r="E903">
        <v>26</v>
      </c>
      <c r="F903" t="s">
        <v>355</v>
      </c>
      <c r="G903" t="s">
        <v>4234</v>
      </c>
      <c r="H903" t="s">
        <v>4997</v>
      </c>
      <c r="I903" t="s">
        <v>287</v>
      </c>
      <c r="J903" t="s">
        <v>2500</v>
      </c>
    </row>
    <row r="904" spans="1:10" x14ac:dyDescent="0.25">
      <c r="A904" t="s">
        <v>5993</v>
      </c>
      <c r="B904" s="3">
        <v>46286</v>
      </c>
      <c r="C904" t="s">
        <v>303</v>
      </c>
      <c r="D904" t="s">
        <v>261</v>
      </c>
      <c r="E904">
        <v>13</v>
      </c>
      <c r="F904" t="s">
        <v>2</v>
      </c>
      <c r="G904" t="s">
        <v>4222</v>
      </c>
      <c r="H904" t="s">
        <v>5994</v>
      </c>
      <c r="I904" t="s">
        <v>67</v>
      </c>
      <c r="J904" t="s">
        <v>2513</v>
      </c>
    </row>
    <row r="905" spans="1:10" x14ac:dyDescent="0.25">
      <c r="A905" t="s">
        <v>5995</v>
      </c>
      <c r="B905" s="3">
        <v>46286</v>
      </c>
      <c r="C905" t="s">
        <v>577</v>
      </c>
      <c r="D905" t="s">
        <v>481</v>
      </c>
      <c r="E905">
        <v>4</v>
      </c>
      <c r="F905" t="s">
        <v>2</v>
      </c>
      <c r="G905" t="s">
        <v>4225</v>
      </c>
      <c r="H905" t="s">
        <v>5996</v>
      </c>
      <c r="I905" t="s">
        <v>102</v>
      </c>
      <c r="J905" t="s">
        <v>2509</v>
      </c>
    </row>
    <row r="906" spans="1:10" x14ac:dyDescent="0.25">
      <c r="A906" t="s">
        <v>5997</v>
      </c>
      <c r="B906" s="3">
        <v>46286</v>
      </c>
      <c r="C906" t="s">
        <v>326</v>
      </c>
      <c r="D906" t="s">
        <v>223</v>
      </c>
      <c r="E906">
        <v>17</v>
      </c>
      <c r="F906" t="s">
        <v>2</v>
      </c>
      <c r="G906" t="s">
        <v>4231</v>
      </c>
      <c r="H906" t="s">
        <v>4578</v>
      </c>
      <c r="I906" t="s">
        <v>327</v>
      </c>
      <c r="J906" t="s">
        <v>2513</v>
      </c>
    </row>
    <row r="907" spans="1:10" x14ac:dyDescent="0.25">
      <c r="A907" t="s">
        <v>5998</v>
      </c>
      <c r="B907" s="3">
        <v>46286</v>
      </c>
      <c r="C907" t="s">
        <v>480</v>
      </c>
      <c r="D907" t="s">
        <v>481</v>
      </c>
      <c r="E907">
        <v>38</v>
      </c>
      <c r="F907" t="s">
        <v>2</v>
      </c>
      <c r="G907" t="s">
        <v>4225</v>
      </c>
      <c r="H907" t="s">
        <v>5999</v>
      </c>
      <c r="I907" t="s">
        <v>297</v>
      </c>
      <c r="J907" t="s">
        <v>2500</v>
      </c>
    </row>
    <row r="908" spans="1:10" x14ac:dyDescent="0.25">
      <c r="A908" t="s">
        <v>6000</v>
      </c>
      <c r="B908" s="3">
        <v>46286</v>
      </c>
      <c r="C908" t="s">
        <v>103</v>
      </c>
      <c r="D908" t="s">
        <v>29</v>
      </c>
      <c r="E908">
        <v>47</v>
      </c>
      <c r="F908" t="s">
        <v>2</v>
      </c>
      <c r="G908" t="s">
        <v>4228</v>
      </c>
      <c r="H908" t="s">
        <v>6001</v>
      </c>
      <c r="I908" t="s">
        <v>104</v>
      </c>
      <c r="J908" t="s">
        <v>2500</v>
      </c>
    </row>
    <row r="909" spans="1:10" x14ac:dyDescent="0.25">
      <c r="A909" t="s">
        <v>6002</v>
      </c>
      <c r="B909" s="3">
        <v>46286</v>
      </c>
      <c r="C909" t="s">
        <v>72</v>
      </c>
      <c r="D909" t="s">
        <v>29</v>
      </c>
      <c r="E909">
        <v>20</v>
      </c>
      <c r="F909" t="s">
        <v>2</v>
      </c>
      <c r="G909" t="s">
        <v>4231</v>
      </c>
      <c r="H909" t="s">
        <v>6003</v>
      </c>
      <c r="I909" t="s">
        <v>73</v>
      </c>
      <c r="J909" t="s">
        <v>2513</v>
      </c>
    </row>
    <row r="910" spans="1:10" x14ac:dyDescent="0.25">
      <c r="A910" t="s">
        <v>6004</v>
      </c>
      <c r="B910" s="3">
        <v>46287</v>
      </c>
      <c r="C910" t="s">
        <v>146</v>
      </c>
      <c r="D910" t="s">
        <v>1</v>
      </c>
      <c r="E910">
        <v>53</v>
      </c>
      <c r="F910" t="s">
        <v>2</v>
      </c>
      <c r="G910" t="s">
        <v>4228</v>
      </c>
      <c r="H910" t="s">
        <v>6005</v>
      </c>
      <c r="I910" t="s">
        <v>147</v>
      </c>
      <c r="J910" t="s">
        <v>2500</v>
      </c>
    </row>
    <row r="911" spans="1:10" x14ac:dyDescent="0.25">
      <c r="A911" t="s">
        <v>6006</v>
      </c>
      <c r="B911" s="3">
        <v>46287</v>
      </c>
      <c r="C911" t="s">
        <v>236</v>
      </c>
      <c r="D911" t="s">
        <v>223</v>
      </c>
      <c r="E911">
        <v>44</v>
      </c>
      <c r="F911" t="s">
        <v>2</v>
      </c>
      <c r="G911" t="s">
        <v>4231</v>
      </c>
      <c r="H911" t="s">
        <v>6007</v>
      </c>
      <c r="I911" t="s">
        <v>34</v>
      </c>
      <c r="J911" t="s">
        <v>2513</v>
      </c>
    </row>
    <row r="912" spans="1:10" x14ac:dyDescent="0.25">
      <c r="A912" t="s">
        <v>6008</v>
      </c>
      <c r="B912" s="3">
        <v>46287</v>
      </c>
      <c r="C912" t="s">
        <v>627</v>
      </c>
      <c r="D912" t="s">
        <v>589</v>
      </c>
      <c r="E912">
        <v>52</v>
      </c>
      <c r="F912" t="s">
        <v>469</v>
      </c>
      <c r="G912" t="s">
        <v>4222</v>
      </c>
      <c r="H912" t="s">
        <v>5336</v>
      </c>
      <c r="I912" t="s">
        <v>149</v>
      </c>
      <c r="J912" t="s">
        <v>2509</v>
      </c>
    </row>
    <row r="913" spans="1:10" x14ac:dyDescent="0.25">
      <c r="A913" t="s">
        <v>6009</v>
      </c>
      <c r="B913" s="3">
        <v>46287</v>
      </c>
      <c r="C913" t="s">
        <v>288</v>
      </c>
      <c r="D913" t="s">
        <v>261</v>
      </c>
      <c r="E913">
        <v>47</v>
      </c>
      <c r="F913" t="s">
        <v>2</v>
      </c>
      <c r="G913" t="s">
        <v>4228</v>
      </c>
      <c r="H913" t="s">
        <v>6010</v>
      </c>
      <c r="I913" t="s">
        <v>289</v>
      </c>
      <c r="J913" t="s">
        <v>2509</v>
      </c>
    </row>
    <row r="914" spans="1:10" x14ac:dyDescent="0.25">
      <c r="A914" t="s">
        <v>6011</v>
      </c>
      <c r="B914" s="3">
        <v>46287</v>
      </c>
      <c r="C914" t="s">
        <v>593</v>
      </c>
      <c r="D914" t="s">
        <v>594</v>
      </c>
      <c r="E914">
        <v>48</v>
      </c>
      <c r="F914" t="s">
        <v>595</v>
      </c>
      <c r="G914" t="s">
        <v>4234</v>
      </c>
      <c r="H914" t="s">
        <v>6012</v>
      </c>
      <c r="I914" t="s">
        <v>149</v>
      </c>
      <c r="J914" t="s">
        <v>2509</v>
      </c>
    </row>
    <row r="915" spans="1:10" x14ac:dyDescent="0.25">
      <c r="A915" t="s">
        <v>6013</v>
      </c>
      <c r="B915" s="3">
        <v>46287</v>
      </c>
      <c r="C915" t="s">
        <v>35</v>
      </c>
      <c r="D915" t="s">
        <v>29</v>
      </c>
      <c r="E915">
        <v>30</v>
      </c>
      <c r="F915" t="s">
        <v>2</v>
      </c>
      <c r="G915" t="s">
        <v>4225</v>
      </c>
      <c r="H915" t="s">
        <v>6014</v>
      </c>
      <c r="I915" t="s">
        <v>38</v>
      </c>
      <c r="J915" t="s">
        <v>2500</v>
      </c>
    </row>
    <row r="916" spans="1:10" x14ac:dyDescent="0.25">
      <c r="A916" t="s">
        <v>6015</v>
      </c>
      <c r="B916" s="3">
        <v>46287</v>
      </c>
      <c r="C916" t="s">
        <v>303</v>
      </c>
      <c r="D916" t="s">
        <v>261</v>
      </c>
      <c r="E916">
        <v>38</v>
      </c>
      <c r="F916" t="s">
        <v>2</v>
      </c>
      <c r="G916" t="s">
        <v>4228</v>
      </c>
      <c r="H916" t="s">
        <v>6016</v>
      </c>
      <c r="I916" t="s">
        <v>67</v>
      </c>
      <c r="J916" t="s">
        <v>2500</v>
      </c>
    </row>
    <row r="917" spans="1:10" x14ac:dyDescent="0.25">
      <c r="A917" t="s">
        <v>6017</v>
      </c>
      <c r="B917" s="3">
        <v>46287</v>
      </c>
      <c r="C917" t="s">
        <v>501</v>
      </c>
      <c r="D917" t="s">
        <v>502</v>
      </c>
      <c r="E917">
        <v>39</v>
      </c>
      <c r="F917" t="s">
        <v>469</v>
      </c>
      <c r="G917" t="s">
        <v>4231</v>
      </c>
      <c r="H917" t="s">
        <v>6018</v>
      </c>
      <c r="I917" t="s">
        <v>292</v>
      </c>
      <c r="J917" t="s">
        <v>2513</v>
      </c>
    </row>
    <row r="918" spans="1:10" x14ac:dyDescent="0.25">
      <c r="A918" t="s">
        <v>6019</v>
      </c>
      <c r="B918" s="3">
        <v>46287</v>
      </c>
      <c r="C918" t="s">
        <v>513</v>
      </c>
      <c r="D918" t="s">
        <v>488</v>
      </c>
      <c r="E918">
        <v>25</v>
      </c>
      <c r="F918" t="s">
        <v>469</v>
      </c>
      <c r="G918" t="s">
        <v>4225</v>
      </c>
      <c r="H918" t="s">
        <v>6020</v>
      </c>
      <c r="I918" t="s">
        <v>110</v>
      </c>
      <c r="J918" t="s">
        <v>2509</v>
      </c>
    </row>
    <row r="919" spans="1:10" x14ac:dyDescent="0.25">
      <c r="A919" t="s">
        <v>6021</v>
      </c>
      <c r="B919" s="3">
        <v>46287</v>
      </c>
      <c r="C919" t="s">
        <v>482</v>
      </c>
      <c r="D919" t="s">
        <v>467</v>
      </c>
      <c r="E919">
        <v>28</v>
      </c>
      <c r="F919" t="s">
        <v>469</v>
      </c>
      <c r="G919" t="s">
        <v>4222</v>
      </c>
      <c r="H919" t="s">
        <v>6022</v>
      </c>
      <c r="I919" t="s">
        <v>77</v>
      </c>
      <c r="J919" t="s">
        <v>2500</v>
      </c>
    </row>
    <row r="920" spans="1:10" x14ac:dyDescent="0.25">
      <c r="A920" t="s">
        <v>6023</v>
      </c>
      <c r="B920" s="3">
        <v>46287</v>
      </c>
      <c r="C920" t="s">
        <v>514</v>
      </c>
      <c r="D920" t="s">
        <v>467</v>
      </c>
      <c r="E920">
        <v>40</v>
      </c>
      <c r="F920" t="s">
        <v>469</v>
      </c>
      <c r="G920" t="s">
        <v>4231</v>
      </c>
      <c r="H920" t="s">
        <v>6024</v>
      </c>
      <c r="I920" t="s">
        <v>310</v>
      </c>
      <c r="J920" t="s">
        <v>2503</v>
      </c>
    </row>
    <row r="921" spans="1:10" x14ac:dyDescent="0.25">
      <c r="A921" t="s">
        <v>6025</v>
      </c>
      <c r="B921" s="3">
        <v>46287</v>
      </c>
      <c r="C921" t="s">
        <v>231</v>
      </c>
      <c r="D921" t="s">
        <v>227</v>
      </c>
      <c r="E921">
        <v>36</v>
      </c>
      <c r="F921" t="s">
        <v>2</v>
      </c>
      <c r="G921" t="s">
        <v>4234</v>
      </c>
      <c r="H921" t="s">
        <v>6026</v>
      </c>
      <c r="I921" t="s">
        <v>30</v>
      </c>
      <c r="J921" t="s">
        <v>2509</v>
      </c>
    </row>
    <row r="922" spans="1:10" x14ac:dyDescent="0.25">
      <c r="A922" t="s">
        <v>6027</v>
      </c>
      <c r="B922" s="3">
        <v>46287</v>
      </c>
      <c r="C922" t="s">
        <v>667</v>
      </c>
      <c r="D922" t="s">
        <v>602</v>
      </c>
      <c r="E922">
        <v>49</v>
      </c>
      <c r="F922" t="s">
        <v>2</v>
      </c>
      <c r="G922" t="s">
        <v>4231</v>
      </c>
      <c r="H922" t="s">
        <v>6028</v>
      </c>
      <c r="I922" t="s">
        <v>201</v>
      </c>
      <c r="J922" t="s">
        <v>2503</v>
      </c>
    </row>
    <row r="923" spans="1:10" x14ac:dyDescent="0.25">
      <c r="A923" t="s">
        <v>6029</v>
      </c>
      <c r="B923" s="3">
        <v>46287</v>
      </c>
      <c r="C923" t="s">
        <v>421</v>
      </c>
      <c r="D923" t="s">
        <v>360</v>
      </c>
      <c r="E923">
        <v>18</v>
      </c>
      <c r="F923" t="s">
        <v>358</v>
      </c>
      <c r="G923" t="s">
        <v>4225</v>
      </c>
      <c r="H923" t="s">
        <v>6030</v>
      </c>
      <c r="I923" t="s">
        <v>144</v>
      </c>
      <c r="J923" t="s">
        <v>2500</v>
      </c>
    </row>
    <row r="924" spans="1:10" x14ac:dyDescent="0.25">
      <c r="A924" t="s">
        <v>6031</v>
      </c>
      <c r="B924" s="3">
        <v>46287</v>
      </c>
      <c r="C924" t="s">
        <v>660</v>
      </c>
      <c r="D924" t="s">
        <v>629</v>
      </c>
      <c r="E924">
        <v>25</v>
      </c>
      <c r="F924" t="s">
        <v>355</v>
      </c>
      <c r="G924" t="s">
        <v>4234</v>
      </c>
      <c r="H924" t="s">
        <v>6032</v>
      </c>
      <c r="I924" t="s">
        <v>312</v>
      </c>
      <c r="J924" t="s">
        <v>2509</v>
      </c>
    </row>
    <row r="925" spans="1:10" x14ac:dyDescent="0.25">
      <c r="A925" t="s">
        <v>6033</v>
      </c>
      <c r="B925" s="3">
        <v>46287</v>
      </c>
      <c r="C925" t="s">
        <v>625</v>
      </c>
      <c r="D925" t="s">
        <v>594</v>
      </c>
      <c r="E925">
        <v>2</v>
      </c>
      <c r="F925" t="s">
        <v>595</v>
      </c>
      <c r="G925" t="s">
        <v>4222</v>
      </c>
      <c r="H925" t="s">
        <v>6034</v>
      </c>
      <c r="I925" t="s">
        <v>19</v>
      </c>
      <c r="J925" t="s">
        <v>2500</v>
      </c>
    </row>
    <row r="926" spans="1:10" x14ac:dyDescent="0.25">
      <c r="A926" t="s">
        <v>6035</v>
      </c>
      <c r="B926" s="3">
        <v>46287</v>
      </c>
      <c r="C926" t="s">
        <v>214</v>
      </c>
      <c r="D926" t="s">
        <v>210</v>
      </c>
      <c r="E926">
        <v>49</v>
      </c>
      <c r="F926" t="s">
        <v>2</v>
      </c>
      <c r="G926" t="s">
        <v>4222</v>
      </c>
      <c r="H926" t="s">
        <v>6036</v>
      </c>
      <c r="I926" t="s">
        <v>100</v>
      </c>
      <c r="J926" t="s">
        <v>2513</v>
      </c>
    </row>
    <row r="927" spans="1:10" x14ac:dyDescent="0.25">
      <c r="A927" t="s">
        <v>6037</v>
      </c>
      <c r="B927" s="3">
        <v>46287</v>
      </c>
      <c r="C927" t="s">
        <v>681</v>
      </c>
      <c r="D927" t="s">
        <v>589</v>
      </c>
      <c r="E927">
        <v>33</v>
      </c>
      <c r="F927" t="s">
        <v>469</v>
      </c>
      <c r="G927" t="s">
        <v>4222</v>
      </c>
      <c r="H927" t="s">
        <v>6038</v>
      </c>
      <c r="I927" t="s">
        <v>259</v>
      </c>
      <c r="J927" t="s">
        <v>2500</v>
      </c>
    </row>
    <row r="928" spans="1:10" x14ac:dyDescent="0.25">
      <c r="A928" t="s">
        <v>6039</v>
      </c>
      <c r="B928" s="3">
        <v>46287</v>
      </c>
      <c r="C928" t="s">
        <v>633</v>
      </c>
      <c r="D928" t="s">
        <v>587</v>
      </c>
      <c r="E928">
        <v>14</v>
      </c>
      <c r="F928" t="s">
        <v>2</v>
      </c>
      <c r="G928" t="s">
        <v>4225</v>
      </c>
      <c r="H928" t="s">
        <v>6040</v>
      </c>
      <c r="I928" t="s">
        <v>171</v>
      </c>
      <c r="J928" t="s">
        <v>2503</v>
      </c>
    </row>
    <row r="929" spans="1:10" x14ac:dyDescent="0.25">
      <c r="A929" t="s">
        <v>6041</v>
      </c>
      <c r="B929" s="3">
        <v>46287</v>
      </c>
      <c r="C929" t="s">
        <v>559</v>
      </c>
      <c r="D929" t="s">
        <v>502</v>
      </c>
      <c r="E929">
        <v>54</v>
      </c>
      <c r="F929" t="s">
        <v>469</v>
      </c>
      <c r="G929" t="s">
        <v>4234</v>
      </c>
      <c r="H929" t="s">
        <v>6042</v>
      </c>
      <c r="I929" t="s">
        <v>324</v>
      </c>
      <c r="J929" t="s">
        <v>2503</v>
      </c>
    </row>
    <row r="930" spans="1:10" x14ac:dyDescent="0.25">
      <c r="A930" t="s">
        <v>6043</v>
      </c>
      <c r="B930" s="3">
        <v>46287</v>
      </c>
      <c r="C930" t="s">
        <v>409</v>
      </c>
      <c r="D930" t="s">
        <v>382</v>
      </c>
      <c r="E930">
        <v>54</v>
      </c>
      <c r="F930" t="s">
        <v>383</v>
      </c>
      <c r="G930" t="s">
        <v>4234</v>
      </c>
      <c r="H930" t="s">
        <v>6044</v>
      </c>
      <c r="I930" t="s">
        <v>410</v>
      </c>
      <c r="J930" t="s">
        <v>2509</v>
      </c>
    </row>
    <row r="931" spans="1:10" x14ac:dyDescent="0.25">
      <c r="A931" t="s">
        <v>6045</v>
      </c>
      <c r="B931" s="3">
        <v>46287</v>
      </c>
      <c r="C931" t="s">
        <v>272</v>
      </c>
      <c r="D931" t="s">
        <v>213</v>
      </c>
      <c r="E931">
        <v>55</v>
      </c>
      <c r="F931" t="s">
        <v>2</v>
      </c>
      <c r="G931" t="s">
        <v>4225</v>
      </c>
      <c r="H931" t="s">
        <v>6046</v>
      </c>
      <c r="I931" t="s">
        <v>113</v>
      </c>
      <c r="J931" t="s">
        <v>2503</v>
      </c>
    </row>
    <row r="932" spans="1:10" x14ac:dyDescent="0.25">
      <c r="A932" t="s">
        <v>6047</v>
      </c>
      <c r="B932" s="3">
        <v>46287</v>
      </c>
      <c r="C932" t="s">
        <v>656</v>
      </c>
      <c r="D932" t="s">
        <v>597</v>
      </c>
      <c r="E932">
        <v>45</v>
      </c>
      <c r="F932" t="s">
        <v>355</v>
      </c>
      <c r="G932" t="s">
        <v>4231</v>
      </c>
      <c r="H932" t="s">
        <v>6048</v>
      </c>
      <c r="I932" t="s">
        <v>95</v>
      </c>
      <c r="J932" t="s">
        <v>2513</v>
      </c>
    </row>
    <row r="933" spans="1:10" x14ac:dyDescent="0.25">
      <c r="A933" t="s">
        <v>6049</v>
      </c>
      <c r="B933" s="3">
        <v>46287</v>
      </c>
      <c r="C933" t="s">
        <v>88</v>
      </c>
      <c r="D933" t="s">
        <v>26</v>
      </c>
      <c r="E933">
        <v>23</v>
      </c>
      <c r="F933" t="s">
        <v>2</v>
      </c>
      <c r="G933" t="s">
        <v>4225</v>
      </c>
      <c r="H933" t="s">
        <v>6050</v>
      </c>
      <c r="I933" t="s">
        <v>89</v>
      </c>
      <c r="J933" t="s">
        <v>2503</v>
      </c>
    </row>
    <row r="934" spans="1:10" x14ac:dyDescent="0.25">
      <c r="A934" t="s">
        <v>6051</v>
      </c>
      <c r="B934" s="3">
        <v>46287</v>
      </c>
      <c r="C934" t="s">
        <v>96</v>
      </c>
      <c r="D934" t="s">
        <v>26</v>
      </c>
      <c r="E934">
        <v>16</v>
      </c>
      <c r="F934" t="s">
        <v>2</v>
      </c>
      <c r="G934" t="s">
        <v>4231</v>
      </c>
      <c r="H934" t="s">
        <v>6052</v>
      </c>
      <c r="I934" t="s">
        <v>59</v>
      </c>
      <c r="J934" t="s">
        <v>2509</v>
      </c>
    </row>
    <row r="935" spans="1:10" x14ac:dyDescent="0.25">
      <c r="A935" t="s">
        <v>6053</v>
      </c>
      <c r="B935" s="3">
        <v>46287</v>
      </c>
      <c r="C935" t="s">
        <v>641</v>
      </c>
      <c r="D935" t="s">
        <v>589</v>
      </c>
      <c r="E935">
        <v>10</v>
      </c>
      <c r="F935" t="s">
        <v>469</v>
      </c>
      <c r="G935" t="s">
        <v>4222</v>
      </c>
      <c r="H935" t="s">
        <v>6054</v>
      </c>
      <c r="I935" t="s">
        <v>124</v>
      </c>
      <c r="J935" t="s">
        <v>2513</v>
      </c>
    </row>
    <row r="936" spans="1:10" x14ac:dyDescent="0.25">
      <c r="A936" t="s">
        <v>6055</v>
      </c>
      <c r="B936" s="3">
        <v>46287</v>
      </c>
      <c r="C936" t="s">
        <v>458</v>
      </c>
      <c r="D936" t="s">
        <v>360</v>
      </c>
      <c r="E936">
        <v>54</v>
      </c>
      <c r="F936" t="s">
        <v>358</v>
      </c>
      <c r="G936" t="s">
        <v>4231</v>
      </c>
      <c r="H936" t="s">
        <v>4251</v>
      </c>
      <c r="I936" t="s">
        <v>42</v>
      </c>
      <c r="J936" t="s">
        <v>2500</v>
      </c>
    </row>
    <row r="937" spans="1:10" x14ac:dyDescent="0.25">
      <c r="A937" t="s">
        <v>6056</v>
      </c>
      <c r="B937" s="3">
        <v>46287</v>
      </c>
      <c r="C937" t="s">
        <v>498</v>
      </c>
      <c r="D937" t="s">
        <v>488</v>
      </c>
      <c r="E937">
        <v>35</v>
      </c>
      <c r="F937" t="s">
        <v>469</v>
      </c>
      <c r="G937" t="s">
        <v>4228</v>
      </c>
      <c r="H937" t="s">
        <v>4423</v>
      </c>
      <c r="I937" t="s">
        <v>52</v>
      </c>
      <c r="J937" t="s">
        <v>2500</v>
      </c>
    </row>
    <row r="938" spans="1:10" x14ac:dyDescent="0.25">
      <c r="A938" t="s">
        <v>6057</v>
      </c>
      <c r="B938" s="3">
        <v>46287</v>
      </c>
      <c r="C938" t="s">
        <v>608</v>
      </c>
      <c r="D938" t="s">
        <v>582</v>
      </c>
      <c r="E938">
        <v>12</v>
      </c>
      <c r="F938" t="s">
        <v>2</v>
      </c>
      <c r="G938" t="s">
        <v>4225</v>
      </c>
      <c r="H938" t="s">
        <v>6058</v>
      </c>
      <c r="I938" t="s">
        <v>206</v>
      </c>
      <c r="J938" t="s">
        <v>2503</v>
      </c>
    </row>
    <row r="939" spans="1:10" x14ac:dyDescent="0.25">
      <c r="A939" t="s">
        <v>6059</v>
      </c>
      <c r="B939" s="3">
        <v>46287</v>
      </c>
      <c r="C939" t="s">
        <v>438</v>
      </c>
      <c r="D939" t="s">
        <v>349</v>
      </c>
      <c r="E939">
        <v>10</v>
      </c>
      <c r="F939" t="s">
        <v>2</v>
      </c>
      <c r="G939" t="s">
        <v>4228</v>
      </c>
      <c r="H939" t="s">
        <v>6060</v>
      </c>
      <c r="I939" t="s">
        <v>327</v>
      </c>
      <c r="J939" t="s">
        <v>2503</v>
      </c>
    </row>
    <row r="940" spans="1:10" x14ac:dyDescent="0.25">
      <c r="A940" t="s">
        <v>6061</v>
      </c>
      <c r="B940" s="3">
        <v>46287</v>
      </c>
      <c r="C940" t="s">
        <v>665</v>
      </c>
      <c r="D940" t="s">
        <v>589</v>
      </c>
      <c r="E940">
        <v>1</v>
      </c>
      <c r="F940" t="s">
        <v>469</v>
      </c>
      <c r="G940" t="s">
        <v>4231</v>
      </c>
      <c r="H940" t="s">
        <v>4997</v>
      </c>
      <c r="I940" t="s">
        <v>274</v>
      </c>
      <c r="J940" t="s">
        <v>2513</v>
      </c>
    </row>
    <row r="941" spans="1:10" x14ac:dyDescent="0.25">
      <c r="A941" t="s">
        <v>6062</v>
      </c>
      <c r="B941" s="3">
        <v>46287</v>
      </c>
      <c r="C941" t="s">
        <v>170</v>
      </c>
      <c r="D941" t="s">
        <v>66</v>
      </c>
      <c r="E941">
        <v>44</v>
      </c>
      <c r="F941" t="s">
        <v>2</v>
      </c>
      <c r="G941" t="s">
        <v>4231</v>
      </c>
      <c r="H941" t="s">
        <v>6063</v>
      </c>
      <c r="I941" t="s">
        <v>171</v>
      </c>
      <c r="J941" t="s">
        <v>2509</v>
      </c>
    </row>
    <row r="942" spans="1:10" x14ac:dyDescent="0.25">
      <c r="A942" t="s">
        <v>6064</v>
      </c>
      <c r="B942" s="3">
        <v>46287</v>
      </c>
      <c r="C942" t="s">
        <v>482</v>
      </c>
      <c r="D942" t="s">
        <v>467</v>
      </c>
      <c r="E942">
        <v>31</v>
      </c>
      <c r="F942" t="s">
        <v>469</v>
      </c>
      <c r="G942" t="s">
        <v>4225</v>
      </c>
      <c r="H942" t="s">
        <v>6065</v>
      </c>
      <c r="I942" t="s">
        <v>77</v>
      </c>
      <c r="J942" t="s">
        <v>2500</v>
      </c>
    </row>
    <row r="943" spans="1:10" x14ac:dyDescent="0.25">
      <c r="A943" t="s">
        <v>6066</v>
      </c>
      <c r="B943" s="3">
        <v>46287</v>
      </c>
      <c r="C943" t="s">
        <v>293</v>
      </c>
      <c r="D943" t="s">
        <v>210</v>
      </c>
      <c r="E943">
        <v>41</v>
      </c>
      <c r="F943" t="s">
        <v>2</v>
      </c>
      <c r="G943" t="s">
        <v>4231</v>
      </c>
      <c r="H943" t="s">
        <v>6067</v>
      </c>
      <c r="I943" t="s">
        <v>294</v>
      </c>
      <c r="J943" t="s">
        <v>2500</v>
      </c>
    </row>
    <row r="944" spans="1:10" x14ac:dyDescent="0.25">
      <c r="A944" t="s">
        <v>6068</v>
      </c>
      <c r="B944" s="3">
        <v>46287</v>
      </c>
      <c r="C944" t="s">
        <v>323</v>
      </c>
      <c r="D944" t="s">
        <v>240</v>
      </c>
      <c r="E944">
        <v>1</v>
      </c>
      <c r="F944" t="s">
        <v>2</v>
      </c>
      <c r="G944" t="s">
        <v>4234</v>
      </c>
      <c r="H944" t="s">
        <v>6069</v>
      </c>
      <c r="I944" t="s">
        <v>324</v>
      </c>
      <c r="J944" t="s">
        <v>2500</v>
      </c>
    </row>
    <row r="945" spans="1:10" x14ac:dyDescent="0.25">
      <c r="A945" t="s">
        <v>6070</v>
      </c>
      <c r="B945" s="3">
        <v>46287</v>
      </c>
      <c r="C945" t="s">
        <v>269</v>
      </c>
      <c r="D945" t="s">
        <v>210</v>
      </c>
      <c r="E945">
        <v>37</v>
      </c>
      <c r="F945" t="s">
        <v>2</v>
      </c>
      <c r="G945" t="s">
        <v>4222</v>
      </c>
      <c r="H945" t="s">
        <v>6071</v>
      </c>
      <c r="I945" t="s">
        <v>117</v>
      </c>
      <c r="J945" t="s">
        <v>2513</v>
      </c>
    </row>
    <row r="946" spans="1:10" x14ac:dyDescent="0.25">
      <c r="A946" t="s">
        <v>6072</v>
      </c>
      <c r="B946" s="3">
        <v>46287</v>
      </c>
      <c r="C946" t="s">
        <v>457</v>
      </c>
      <c r="D946" t="s">
        <v>349</v>
      </c>
      <c r="E946">
        <v>49</v>
      </c>
      <c r="F946" t="s">
        <v>2</v>
      </c>
      <c r="G946" t="s">
        <v>4222</v>
      </c>
      <c r="H946" t="s">
        <v>6073</v>
      </c>
      <c r="I946" t="s">
        <v>175</v>
      </c>
      <c r="J946" t="s">
        <v>2513</v>
      </c>
    </row>
    <row r="947" spans="1:10" x14ac:dyDescent="0.25">
      <c r="A947" t="s">
        <v>6074</v>
      </c>
      <c r="B947" s="3">
        <v>46287</v>
      </c>
      <c r="C947" t="s">
        <v>628</v>
      </c>
      <c r="D947" t="s">
        <v>629</v>
      </c>
      <c r="E947">
        <v>43</v>
      </c>
      <c r="F947" t="s">
        <v>355</v>
      </c>
      <c r="G947" t="s">
        <v>4234</v>
      </c>
      <c r="H947" t="s">
        <v>6075</v>
      </c>
      <c r="I947" t="s">
        <v>397</v>
      </c>
      <c r="J947" t="s">
        <v>2509</v>
      </c>
    </row>
    <row r="948" spans="1:10" x14ac:dyDescent="0.25">
      <c r="A948" t="s">
        <v>6076</v>
      </c>
      <c r="B948" s="3">
        <v>46287</v>
      </c>
      <c r="C948" t="s">
        <v>685</v>
      </c>
      <c r="D948" t="s">
        <v>597</v>
      </c>
      <c r="E948">
        <v>45</v>
      </c>
      <c r="F948" t="s">
        <v>355</v>
      </c>
      <c r="G948" t="s">
        <v>4231</v>
      </c>
      <c r="H948" t="s">
        <v>6077</v>
      </c>
      <c r="I948" t="s">
        <v>166</v>
      </c>
      <c r="J948" t="s">
        <v>2509</v>
      </c>
    </row>
    <row r="949" spans="1:10" x14ac:dyDescent="0.25">
      <c r="A949" t="s">
        <v>6078</v>
      </c>
      <c r="B949" s="3">
        <v>46287</v>
      </c>
      <c r="C949" t="s">
        <v>370</v>
      </c>
      <c r="D949" t="s">
        <v>344</v>
      </c>
      <c r="E949">
        <v>4</v>
      </c>
      <c r="F949" t="s">
        <v>346</v>
      </c>
      <c r="G949" t="s">
        <v>4225</v>
      </c>
      <c r="H949" t="s">
        <v>5264</v>
      </c>
      <c r="I949" t="s">
        <v>24</v>
      </c>
      <c r="J949" t="s">
        <v>2509</v>
      </c>
    </row>
    <row r="950" spans="1:10" x14ac:dyDescent="0.25">
      <c r="A950" t="s">
        <v>6079</v>
      </c>
      <c r="B950" s="3">
        <v>46288</v>
      </c>
      <c r="C950" t="s">
        <v>307</v>
      </c>
      <c r="D950" t="s">
        <v>210</v>
      </c>
      <c r="E950">
        <v>42</v>
      </c>
      <c r="F950" t="s">
        <v>2</v>
      </c>
      <c r="G950" t="s">
        <v>4225</v>
      </c>
      <c r="H950" t="s">
        <v>6080</v>
      </c>
      <c r="I950" t="s">
        <v>57</v>
      </c>
      <c r="J950" t="s">
        <v>2513</v>
      </c>
    </row>
    <row r="951" spans="1:10" x14ac:dyDescent="0.25">
      <c r="A951" t="s">
        <v>6081</v>
      </c>
      <c r="B951" s="3">
        <v>46288</v>
      </c>
      <c r="C951" t="s">
        <v>635</v>
      </c>
      <c r="D951" t="s">
        <v>599</v>
      </c>
      <c r="E951">
        <v>34</v>
      </c>
      <c r="F951" t="s">
        <v>2</v>
      </c>
      <c r="G951" t="s">
        <v>4231</v>
      </c>
      <c r="H951" t="s">
        <v>6082</v>
      </c>
      <c r="I951" t="s">
        <v>287</v>
      </c>
      <c r="J951" t="s">
        <v>2513</v>
      </c>
    </row>
    <row r="952" spans="1:10" x14ac:dyDescent="0.25">
      <c r="A952" t="s">
        <v>6083</v>
      </c>
      <c r="B952" s="3">
        <v>46288</v>
      </c>
      <c r="C952" t="s">
        <v>176</v>
      </c>
      <c r="D952" t="s">
        <v>21</v>
      </c>
      <c r="E952">
        <v>36</v>
      </c>
      <c r="F952" t="s">
        <v>2</v>
      </c>
      <c r="G952" t="s">
        <v>4231</v>
      </c>
      <c r="H952" t="s">
        <v>6084</v>
      </c>
      <c r="I952" t="s">
        <v>177</v>
      </c>
      <c r="J952" t="s">
        <v>2513</v>
      </c>
    </row>
    <row r="953" spans="1:10" x14ac:dyDescent="0.25">
      <c r="A953" t="s">
        <v>6085</v>
      </c>
      <c r="B953" s="3">
        <v>46288</v>
      </c>
      <c r="C953" t="s">
        <v>28</v>
      </c>
      <c r="D953" t="s">
        <v>29</v>
      </c>
      <c r="E953">
        <v>45</v>
      </c>
      <c r="F953" t="s">
        <v>2</v>
      </c>
      <c r="G953" t="s">
        <v>4222</v>
      </c>
      <c r="H953" t="s">
        <v>6086</v>
      </c>
      <c r="I953" t="s">
        <v>30</v>
      </c>
      <c r="J953" t="s">
        <v>2513</v>
      </c>
    </row>
    <row r="954" spans="1:10" x14ac:dyDescent="0.25">
      <c r="A954" t="s">
        <v>6087</v>
      </c>
      <c r="B954" s="3">
        <v>46288</v>
      </c>
      <c r="C954" t="s">
        <v>671</v>
      </c>
      <c r="D954" t="s">
        <v>629</v>
      </c>
      <c r="E954">
        <v>49</v>
      </c>
      <c r="F954" t="s">
        <v>355</v>
      </c>
      <c r="G954" t="s">
        <v>4225</v>
      </c>
      <c r="H954" t="s">
        <v>6088</v>
      </c>
      <c r="I954" t="s">
        <v>89</v>
      </c>
      <c r="J954" t="s">
        <v>2500</v>
      </c>
    </row>
    <row r="955" spans="1:10" x14ac:dyDescent="0.25">
      <c r="A955" t="s">
        <v>6089</v>
      </c>
      <c r="B955" s="3">
        <v>46288</v>
      </c>
      <c r="C955" t="s">
        <v>659</v>
      </c>
      <c r="D955" t="s">
        <v>629</v>
      </c>
      <c r="E955">
        <v>25</v>
      </c>
      <c r="F955" t="s">
        <v>355</v>
      </c>
      <c r="G955" t="s">
        <v>4228</v>
      </c>
      <c r="H955" t="s">
        <v>6090</v>
      </c>
      <c r="I955" t="s">
        <v>67</v>
      </c>
      <c r="J955" t="s">
        <v>2503</v>
      </c>
    </row>
    <row r="956" spans="1:10" x14ac:dyDescent="0.25">
      <c r="A956" t="s">
        <v>6091</v>
      </c>
      <c r="B956" s="3">
        <v>46288</v>
      </c>
      <c r="C956" t="s">
        <v>165</v>
      </c>
      <c r="D956" t="s">
        <v>15</v>
      </c>
      <c r="E956">
        <v>53</v>
      </c>
      <c r="F956" t="s">
        <v>2</v>
      </c>
      <c r="G956" t="s">
        <v>4231</v>
      </c>
      <c r="H956" t="s">
        <v>6092</v>
      </c>
      <c r="I956" t="s">
        <v>166</v>
      </c>
      <c r="J956" t="s">
        <v>2513</v>
      </c>
    </row>
    <row r="957" spans="1:10" x14ac:dyDescent="0.25">
      <c r="A957" t="s">
        <v>6093</v>
      </c>
      <c r="B957" s="3">
        <v>46288</v>
      </c>
      <c r="C957" t="s">
        <v>527</v>
      </c>
      <c r="D957" t="s">
        <v>467</v>
      </c>
      <c r="E957">
        <v>47</v>
      </c>
      <c r="F957" t="s">
        <v>469</v>
      </c>
      <c r="G957" t="s">
        <v>4225</v>
      </c>
      <c r="H957" t="s">
        <v>4468</v>
      </c>
      <c r="I957" t="s">
        <v>289</v>
      </c>
      <c r="J957" t="s">
        <v>2500</v>
      </c>
    </row>
    <row r="958" spans="1:10" x14ac:dyDescent="0.25">
      <c r="A958" t="s">
        <v>6094</v>
      </c>
      <c r="B958" s="3">
        <v>46288</v>
      </c>
      <c r="C958" t="s">
        <v>224</v>
      </c>
      <c r="D958" t="s">
        <v>225</v>
      </c>
      <c r="E958">
        <v>16</v>
      </c>
      <c r="F958" t="s">
        <v>2</v>
      </c>
      <c r="G958" t="s">
        <v>4231</v>
      </c>
      <c r="H958" t="s">
        <v>6095</v>
      </c>
      <c r="I958" t="s">
        <v>106</v>
      </c>
      <c r="J958" t="s">
        <v>2500</v>
      </c>
    </row>
    <row r="959" spans="1:10" x14ac:dyDescent="0.25">
      <c r="A959" t="s">
        <v>6096</v>
      </c>
      <c r="B959" s="3">
        <v>46288</v>
      </c>
      <c r="C959" t="s">
        <v>565</v>
      </c>
      <c r="D959" t="s">
        <v>474</v>
      </c>
      <c r="E959">
        <v>50</v>
      </c>
      <c r="F959" t="s">
        <v>2</v>
      </c>
      <c r="G959" t="s">
        <v>4234</v>
      </c>
      <c r="H959" t="s">
        <v>4667</v>
      </c>
      <c r="I959" t="s">
        <v>45</v>
      </c>
      <c r="J959" t="s">
        <v>2500</v>
      </c>
    </row>
    <row r="960" spans="1:10" x14ac:dyDescent="0.25">
      <c r="A960" t="s">
        <v>6097</v>
      </c>
      <c r="B960" s="3">
        <v>46288</v>
      </c>
      <c r="C960" t="s">
        <v>307</v>
      </c>
      <c r="D960" t="s">
        <v>210</v>
      </c>
      <c r="E960">
        <v>40</v>
      </c>
      <c r="F960" t="s">
        <v>2</v>
      </c>
      <c r="G960" t="s">
        <v>4231</v>
      </c>
      <c r="H960" t="s">
        <v>5883</v>
      </c>
      <c r="I960" t="s">
        <v>57</v>
      </c>
      <c r="J960" t="s">
        <v>2503</v>
      </c>
    </row>
    <row r="961" spans="1:10" x14ac:dyDescent="0.25">
      <c r="A961" t="s">
        <v>6098</v>
      </c>
      <c r="B961" s="3">
        <v>46288</v>
      </c>
      <c r="C961" t="s">
        <v>107</v>
      </c>
      <c r="D961" t="s">
        <v>29</v>
      </c>
      <c r="E961">
        <v>41</v>
      </c>
      <c r="F961" t="s">
        <v>2</v>
      </c>
      <c r="G961" t="s">
        <v>4231</v>
      </c>
      <c r="H961" t="s">
        <v>6099</v>
      </c>
      <c r="I961" t="s">
        <v>108</v>
      </c>
      <c r="J961" t="s">
        <v>2503</v>
      </c>
    </row>
    <row r="962" spans="1:10" x14ac:dyDescent="0.25">
      <c r="A962" t="s">
        <v>6100</v>
      </c>
      <c r="B962" s="3">
        <v>46288</v>
      </c>
      <c r="C962" t="s">
        <v>267</v>
      </c>
      <c r="D962" t="s">
        <v>227</v>
      </c>
      <c r="E962">
        <v>53</v>
      </c>
      <c r="F962" t="s">
        <v>2</v>
      </c>
      <c r="G962" t="s">
        <v>4228</v>
      </c>
      <c r="H962" t="s">
        <v>6101</v>
      </c>
      <c r="I962" t="s">
        <v>183</v>
      </c>
      <c r="J962" t="s">
        <v>2503</v>
      </c>
    </row>
    <row r="963" spans="1:10" x14ac:dyDescent="0.25">
      <c r="A963" t="s">
        <v>6102</v>
      </c>
      <c r="B963" s="3">
        <v>46288</v>
      </c>
      <c r="C963" t="s">
        <v>505</v>
      </c>
      <c r="D963" t="s">
        <v>479</v>
      </c>
      <c r="E963">
        <v>31</v>
      </c>
      <c r="F963" t="s">
        <v>469</v>
      </c>
      <c r="G963" t="s">
        <v>4231</v>
      </c>
      <c r="H963" t="s">
        <v>6103</v>
      </c>
      <c r="I963" t="s">
        <v>69</v>
      </c>
      <c r="J963" t="s">
        <v>2503</v>
      </c>
    </row>
    <row r="964" spans="1:10" x14ac:dyDescent="0.25">
      <c r="A964" t="s">
        <v>6104</v>
      </c>
      <c r="B964" s="3">
        <v>46288</v>
      </c>
      <c r="C964" t="s">
        <v>25</v>
      </c>
      <c r="D964" t="s">
        <v>26</v>
      </c>
      <c r="E964">
        <v>13</v>
      </c>
      <c r="F964" t="s">
        <v>2</v>
      </c>
      <c r="G964" t="s">
        <v>4234</v>
      </c>
      <c r="H964" t="s">
        <v>6105</v>
      </c>
      <c r="I964" t="s">
        <v>27</v>
      </c>
      <c r="J964" t="s">
        <v>2503</v>
      </c>
    </row>
    <row r="965" spans="1:10" x14ac:dyDescent="0.25">
      <c r="A965" t="s">
        <v>6106</v>
      </c>
      <c r="B965" s="3">
        <v>46288</v>
      </c>
      <c r="C965" t="s">
        <v>74</v>
      </c>
      <c r="D965" t="s">
        <v>15</v>
      </c>
      <c r="E965">
        <v>31</v>
      </c>
      <c r="F965" t="s">
        <v>2</v>
      </c>
      <c r="G965" t="s">
        <v>4231</v>
      </c>
      <c r="H965" t="s">
        <v>6107</v>
      </c>
      <c r="I965" t="s">
        <v>75</v>
      </c>
      <c r="J965" t="s">
        <v>2509</v>
      </c>
    </row>
    <row r="966" spans="1:10" x14ac:dyDescent="0.25">
      <c r="A966" t="s">
        <v>6108</v>
      </c>
      <c r="B966" s="3">
        <v>46288</v>
      </c>
      <c r="C966" t="s">
        <v>569</v>
      </c>
      <c r="D966" t="s">
        <v>474</v>
      </c>
      <c r="E966">
        <v>44</v>
      </c>
      <c r="F966" t="s">
        <v>2</v>
      </c>
      <c r="G966" t="s">
        <v>4231</v>
      </c>
      <c r="H966" t="s">
        <v>4407</v>
      </c>
      <c r="I966" t="s">
        <v>161</v>
      </c>
      <c r="J966" t="s">
        <v>2503</v>
      </c>
    </row>
    <row r="967" spans="1:10" x14ac:dyDescent="0.25">
      <c r="A967" t="s">
        <v>6109</v>
      </c>
      <c r="B967" s="3">
        <v>46288</v>
      </c>
      <c r="C967" t="s">
        <v>480</v>
      </c>
      <c r="D967" t="s">
        <v>481</v>
      </c>
      <c r="E967">
        <v>35</v>
      </c>
      <c r="F967" t="s">
        <v>2</v>
      </c>
      <c r="G967" t="s">
        <v>4225</v>
      </c>
      <c r="H967" t="s">
        <v>6110</v>
      </c>
      <c r="I967" t="s">
        <v>297</v>
      </c>
      <c r="J967" t="s">
        <v>2500</v>
      </c>
    </row>
    <row r="968" spans="1:10" x14ac:dyDescent="0.25">
      <c r="A968" t="s">
        <v>6111</v>
      </c>
      <c r="B968" s="3">
        <v>46288</v>
      </c>
      <c r="C968" t="s">
        <v>421</v>
      </c>
      <c r="D968" t="s">
        <v>360</v>
      </c>
      <c r="E968">
        <v>3</v>
      </c>
      <c r="F968" t="s">
        <v>358</v>
      </c>
      <c r="G968" t="s">
        <v>4225</v>
      </c>
      <c r="H968" t="s">
        <v>6112</v>
      </c>
      <c r="I968" t="s">
        <v>144</v>
      </c>
      <c r="J968" t="s">
        <v>2500</v>
      </c>
    </row>
    <row r="969" spans="1:10" x14ac:dyDescent="0.25">
      <c r="A969" t="s">
        <v>6113</v>
      </c>
      <c r="B969" s="3">
        <v>46288</v>
      </c>
      <c r="C969" t="s">
        <v>439</v>
      </c>
      <c r="D969" t="s">
        <v>378</v>
      </c>
      <c r="E969">
        <v>5</v>
      </c>
      <c r="F969" t="s">
        <v>2</v>
      </c>
      <c r="G969" t="s">
        <v>4228</v>
      </c>
      <c r="H969" t="s">
        <v>6010</v>
      </c>
      <c r="I969" t="s">
        <v>440</v>
      </c>
      <c r="J969" t="s">
        <v>2513</v>
      </c>
    </row>
    <row r="970" spans="1:10" x14ac:dyDescent="0.25">
      <c r="A970" t="s">
        <v>6114</v>
      </c>
      <c r="B970" s="3">
        <v>46288</v>
      </c>
      <c r="C970" t="s">
        <v>657</v>
      </c>
      <c r="D970" t="s">
        <v>585</v>
      </c>
      <c r="E970">
        <v>52</v>
      </c>
      <c r="F970" t="s">
        <v>355</v>
      </c>
      <c r="G970" t="s">
        <v>4231</v>
      </c>
      <c r="H970" t="s">
        <v>6115</v>
      </c>
      <c r="I970" t="s">
        <v>250</v>
      </c>
      <c r="J970" t="s">
        <v>2509</v>
      </c>
    </row>
    <row r="971" spans="1:10" x14ac:dyDescent="0.25">
      <c r="A971" t="s">
        <v>6116</v>
      </c>
      <c r="B971" s="3">
        <v>46288</v>
      </c>
      <c r="C971" t="s">
        <v>451</v>
      </c>
      <c r="D971" t="s">
        <v>351</v>
      </c>
      <c r="E971">
        <v>6</v>
      </c>
      <c r="F971" t="s">
        <v>2</v>
      </c>
      <c r="G971" t="s">
        <v>4234</v>
      </c>
      <c r="H971" t="s">
        <v>6117</v>
      </c>
      <c r="I971" t="s">
        <v>185</v>
      </c>
      <c r="J971" t="s">
        <v>2503</v>
      </c>
    </row>
    <row r="972" spans="1:10" x14ac:dyDescent="0.25">
      <c r="A972" t="s">
        <v>6118</v>
      </c>
      <c r="B972" s="3">
        <v>46288</v>
      </c>
      <c r="C972" t="s">
        <v>489</v>
      </c>
      <c r="D972" t="s">
        <v>490</v>
      </c>
      <c r="E972">
        <v>9</v>
      </c>
      <c r="F972" t="s">
        <v>355</v>
      </c>
      <c r="G972" t="s">
        <v>4222</v>
      </c>
      <c r="H972" t="s">
        <v>6119</v>
      </c>
      <c r="I972" t="s">
        <v>183</v>
      </c>
      <c r="J972" t="s">
        <v>2503</v>
      </c>
    </row>
    <row r="973" spans="1:10" x14ac:dyDescent="0.25">
      <c r="A973" t="s">
        <v>6120</v>
      </c>
      <c r="B973" s="3">
        <v>46288</v>
      </c>
      <c r="C973" t="s">
        <v>180</v>
      </c>
      <c r="D973" t="s">
        <v>15</v>
      </c>
      <c r="E973">
        <v>7</v>
      </c>
      <c r="F973" t="s">
        <v>2</v>
      </c>
      <c r="G973" t="s">
        <v>4225</v>
      </c>
      <c r="H973" t="s">
        <v>6121</v>
      </c>
      <c r="I973" t="s">
        <v>181</v>
      </c>
      <c r="J973" t="s">
        <v>2513</v>
      </c>
    </row>
    <row r="974" spans="1:10" x14ac:dyDescent="0.25">
      <c r="A974" t="s">
        <v>6122</v>
      </c>
      <c r="B974" s="3">
        <v>46288</v>
      </c>
      <c r="C974" t="s">
        <v>157</v>
      </c>
      <c r="D974" t="s">
        <v>44</v>
      </c>
      <c r="E974">
        <v>47</v>
      </c>
      <c r="F974" t="s">
        <v>2</v>
      </c>
      <c r="G974" t="s">
        <v>4228</v>
      </c>
      <c r="H974" t="s">
        <v>6123</v>
      </c>
      <c r="I974" t="s">
        <v>158</v>
      </c>
      <c r="J974" t="s">
        <v>2509</v>
      </c>
    </row>
    <row r="975" spans="1:10" x14ac:dyDescent="0.25">
      <c r="A975" t="s">
        <v>6124</v>
      </c>
      <c r="B975" s="3">
        <v>46288</v>
      </c>
      <c r="C975" t="s">
        <v>237</v>
      </c>
      <c r="D975" t="s">
        <v>234</v>
      </c>
      <c r="E975">
        <v>41</v>
      </c>
      <c r="F975" t="s">
        <v>2</v>
      </c>
      <c r="G975" t="s">
        <v>4234</v>
      </c>
      <c r="H975" t="s">
        <v>6125</v>
      </c>
      <c r="I975" t="s">
        <v>193</v>
      </c>
      <c r="J975" t="s">
        <v>2503</v>
      </c>
    </row>
    <row r="976" spans="1:10" x14ac:dyDescent="0.25">
      <c r="A976" t="s">
        <v>6126</v>
      </c>
      <c r="B976" s="3">
        <v>46288</v>
      </c>
      <c r="C976" t="s">
        <v>159</v>
      </c>
      <c r="D976" t="s">
        <v>29</v>
      </c>
      <c r="E976">
        <v>17</v>
      </c>
      <c r="F976" t="s">
        <v>2</v>
      </c>
      <c r="G976" t="s">
        <v>4234</v>
      </c>
      <c r="H976" t="s">
        <v>6127</v>
      </c>
      <c r="I976" t="s">
        <v>73</v>
      </c>
      <c r="J976" t="s">
        <v>2503</v>
      </c>
    </row>
    <row r="977" spans="1:10" x14ac:dyDescent="0.25">
      <c r="A977" t="s">
        <v>6128</v>
      </c>
      <c r="B977" s="3">
        <v>46288</v>
      </c>
      <c r="C977" t="s">
        <v>500</v>
      </c>
      <c r="D977" t="s">
        <v>488</v>
      </c>
      <c r="E977">
        <v>21</v>
      </c>
      <c r="F977" t="s">
        <v>469</v>
      </c>
      <c r="G977" t="s">
        <v>4234</v>
      </c>
      <c r="H977" t="s">
        <v>6129</v>
      </c>
      <c r="I977" t="s">
        <v>27</v>
      </c>
      <c r="J977" t="s">
        <v>2509</v>
      </c>
    </row>
    <row r="978" spans="1:10" x14ac:dyDescent="0.25">
      <c r="A978" t="s">
        <v>6130</v>
      </c>
      <c r="B978" s="3">
        <v>46288</v>
      </c>
      <c r="C978" t="s">
        <v>153</v>
      </c>
      <c r="D978" t="s">
        <v>26</v>
      </c>
      <c r="E978">
        <v>20</v>
      </c>
      <c r="F978" t="s">
        <v>2</v>
      </c>
      <c r="G978" t="s">
        <v>4225</v>
      </c>
      <c r="H978" t="s">
        <v>5961</v>
      </c>
      <c r="I978" t="s">
        <v>93</v>
      </c>
      <c r="J978" t="s">
        <v>2500</v>
      </c>
    </row>
    <row r="979" spans="1:10" x14ac:dyDescent="0.25">
      <c r="A979" t="s">
        <v>6131</v>
      </c>
      <c r="B979" s="3">
        <v>46288</v>
      </c>
      <c r="C979" t="s">
        <v>146</v>
      </c>
      <c r="D979" t="s">
        <v>1</v>
      </c>
      <c r="E979">
        <v>38</v>
      </c>
      <c r="F979" t="s">
        <v>2</v>
      </c>
      <c r="G979" t="s">
        <v>4228</v>
      </c>
      <c r="H979" t="s">
        <v>6132</v>
      </c>
      <c r="I979" t="s">
        <v>147</v>
      </c>
      <c r="J979" t="s">
        <v>2513</v>
      </c>
    </row>
    <row r="980" spans="1:10" x14ac:dyDescent="0.25">
      <c r="A980" t="s">
        <v>6133</v>
      </c>
      <c r="B980" s="3">
        <v>46288</v>
      </c>
      <c r="C980" t="s">
        <v>293</v>
      </c>
      <c r="D980" t="s">
        <v>210</v>
      </c>
      <c r="E980">
        <v>12</v>
      </c>
      <c r="F980" t="s">
        <v>2</v>
      </c>
      <c r="G980" t="s">
        <v>4225</v>
      </c>
      <c r="H980" t="s">
        <v>6134</v>
      </c>
      <c r="I980" t="s">
        <v>294</v>
      </c>
      <c r="J980" t="s">
        <v>2509</v>
      </c>
    </row>
    <row r="981" spans="1:10" x14ac:dyDescent="0.25">
      <c r="A981" t="s">
        <v>6135</v>
      </c>
      <c r="B981" s="3">
        <v>46288</v>
      </c>
      <c r="C981" t="s">
        <v>660</v>
      </c>
      <c r="D981" t="s">
        <v>629</v>
      </c>
      <c r="E981">
        <v>20</v>
      </c>
      <c r="F981" t="s">
        <v>355</v>
      </c>
      <c r="G981" t="s">
        <v>4234</v>
      </c>
      <c r="H981" t="s">
        <v>6136</v>
      </c>
      <c r="I981" t="s">
        <v>312</v>
      </c>
      <c r="J981" t="s">
        <v>2513</v>
      </c>
    </row>
    <row r="982" spans="1:10" x14ac:dyDescent="0.25">
      <c r="A982" t="s">
        <v>6137</v>
      </c>
      <c r="B982" s="3">
        <v>46288</v>
      </c>
      <c r="C982" t="s">
        <v>107</v>
      </c>
      <c r="D982" t="s">
        <v>29</v>
      </c>
      <c r="E982">
        <v>22</v>
      </c>
      <c r="F982" t="s">
        <v>2</v>
      </c>
      <c r="G982" t="s">
        <v>4234</v>
      </c>
      <c r="H982" t="s">
        <v>6138</v>
      </c>
      <c r="I982" t="s">
        <v>108</v>
      </c>
      <c r="J982" t="s">
        <v>2513</v>
      </c>
    </row>
    <row r="983" spans="1:10" x14ac:dyDescent="0.25">
      <c r="A983" t="s">
        <v>6139</v>
      </c>
      <c r="B983" s="3">
        <v>46288</v>
      </c>
      <c r="C983" t="s">
        <v>107</v>
      </c>
      <c r="D983" t="s">
        <v>29</v>
      </c>
      <c r="E983">
        <v>34</v>
      </c>
      <c r="F983" t="s">
        <v>2</v>
      </c>
      <c r="G983" t="s">
        <v>4222</v>
      </c>
      <c r="H983" t="s">
        <v>6140</v>
      </c>
      <c r="I983" t="s">
        <v>108</v>
      </c>
      <c r="J983" t="s">
        <v>2509</v>
      </c>
    </row>
    <row r="984" spans="1:10" x14ac:dyDescent="0.25">
      <c r="A984" t="s">
        <v>6141</v>
      </c>
      <c r="B984" s="3">
        <v>46288</v>
      </c>
      <c r="C984" t="s">
        <v>271</v>
      </c>
      <c r="D984" t="s">
        <v>225</v>
      </c>
      <c r="E984">
        <v>9</v>
      </c>
      <c r="F984" t="s">
        <v>2</v>
      </c>
      <c r="G984" t="s">
        <v>4222</v>
      </c>
      <c r="H984" t="s">
        <v>6142</v>
      </c>
      <c r="I984" t="s">
        <v>147</v>
      </c>
      <c r="J984" t="s">
        <v>2509</v>
      </c>
    </row>
    <row r="985" spans="1:10" x14ac:dyDescent="0.25">
      <c r="A985" t="s">
        <v>6143</v>
      </c>
      <c r="B985" s="3">
        <v>46288</v>
      </c>
      <c r="C985" t="s">
        <v>513</v>
      </c>
      <c r="D985" t="s">
        <v>488</v>
      </c>
      <c r="E985">
        <v>12</v>
      </c>
      <c r="F985" t="s">
        <v>469</v>
      </c>
      <c r="G985" t="s">
        <v>4222</v>
      </c>
      <c r="H985" t="s">
        <v>6144</v>
      </c>
      <c r="I985" t="s">
        <v>110</v>
      </c>
      <c r="J985" t="s">
        <v>2509</v>
      </c>
    </row>
    <row r="986" spans="1:10" x14ac:dyDescent="0.25">
      <c r="A986" t="s">
        <v>6145</v>
      </c>
      <c r="B986" s="3">
        <v>46288</v>
      </c>
      <c r="C986" t="s">
        <v>94</v>
      </c>
      <c r="D986" t="s">
        <v>15</v>
      </c>
      <c r="E986">
        <v>27</v>
      </c>
      <c r="F986" t="s">
        <v>2</v>
      </c>
      <c r="G986" t="s">
        <v>4231</v>
      </c>
      <c r="H986" t="s">
        <v>6146</v>
      </c>
      <c r="I986" t="s">
        <v>95</v>
      </c>
      <c r="J986" t="s">
        <v>2503</v>
      </c>
    </row>
    <row r="987" spans="1:10" x14ac:dyDescent="0.25">
      <c r="A987" t="s">
        <v>6147</v>
      </c>
      <c r="B987" s="3">
        <v>46288</v>
      </c>
      <c r="C987" t="s">
        <v>179</v>
      </c>
      <c r="D987" t="s">
        <v>47</v>
      </c>
      <c r="E987">
        <v>49</v>
      </c>
      <c r="F987" t="s">
        <v>2</v>
      </c>
      <c r="G987" t="s">
        <v>4228</v>
      </c>
      <c r="H987" t="s">
        <v>6148</v>
      </c>
      <c r="I987" t="s">
        <v>50</v>
      </c>
      <c r="J987" t="s">
        <v>2500</v>
      </c>
    </row>
    <row r="988" spans="1:10" x14ac:dyDescent="0.25">
      <c r="A988" t="s">
        <v>6149</v>
      </c>
      <c r="B988" s="3">
        <v>46289</v>
      </c>
      <c r="C988" t="s">
        <v>68</v>
      </c>
      <c r="D988" t="s">
        <v>29</v>
      </c>
      <c r="E988">
        <v>52</v>
      </c>
      <c r="F988" t="s">
        <v>2</v>
      </c>
      <c r="G988" t="s">
        <v>4231</v>
      </c>
      <c r="H988" t="s">
        <v>6150</v>
      </c>
      <c r="I988" t="s">
        <v>69</v>
      </c>
      <c r="J988" t="s">
        <v>2513</v>
      </c>
    </row>
    <row r="989" spans="1:10" x14ac:dyDescent="0.25">
      <c r="A989" t="s">
        <v>6151</v>
      </c>
      <c r="B989" s="3">
        <v>46289</v>
      </c>
      <c r="C989" t="s">
        <v>644</v>
      </c>
      <c r="D989" t="s">
        <v>629</v>
      </c>
      <c r="E989">
        <v>4</v>
      </c>
      <c r="F989" t="s">
        <v>355</v>
      </c>
      <c r="G989" t="s">
        <v>4225</v>
      </c>
      <c r="H989" t="s">
        <v>6152</v>
      </c>
      <c r="I989" t="s">
        <v>189</v>
      </c>
      <c r="J989" t="s">
        <v>2503</v>
      </c>
    </row>
    <row r="990" spans="1:10" x14ac:dyDescent="0.25">
      <c r="A990" t="s">
        <v>6153</v>
      </c>
      <c r="B990" s="3">
        <v>46289</v>
      </c>
      <c r="C990" t="s">
        <v>231</v>
      </c>
      <c r="D990" t="s">
        <v>227</v>
      </c>
      <c r="E990">
        <v>7</v>
      </c>
      <c r="F990" t="s">
        <v>2</v>
      </c>
      <c r="G990" t="s">
        <v>4222</v>
      </c>
      <c r="H990" t="s">
        <v>4289</v>
      </c>
      <c r="I990" t="s">
        <v>30</v>
      </c>
      <c r="J990" t="s">
        <v>2500</v>
      </c>
    </row>
    <row r="991" spans="1:10" x14ac:dyDescent="0.25">
      <c r="A991" t="s">
        <v>6154</v>
      </c>
      <c r="B991" s="3">
        <v>46289</v>
      </c>
      <c r="C991" t="s">
        <v>651</v>
      </c>
      <c r="D991" t="s">
        <v>612</v>
      </c>
      <c r="E991">
        <v>49</v>
      </c>
      <c r="F991" t="s">
        <v>2</v>
      </c>
      <c r="G991" t="s">
        <v>4234</v>
      </c>
      <c r="H991" t="s">
        <v>6155</v>
      </c>
      <c r="I991" t="s">
        <v>294</v>
      </c>
      <c r="J991" t="s">
        <v>2503</v>
      </c>
    </row>
    <row r="992" spans="1:10" x14ac:dyDescent="0.25">
      <c r="A992" t="s">
        <v>6156</v>
      </c>
      <c r="B992" s="3">
        <v>46289</v>
      </c>
      <c r="C992" t="s">
        <v>457</v>
      </c>
      <c r="D992" t="s">
        <v>349</v>
      </c>
      <c r="E992">
        <v>13</v>
      </c>
      <c r="F992" t="s">
        <v>2</v>
      </c>
      <c r="G992" t="s">
        <v>4225</v>
      </c>
      <c r="H992" t="s">
        <v>6157</v>
      </c>
      <c r="I992" t="s">
        <v>175</v>
      </c>
      <c r="J992" t="s">
        <v>2500</v>
      </c>
    </row>
    <row r="993" spans="1:10" x14ac:dyDescent="0.25">
      <c r="A993" t="s">
        <v>6158</v>
      </c>
      <c r="B993" s="3">
        <v>46289</v>
      </c>
      <c r="C993" t="s">
        <v>635</v>
      </c>
      <c r="D993" t="s">
        <v>599</v>
      </c>
      <c r="E993">
        <v>32</v>
      </c>
      <c r="F993" t="s">
        <v>2</v>
      </c>
      <c r="G993" t="s">
        <v>4225</v>
      </c>
      <c r="H993" t="s">
        <v>5413</v>
      </c>
      <c r="I993" t="s">
        <v>287</v>
      </c>
      <c r="J993" t="s">
        <v>2500</v>
      </c>
    </row>
    <row r="994" spans="1:10" x14ac:dyDescent="0.25">
      <c r="A994" t="s">
        <v>6159</v>
      </c>
      <c r="B994" s="3">
        <v>46289</v>
      </c>
      <c r="C994" t="s">
        <v>416</v>
      </c>
      <c r="D994" t="s">
        <v>344</v>
      </c>
      <c r="E994">
        <v>51</v>
      </c>
      <c r="F994" t="s">
        <v>346</v>
      </c>
      <c r="G994" t="s">
        <v>4225</v>
      </c>
      <c r="H994" t="s">
        <v>6160</v>
      </c>
      <c r="I994" t="s">
        <v>102</v>
      </c>
      <c r="J994" t="s">
        <v>2503</v>
      </c>
    </row>
    <row r="995" spans="1:10" x14ac:dyDescent="0.25">
      <c r="A995" t="s">
        <v>6161</v>
      </c>
      <c r="B995" s="3">
        <v>46289</v>
      </c>
      <c r="C995" t="s">
        <v>156</v>
      </c>
      <c r="D995" t="s">
        <v>15</v>
      </c>
      <c r="E995">
        <v>55</v>
      </c>
      <c r="F995" t="s">
        <v>2</v>
      </c>
      <c r="G995" t="s">
        <v>4231</v>
      </c>
      <c r="H995" t="s">
        <v>6162</v>
      </c>
      <c r="I995" t="s">
        <v>98</v>
      </c>
      <c r="J995" t="s">
        <v>2503</v>
      </c>
    </row>
    <row r="996" spans="1:10" x14ac:dyDescent="0.25">
      <c r="A996" t="s">
        <v>6163</v>
      </c>
      <c r="B996" s="3">
        <v>46289</v>
      </c>
      <c r="C996" t="s">
        <v>233</v>
      </c>
      <c r="D996" t="s">
        <v>234</v>
      </c>
      <c r="E996">
        <v>37</v>
      </c>
      <c r="F996" t="s">
        <v>2</v>
      </c>
      <c r="G996" t="s">
        <v>4228</v>
      </c>
      <c r="H996" t="s">
        <v>6164</v>
      </c>
      <c r="I996" t="s">
        <v>87</v>
      </c>
      <c r="J996" t="s">
        <v>2503</v>
      </c>
    </row>
    <row r="997" spans="1:10" x14ac:dyDescent="0.25">
      <c r="A997" t="s">
        <v>6165</v>
      </c>
      <c r="B997" s="3">
        <v>46289</v>
      </c>
      <c r="C997" t="s">
        <v>430</v>
      </c>
      <c r="D997" t="s">
        <v>349</v>
      </c>
      <c r="E997">
        <v>25</v>
      </c>
      <c r="F997" t="s">
        <v>2</v>
      </c>
      <c r="G997" t="s">
        <v>4225</v>
      </c>
      <c r="H997" t="s">
        <v>6166</v>
      </c>
      <c r="I997" t="s">
        <v>64</v>
      </c>
      <c r="J997" t="s">
        <v>2509</v>
      </c>
    </row>
    <row r="998" spans="1:10" x14ac:dyDescent="0.25">
      <c r="A998" t="s">
        <v>6167</v>
      </c>
      <c r="B998" s="3">
        <v>46289</v>
      </c>
      <c r="C998" t="s">
        <v>233</v>
      </c>
      <c r="D998" t="s">
        <v>234</v>
      </c>
      <c r="E998">
        <v>6</v>
      </c>
      <c r="F998" t="s">
        <v>2</v>
      </c>
      <c r="G998" t="s">
        <v>4228</v>
      </c>
      <c r="H998" t="s">
        <v>6168</v>
      </c>
      <c r="I998" t="s">
        <v>87</v>
      </c>
      <c r="J998" t="s">
        <v>2500</v>
      </c>
    </row>
    <row r="999" spans="1:10" x14ac:dyDescent="0.25">
      <c r="A999" t="s">
        <v>6169</v>
      </c>
      <c r="B999" s="3">
        <v>46289</v>
      </c>
      <c r="C999" t="s">
        <v>53</v>
      </c>
      <c r="D999" t="s">
        <v>54</v>
      </c>
      <c r="E999">
        <v>55</v>
      </c>
      <c r="F999" t="s">
        <v>2</v>
      </c>
      <c r="G999" t="s">
        <v>4228</v>
      </c>
      <c r="H999" t="s">
        <v>6170</v>
      </c>
      <c r="I999" t="s">
        <v>57</v>
      </c>
      <c r="J999" t="s">
        <v>2513</v>
      </c>
    </row>
    <row r="1000" spans="1:10" x14ac:dyDescent="0.25">
      <c r="A1000" t="s">
        <v>6171</v>
      </c>
      <c r="B1000" s="3">
        <v>46289</v>
      </c>
      <c r="C1000" t="s">
        <v>687</v>
      </c>
      <c r="D1000" t="s">
        <v>612</v>
      </c>
      <c r="E1000">
        <v>51</v>
      </c>
      <c r="F1000" t="s">
        <v>2</v>
      </c>
      <c r="G1000" t="s">
        <v>4228</v>
      </c>
      <c r="H1000" t="s">
        <v>6172</v>
      </c>
      <c r="I1000" t="s">
        <v>59</v>
      </c>
      <c r="J1000" t="s">
        <v>2513</v>
      </c>
    </row>
    <row r="1001" spans="1:10" x14ac:dyDescent="0.25">
      <c r="A1001" t="s">
        <v>6173</v>
      </c>
      <c r="B1001" s="3">
        <v>46289</v>
      </c>
      <c r="C1001" t="s">
        <v>575</v>
      </c>
      <c r="D1001" t="s">
        <v>467</v>
      </c>
      <c r="E1001">
        <v>41</v>
      </c>
      <c r="F1001" t="s">
        <v>469</v>
      </c>
      <c r="G1001" t="s">
        <v>4222</v>
      </c>
      <c r="H1001" t="s">
        <v>6174</v>
      </c>
      <c r="I1001" t="s">
        <v>108</v>
      </c>
      <c r="J1001" t="s">
        <v>2509</v>
      </c>
    </row>
    <row r="1002" spans="1:10" x14ac:dyDescent="0.25">
      <c r="A1002" t="s">
        <v>6175</v>
      </c>
      <c r="B1002" s="3">
        <v>46289</v>
      </c>
      <c r="C1002" t="s">
        <v>352</v>
      </c>
      <c r="D1002" t="s">
        <v>344</v>
      </c>
      <c r="E1002">
        <v>1</v>
      </c>
      <c r="F1002" t="s">
        <v>346</v>
      </c>
      <c r="G1002" t="s">
        <v>4225</v>
      </c>
      <c r="H1002" t="s">
        <v>6176</v>
      </c>
      <c r="I1002" t="s">
        <v>189</v>
      </c>
      <c r="J1002" t="s">
        <v>2513</v>
      </c>
    </row>
    <row r="1003" spans="1:10" x14ac:dyDescent="0.25">
      <c r="A1003" t="s">
        <v>6177</v>
      </c>
      <c r="B1003" s="3">
        <v>46289</v>
      </c>
      <c r="C1003" t="s">
        <v>681</v>
      </c>
      <c r="D1003" t="s">
        <v>589</v>
      </c>
      <c r="E1003">
        <v>2</v>
      </c>
      <c r="F1003" t="s">
        <v>469</v>
      </c>
      <c r="G1003" t="s">
        <v>4231</v>
      </c>
      <c r="H1003" t="s">
        <v>6178</v>
      </c>
      <c r="I1003" t="s">
        <v>259</v>
      </c>
      <c r="J1003" t="s">
        <v>2513</v>
      </c>
    </row>
    <row r="1004" spans="1:10" x14ac:dyDescent="0.25">
      <c r="A1004" t="s">
        <v>6179</v>
      </c>
      <c r="B1004" s="3">
        <v>46289</v>
      </c>
      <c r="C1004" t="s">
        <v>128</v>
      </c>
      <c r="D1004" t="s">
        <v>47</v>
      </c>
      <c r="E1004">
        <v>55</v>
      </c>
      <c r="F1004" t="s">
        <v>2</v>
      </c>
      <c r="G1004" t="s">
        <v>4231</v>
      </c>
      <c r="H1004" t="s">
        <v>6180</v>
      </c>
      <c r="I1004" t="s">
        <v>129</v>
      </c>
      <c r="J1004" t="s">
        <v>2509</v>
      </c>
    </row>
    <row r="1005" spans="1:10" x14ac:dyDescent="0.25">
      <c r="A1005" t="s">
        <v>6181</v>
      </c>
      <c r="B1005" s="3">
        <v>46289</v>
      </c>
      <c r="C1005" t="s">
        <v>130</v>
      </c>
      <c r="D1005" t="s">
        <v>1</v>
      </c>
      <c r="E1005">
        <v>17</v>
      </c>
      <c r="F1005" t="s">
        <v>2</v>
      </c>
      <c r="G1005" t="s">
        <v>4231</v>
      </c>
      <c r="H1005" t="s">
        <v>6182</v>
      </c>
      <c r="I1005" t="s">
        <v>19</v>
      </c>
      <c r="J1005" t="s">
        <v>2503</v>
      </c>
    </row>
    <row r="1006" spans="1:10" x14ac:dyDescent="0.25">
      <c r="A1006" t="s">
        <v>6183</v>
      </c>
      <c r="B1006" s="3">
        <v>46289</v>
      </c>
      <c r="C1006" t="s">
        <v>338</v>
      </c>
      <c r="D1006" t="s">
        <v>213</v>
      </c>
      <c r="E1006">
        <v>12</v>
      </c>
      <c r="F1006" t="s">
        <v>2</v>
      </c>
      <c r="G1006" t="s">
        <v>4222</v>
      </c>
      <c r="H1006" t="s">
        <v>6184</v>
      </c>
      <c r="I1006" t="s">
        <v>34</v>
      </c>
      <c r="J1006" t="s">
        <v>2509</v>
      </c>
    </row>
    <row r="1007" spans="1:10" x14ac:dyDescent="0.25">
      <c r="A1007" t="s">
        <v>6185</v>
      </c>
      <c r="B1007" s="3">
        <v>46289</v>
      </c>
      <c r="C1007" t="s">
        <v>243</v>
      </c>
      <c r="D1007" t="s">
        <v>213</v>
      </c>
      <c r="E1007">
        <v>44</v>
      </c>
      <c r="F1007" t="s">
        <v>2</v>
      </c>
      <c r="G1007" t="s">
        <v>4231</v>
      </c>
      <c r="H1007" t="s">
        <v>6186</v>
      </c>
      <c r="I1007" t="s">
        <v>177</v>
      </c>
      <c r="J1007" t="s">
        <v>2509</v>
      </c>
    </row>
    <row r="1008" spans="1:10" x14ac:dyDescent="0.25">
      <c r="A1008" t="s">
        <v>6187</v>
      </c>
      <c r="B1008" s="3">
        <v>46289</v>
      </c>
      <c r="C1008" t="s">
        <v>258</v>
      </c>
      <c r="D1008" t="s">
        <v>210</v>
      </c>
      <c r="E1008">
        <v>47</v>
      </c>
      <c r="F1008" t="s">
        <v>2</v>
      </c>
      <c r="G1008" t="s">
        <v>4231</v>
      </c>
      <c r="H1008" t="s">
        <v>6188</v>
      </c>
      <c r="I1008" t="s">
        <v>259</v>
      </c>
      <c r="J1008" t="s">
        <v>2509</v>
      </c>
    </row>
    <row r="1009" spans="1:10" x14ac:dyDescent="0.25">
      <c r="A1009" t="s">
        <v>6189</v>
      </c>
      <c r="B1009" s="3">
        <v>46289</v>
      </c>
      <c r="C1009" t="s">
        <v>505</v>
      </c>
      <c r="D1009" t="s">
        <v>479</v>
      </c>
      <c r="E1009">
        <v>30</v>
      </c>
      <c r="F1009" t="s">
        <v>469</v>
      </c>
      <c r="G1009" t="s">
        <v>4222</v>
      </c>
      <c r="H1009" t="s">
        <v>6190</v>
      </c>
      <c r="I1009" t="s">
        <v>69</v>
      </c>
      <c r="J1009" t="s">
        <v>2503</v>
      </c>
    </row>
    <row r="1010" spans="1:10" x14ac:dyDescent="0.25">
      <c r="A1010" t="s">
        <v>6191</v>
      </c>
      <c r="B1010" s="3">
        <v>46289</v>
      </c>
      <c r="C1010" t="s">
        <v>103</v>
      </c>
      <c r="D1010" t="s">
        <v>29</v>
      </c>
      <c r="E1010">
        <v>28</v>
      </c>
      <c r="F1010" t="s">
        <v>2</v>
      </c>
      <c r="G1010" t="s">
        <v>4222</v>
      </c>
      <c r="H1010" t="s">
        <v>6192</v>
      </c>
      <c r="I1010" t="s">
        <v>104</v>
      </c>
      <c r="J1010" t="s">
        <v>2513</v>
      </c>
    </row>
    <row r="1011" spans="1:10" x14ac:dyDescent="0.25">
      <c r="A1011" t="s">
        <v>6193</v>
      </c>
      <c r="B1011" s="3">
        <v>46289</v>
      </c>
      <c r="C1011" t="s">
        <v>388</v>
      </c>
      <c r="D1011" t="s">
        <v>351</v>
      </c>
      <c r="E1011">
        <v>31</v>
      </c>
      <c r="F1011" t="s">
        <v>2</v>
      </c>
      <c r="G1011" t="s">
        <v>4231</v>
      </c>
      <c r="H1011" t="s">
        <v>6194</v>
      </c>
      <c r="I1011" t="s">
        <v>147</v>
      </c>
      <c r="J1011" t="s">
        <v>2503</v>
      </c>
    </row>
    <row r="1012" spans="1:10" x14ac:dyDescent="0.25">
      <c r="A1012" t="s">
        <v>6195</v>
      </c>
      <c r="B1012" s="3">
        <v>46289</v>
      </c>
      <c r="C1012" t="s">
        <v>401</v>
      </c>
      <c r="D1012" t="s">
        <v>382</v>
      </c>
      <c r="E1012">
        <v>26</v>
      </c>
      <c r="F1012" t="s">
        <v>383</v>
      </c>
      <c r="G1012" t="s">
        <v>4231</v>
      </c>
      <c r="H1012" t="s">
        <v>6196</v>
      </c>
      <c r="I1012" t="s">
        <v>19</v>
      </c>
      <c r="J1012" t="s">
        <v>2503</v>
      </c>
    </row>
    <row r="1013" spans="1:10" x14ac:dyDescent="0.25">
      <c r="A1013" t="s">
        <v>6197</v>
      </c>
      <c r="B1013" s="3">
        <v>46289</v>
      </c>
      <c r="C1013" t="s">
        <v>398</v>
      </c>
      <c r="D1013" t="s">
        <v>344</v>
      </c>
      <c r="E1013">
        <v>22</v>
      </c>
      <c r="F1013" t="s">
        <v>346</v>
      </c>
      <c r="G1013" t="s">
        <v>4228</v>
      </c>
      <c r="H1013" t="s">
        <v>6198</v>
      </c>
      <c r="I1013" t="s">
        <v>108</v>
      </c>
      <c r="J1013" t="s">
        <v>2513</v>
      </c>
    </row>
    <row r="1014" spans="1:10" x14ac:dyDescent="0.25">
      <c r="A1014" t="s">
        <v>6199</v>
      </c>
      <c r="B1014" s="3">
        <v>46289</v>
      </c>
      <c r="C1014" t="s">
        <v>60</v>
      </c>
      <c r="D1014" t="s">
        <v>44</v>
      </c>
      <c r="E1014">
        <v>21</v>
      </c>
      <c r="F1014" t="s">
        <v>2</v>
      </c>
      <c r="G1014" t="s">
        <v>4231</v>
      </c>
      <c r="H1014" t="s">
        <v>6200</v>
      </c>
      <c r="I1014" t="s">
        <v>27</v>
      </c>
      <c r="J1014" t="s">
        <v>2500</v>
      </c>
    </row>
    <row r="1015" spans="1:10" x14ac:dyDescent="0.25">
      <c r="A1015" t="s">
        <v>6201</v>
      </c>
      <c r="B1015" s="3">
        <v>46289</v>
      </c>
      <c r="C1015" t="s">
        <v>637</v>
      </c>
      <c r="D1015" t="s">
        <v>629</v>
      </c>
      <c r="E1015">
        <v>1</v>
      </c>
      <c r="F1015" t="s">
        <v>355</v>
      </c>
      <c r="G1015" t="s">
        <v>4222</v>
      </c>
      <c r="H1015" t="s">
        <v>6202</v>
      </c>
      <c r="I1015" t="s">
        <v>19</v>
      </c>
      <c r="J1015" t="s">
        <v>2513</v>
      </c>
    </row>
    <row r="1016" spans="1:10" x14ac:dyDescent="0.25">
      <c r="A1016" t="s">
        <v>6203</v>
      </c>
      <c r="B1016" s="3">
        <v>46289</v>
      </c>
      <c r="C1016" t="s">
        <v>648</v>
      </c>
      <c r="D1016" t="s">
        <v>585</v>
      </c>
      <c r="E1016">
        <v>43</v>
      </c>
      <c r="F1016" t="s">
        <v>355</v>
      </c>
      <c r="G1016" t="s">
        <v>4222</v>
      </c>
      <c r="H1016" t="s">
        <v>6204</v>
      </c>
      <c r="I1016" t="s">
        <v>203</v>
      </c>
      <c r="J1016" t="s">
        <v>2513</v>
      </c>
    </row>
    <row r="1017" spans="1:10" x14ac:dyDescent="0.25">
      <c r="A1017" t="s">
        <v>6205</v>
      </c>
      <c r="B1017" s="3">
        <v>46289</v>
      </c>
      <c r="C1017" t="s">
        <v>437</v>
      </c>
      <c r="D1017" t="s">
        <v>354</v>
      </c>
      <c r="E1017">
        <v>22</v>
      </c>
      <c r="F1017" t="s">
        <v>355</v>
      </c>
      <c r="G1017" t="s">
        <v>4231</v>
      </c>
      <c r="H1017" t="s">
        <v>6206</v>
      </c>
      <c r="I1017" t="s">
        <v>289</v>
      </c>
      <c r="J1017" t="s">
        <v>2503</v>
      </c>
    </row>
    <row r="1018" spans="1:10" x14ac:dyDescent="0.25">
      <c r="A1018" t="s">
        <v>6207</v>
      </c>
      <c r="B1018" s="3">
        <v>46289</v>
      </c>
      <c r="C1018" t="s">
        <v>116</v>
      </c>
      <c r="D1018" t="s">
        <v>54</v>
      </c>
      <c r="E1018">
        <v>30</v>
      </c>
      <c r="F1018" t="s">
        <v>2</v>
      </c>
      <c r="G1018" t="s">
        <v>4234</v>
      </c>
      <c r="H1018" t="s">
        <v>6208</v>
      </c>
      <c r="I1018" t="s">
        <v>117</v>
      </c>
      <c r="J1018" t="s">
        <v>2509</v>
      </c>
    </row>
    <row r="1019" spans="1:10" x14ac:dyDescent="0.25">
      <c r="A1019" t="s">
        <v>6209</v>
      </c>
      <c r="B1019" s="3">
        <v>46289</v>
      </c>
      <c r="C1019" t="s">
        <v>661</v>
      </c>
      <c r="D1019" t="s">
        <v>587</v>
      </c>
      <c r="E1019">
        <v>42</v>
      </c>
      <c r="F1019" t="s">
        <v>2</v>
      </c>
      <c r="G1019" t="s">
        <v>4225</v>
      </c>
      <c r="H1019" t="s">
        <v>6210</v>
      </c>
      <c r="I1019" t="s">
        <v>87</v>
      </c>
      <c r="J1019" t="s">
        <v>2509</v>
      </c>
    </row>
    <row r="1020" spans="1:10" x14ac:dyDescent="0.25">
      <c r="A1020" t="s">
        <v>6211</v>
      </c>
      <c r="B1020" s="3">
        <v>46289</v>
      </c>
      <c r="C1020" t="s">
        <v>422</v>
      </c>
      <c r="D1020" t="s">
        <v>360</v>
      </c>
      <c r="E1020">
        <v>44</v>
      </c>
      <c r="F1020" t="s">
        <v>358</v>
      </c>
      <c r="G1020" t="s">
        <v>4222</v>
      </c>
      <c r="H1020" t="s">
        <v>6142</v>
      </c>
      <c r="I1020" t="s">
        <v>423</v>
      </c>
      <c r="J1020" t="s">
        <v>2500</v>
      </c>
    </row>
    <row r="1021" spans="1:10" x14ac:dyDescent="0.25">
      <c r="A1021" t="s">
        <v>6212</v>
      </c>
      <c r="B1021" s="3">
        <v>46289</v>
      </c>
      <c r="C1021" t="s">
        <v>347</v>
      </c>
      <c r="D1021" t="s">
        <v>344</v>
      </c>
      <c r="E1021">
        <v>29</v>
      </c>
      <c r="F1021" t="s">
        <v>346</v>
      </c>
      <c r="G1021" t="s">
        <v>4231</v>
      </c>
      <c r="H1021" t="s">
        <v>6213</v>
      </c>
      <c r="I1021" t="s">
        <v>185</v>
      </c>
      <c r="J1021" t="s">
        <v>2503</v>
      </c>
    </row>
    <row r="1022" spans="1:10" x14ac:dyDescent="0.25">
      <c r="A1022" t="s">
        <v>6214</v>
      </c>
      <c r="B1022" s="3">
        <v>46289</v>
      </c>
      <c r="C1022" t="s">
        <v>541</v>
      </c>
      <c r="D1022" t="s">
        <v>490</v>
      </c>
      <c r="E1022">
        <v>52</v>
      </c>
      <c r="F1022" t="s">
        <v>355</v>
      </c>
      <c r="G1022" t="s">
        <v>4228</v>
      </c>
      <c r="H1022" t="s">
        <v>6215</v>
      </c>
      <c r="I1022" t="s">
        <v>106</v>
      </c>
      <c r="J1022" t="s">
        <v>2503</v>
      </c>
    </row>
    <row r="1023" spans="1:10" x14ac:dyDescent="0.25">
      <c r="A1023" t="s">
        <v>6216</v>
      </c>
      <c r="B1023" s="3">
        <v>46289</v>
      </c>
      <c r="C1023" t="s">
        <v>116</v>
      </c>
      <c r="D1023" t="s">
        <v>54</v>
      </c>
      <c r="E1023">
        <v>26</v>
      </c>
      <c r="F1023" t="s">
        <v>2</v>
      </c>
      <c r="G1023" t="s">
        <v>4234</v>
      </c>
      <c r="H1023" t="s">
        <v>6217</v>
      </c>
      <c r="I1023" t="s">
        <v>117</v>
      </c>
      <c r="J1023" t="s">
        <v>2513</v>
      </c>
    </row>
    <row r="1024" spans="1:10" x14ac:dyDescent="0.25">
      <c r="A1024" t="s">
        <v>6218</v>
      </c>
      <c r="B1024" s="3">
        <v>46289</v>
      </c>
      <c r="C1024" t="s">
        <v>251</v>
      </c>
      <c r="D1024" t="s">
        <v>216</v>
      </c>
      <c r="E1024">
        <v>10</v>
      </c>
      <c r="F1024" t="s">
        <v>2</v>
      </c>
      <c r="G1024" t="s">
        <v>4234</v>
      </c>
      <c r="H1024" t="s">
        <v>6219</v>
      </c>
      <c r="I1024" t="s">
        <v>71</v>
      </c>
      <c r="J1024" t="s">
        <v>2513</v>
      </c>
    </row>
    <row r="1025" spans="1:10" x14ac:dyDescent="0.25">
      <c r="A1025" t="s">
        <v>6220</v>
      </c>
      <c r="B1025" s="3">
        <v>46289</v>
      </c>
      <c r="C1025" t="s">
        <v>394</v>
      </c>
      <c r="D1025" t="s">
        <v>354</v>
      </c>
      <c r="E1025">
        <v>23</v>
      </c>
      <c r="F1025" t="s">
        <v>355</v>
      </c>
      <c r="G1025" t="s">
        <v>4231</v>
      </c>
      <c r="H1025" t="s">
        <v>6221</v>
      </c>
      <c r="I1025" t="s">
        <v>42</v>
      </c>
      <c r="J1025" t="s">
        <v>2500</v>
      </c>
    </row>
    <row r="1026" spans="1:10" x14ac:dyDescent="0.25">
      <c r="A1026" t="s">
        <v>6222</v>
      </c>
      <c r="B1026" s="3">
        <v>46289</v>
      </c>
      <c r="C1026" t="s">
        <v>372</v>
      </c>
      <c r="D1026" t="s">
        <v>360</v>
      </c>
      <c r="E1026">
        <v>37</v>
      </c>
      <c r="F1026" t="s">
        <v>358</v>
      </c>
      <c r="G1026" t="s">
        <v>4231</v>
      </c>
      <c r="H1026" t="s">
        <v>6223</v>
      </c>
      <c r="I1026" t="s">
        <v>126</v>
      </c>
      <c r="J1026" t="s">
        <v>2500</v>
      </c>
    </row>
    <row r="1027" spans="1:10" x14ac:dyDescent="0.25">
      <c r="A1027" t="s">
        <v>6224</v>
      </c>
      <c r="B1027" s="3">
        <v>46289</v>
      </c>
      <c r="C1027" t="s">
        <v>586</v>
      </c>
      <c r="D1027" t="s">
        <v>587</v>
      </c>
      <c r="E1027">
        <v>37</v>
      </c>
      <c r="F1027" t="s">
        <v>2</v>
      </c>
      <c r="G1027" t="s">
        <v>4225</v>
      </c>
      <c r="H1027" t="s">
        <v>6225</v>
      </c>
      <c r="I1027" t="s">
        <v>166</v>
      </c>
      <c r="J1027" t="s">
        <v>2503</v>
      </c>
    </row>
    <row r="1028" spans="1:10" x14ac:dyDescent="0.25">
      <c r="A1028" t="s">
        <v>6226</v>
      </c>
      <c r="B1028" s="3">
        <v>46289</v>
      </c>
      <c r="C1028" t="s">
        <v>277</v>
      </c>
      <c r="D1028" t="s">
        <v>210</v>
      </c>
      <c r="E1028">
        <v>55</v>
      </c>
      <c r="F1028" t="s">
        <v>2</v>
      </c>
      <c r="G1028" t="s">
        <v>4225</v>
      </c>
      <c r="H1028" t="s">
        <v>6227</v>
      </c>
      <c r="I1028" t="s">
        <v>69</v>
      </c>
      <c r="J1028" t="s">
        <v>2503</v>
      </c>
    </row>
    <row r="1029" spans="1:10" x14ac:dyDescent="0.25">
      <c r="A1029" t="s">
        <v>6228</v>
      </c>
      <c r="B1029" s="3">
        <v>46289</v>
      </c>
      <c r="C1029" t="s">
        <v>196</v>
      </c>
      <c r="D1029" t="s">
        <v>47</v>
      </c>
      <c r="E1029">
        <v>23</v>
      </c>
      <c r="F1029" t="s">
        <v>2</v>
      </c>
      <c r="G1029" t="s">
        <v>4222</v>
      </c>
      <c r="H1029" t="s">
        <v>6229</v>
      </c>
      <c r="I1029" t="s">
        <v>164</v>
      </c>
      <c r="J1029" t="s">
        <v>2513</v>
      </c>
    </row>
    <row r="1030" spans="1:10" x14ac:dyDescent="0.25">
      <c r="A1030" t="s">
        <v>6230</v>
      </c>
      <c r="B1030" s="3">
        <v>46289</v>
      </c>
      <c r="C1030" t="s">
        <v>659</v>
      </c>
      <c r="D1030" t="s">
        <v>629</v>
      </c>
      <c r="E1030">
        <v>22</v>
      </c>
      <c r="F1030" t="s">
        <v>355</v>
      </c>
      <c r="G1030" t="s">
        <v>4225</v>
      </c>
      <c r="H1030" t="s">
        <v>5121</v>
      </c>
      <c r="I1030" t="s">
        <v>67</v>
      </c>
      <c r="J1030" t="s">
        <v>2513</v>
      </c>
    </row>
    <row r="1031" spans="1:10" x14ac:dyDescent="0.25">
      <c r="A1031" t="s">
        <v>6231</v>
      </c>
      <c r="B1031" s="3">
        <v>46289</v>
      </c>
      <c r="C1031" t="s">
        <v>182</v>
      </c>
      <c r="D1031" t="s">
        <v>15</v>
      </c>
      <c r="E1031">
        <v>3</v>
      </c>
      <c r="F1031" t="s">
        <v>2</v>
      </c>
      <c r="G1031" t="s">
        <v>4228</v>
      </c>
      <c r="H1031" t="s">
        <v>4677</v>
      </c>
      <c r="I1031" t="s">
        <v>183</v>
      </c>
      <c r="J1031" t="s">
        <v>2500</v>
      </c>
    </row>
    <row r="1032" spans="1:10" x14ac:dyDescent="0.25">
      <c r="A1032" t="s">
        <v>6232</v>
      </c>
      <c r="B1032" s="3">
        <v>46289</v>
      </c>
      <c r="C1032" t="s">
        <v>520</v>
      </c>
      <c r="D1032" t="s">
        <v>502</v>
      </c>
      <c r="E1032">
        <v>42</v>
      </c>
      <c r="F1032" t="s">
        <v>469</v>
      </c>
      <c r="G1032" t="s">
        <v>4228</v>
      </c>
      <c r="H1032" t="s">
        <v>6233</v>
      </c>
      <c r="I1032" t="s">
        <v>368</v>
      </c>
      <c r="J1032" t="s">
        <v>2500</v>
      </c>
    </row>
    <row r="1033" spans="1:10" x14ac:dyDescent="0.25">
      <c r="A1033" t="s">
        <v>6234</v>
      </c>
      <c r="B1033" s="3">
        <v>46289</v>
      </c>
      <c r="C1033" t="s">
        <v>493</v>
      </c>
      <c r="D1033" t="s">
        <v>484</v>
      </c>
      <c r="E1033">
        <v>29</v>
      </c>
      <c r="F1033" t="s">
        <v>469</v>
      </c>
      <c r="G1033" t="s">
        <v>4234</v>
      </c>
      <c r="H1033" t="s">
        <v>6235</v>
      </c>
      <c r="I1033" t="s">
        <v>327</v>
      </c>
      <c r="J1033" t="s">
        <v>2500</v>
      </c>
    </row>
    <row r="1034" spans="1:10" x14ac:dyDescent="0.25">
      <c r="A1034" t="s">
        <v>6236</v>
      </c>
      <c r="B1034" s="3">
        <v>46289</v>
      </c>
      <c r="C1034" t="s">
        <v>122</v>
      </c>
      <c r="D1034" t="s">
        <v>54</v>
      </c>
      <c r="E1034">
        <v>5</v>
      </c>
      <c r="F1034" t="s">
        <v>2</v>
      </c>
      <c r="G1034" t="s">
        <v>4234</v>
      </c>
      <c r="H1034" t="s">
        <v>6237</v>
      </c>
      <c r="I1034" t="s">
        <v>98</v>
      </c>
      <c r="J1034" t="s">
        <v>2503</v>
      </c>
    </row>
    <row r="1035" spans="1:10" x14ac:dyDescent="0.25">
      <c r="A1035" t="s">
        <v>6238</v>
      </c>
      <c r="B1035" s="3">
        <v>46289</v>
      </c>
      <c r="C1035" t="s">
        <v>449</v>
      </c>
      <c r="D1035" t="s">
        <v>378</v>
      </c>
      <c r="E1035">
        <v>54</v>
      </c>
      <c r="F1035" t="s">
        <v>2</v>
      </c>
      <c r="G1035" t="s">
        <v>4225</v>
      </c>
      <c r="H1035" t="s">
        <v>6239</v>
      </c>
      <c r="I1035" t="s">
        <v>77</v>
      </c>
      <c r="J1035" t="s">
        <v>2509</v>
      </c>
    </row>
    <row r="1036" spans="1:10" x14ac:dyDescent="0.25">
      <c r="A1036" t="s">
        <v>6240</v>
      </c>
      <c r="B1036" s="3">
        <v>46289</v>
      </c>
      <c r="C1036" t="s">
        <v>326</v>
      </c>
      <c r="D1036" t="s">
        <v>223</v>
      </c>
      <c r="E1036">
        <v>4</v>
      </c>
      <c r="F1036" t="s">
        <v>2</v>
      </c>
      <c r="G1036" t="s">
        <v>4228</v>
      </c>
      <c r="H1036" t="s">
        <v>6241</v>
      </c>
      <c r="I1036" t="s">
        <v>327</v>
      </c>
      <c r="J1036" t="s">
        <v>2503</v>
      </c>
    </row>
    <row r="1037" spans="1:10" x14ac:dyDescent="0.25">
      <c r="A1037" t="s">
        <v>6242</v>
      </c>
      <c r="B1037" s="3">
        <v>46289</v>
      </c>
      <c r="C1037" t="s">
        <v>80</v>
      </c>
      <c r="D1037" t="s">
        <v>54</v>
      </c>
      <c r="E1037">
        <v>8</v>
      </c>
      <c r="F1037" t="s">
        <v>2</v>
      </c>
      <c r="G1037" t="s">
        <v>4222</v>
      </c>
      <c r="H1037" t="s">
        <v>6243</v>
      </c>
      <c r="I1037" t="s">
        <v>83</v>
      </c>
      <c r="J1037" t="s">
        <v>2500</v>
      </c>
    </row>
    <row r="1038" spans="1:10" x14ac:dyDescent="0.25">
      <c r="A1038" t="s">
        <v>6244</v>
      </c>
      <c r="B1038" s="3">
        <v>46289</v>
      </c>
      <c r="C1038" t="s">
        <v>282</v>
      </c>
      <c r="D1038" t="s">
        <v>213</v>
      </c>
      <c r="E1038">
        <v>4</v>
      </c>
      <c r="F1038" t="s">
        <v>2</v>
      </c>
      <c r="G1038" t="s">
        <v>4228</v>
      </c>
      <c r="H1038" t="s">
        <v>6245</v>
      </c>
      <c r="I1038" t="s">
        <v>83</v>
      </c>
      <c r="J1038" t="s">
        <v>2509</v>
      </c>
    </row>
    <row r="1039" spans="1:10" x14ac:dyDescent="0.25">
      <c r="A1039" t="s">
        <v>6246</v>
      </c>
      <c r="B1039" s="3">
        <v>46290</v>
      </c>
      <c r="C1039" t="s">
        <v>414</v>
      </c>
      <c r="D1039" t="s">
        <v>378</v>
      </c>
      <c r="E1039">
        <v>7</v>
      </c>
      <c r="F1039" t="s">
        <v>2</v>
      </c>
      <c r="G1039" t="s">
        <v>4222</v>
      </c>
      <c r="H1039" t="s">
        <v>6247</v>
      </c>
      <c r="I1039" t="s">
        <v>147</v>
      </c>
      <c r="J1039" t="s">
        <v>2503</v>
      </c>
    </row>
    <row r="1040" spans="1:10" x14ac:dyDescent="0.25">
      <c r="A1040" t="s">
        <v>6248</v>
      </c>
      <c r="B1040" s="3">
        <v>46290</v>
      </c>
      <c r="C1040" t="s">
        <v>536</v>
      </c>
      <c r="D1040" t="s">
        <v>481</v>
      </c>
      <c r="E1040">
        <v>45</v>
      </c>
      <c r="F1040" t="s">
        <v>2</v>
      </c>
      <c r="G1040" t="s">
        <v>4222</v>
      </c>
      <c r="H1040" t="s">
        <v>6249</v>
      </c>
      <c r="I1040" t="s">
        <v>221</v>
      </c>
      <c r="J1040" t="s">
        <v>2500</v>
      </c>
    </row>
    <row r="1041" spans="1:10" x14ac:dyDescent="0.25">
      <c r="A1041" t="s">
        <v>6250</v>
      </c>
      <c r="B1041" s="3">
        <v>46290</v>
      </c>
      <c r="C1041" t="s">
        <v>532</v>
      </c>
      <c r="D1041" t="s">
        <v>488</v>
      </c>
      <c r="E1041">
        <v>14</v>
      </c>
      <c r="F1041" t="s">
        <v>469</v>
      </c>
      <c r="G1041" t="s">
        <v>4222</v>
      </c>
      <c r="H1041" t="s">
        <v>6251</v>
      </c>
      <c r="I1041" t="s">
        <v>106</v>
      </c>
      <c r="J1041" t="s">
        <v>2500</v>
      </c>
    </row>
    <row r="1042" spans="1:10" x14ac:dyDescent="0.25">
      <c r="A1042" t="s">
        <v>6252</v>
      </c>
      <c r="B1042" s="3">
        <v>46290</v>
      </c>
      <c r="C1042" t="s">
        <v>141</v>
      </c>
      <c r="D1042" t="s">
        <v>66</v>
      </c>
      <c r="E1042">
        <v>3</v>
      </c>
      <c r="F1042" t="s">
        <v>2</v>
      </c>
      <c r="G1042" t="s">
        <v>4234</v>
      </c>
      <c r="H1042" t="s">
        <v>6253</v>
      </c>
      <c r="I1042" t="s">
        <v>142</v>
      </c>
      <c r="J1042" t="s">
        <v>2500</v>
      </c>
    </row>
    <row r="1043" spans="1:10" x14ac:dyDescent="0.25">
      <c r="A1043" t="s">
        <v>6254</v>
      </c>
      <c r="B1043" s="3">
        <v>46290</v>
      </c>
      <c r="C1043" t="s">
        <v>527</v>
      </c>
      <c r="D1043" t="s">
        <v>467</v>
      </c>
      <c r="E1043">
        <v>2</v>
      </c>
      <c r="F1043" t="s">
        <v>469</v>
      </c>
      <c r="G1043" t="s">
        <v>4222</v>
      </c>
      <c r="H1043" t="s">
        <v>6255</v>
      </c>
      <c r="I1043" t="s">
        <v>289</v>
      </c>
      <c r="J1043" t="s">
        <v>2509</v>
      </c>
    </row>
    <row r="1044" spans="1:10" x14ac:dyDescent="0.25">
      <c r="A1044" t="s">
        <v>6256</v>
      </c>
      <c r="B1044" s="3">
        <v>46290</v>
      </c>
      <c r="C1044" t="s">
        <v>390</v>
      </c>
      <c r="D1044" t="s">
        <v>378</v>
      </c>
      <c r="E1044">
        <v>50</v>
      </c>
      <c r="F1044" t="s">
        <v>2</v>
      </c>
      <c r="G1044" t="s">
        <v>4234</v>
      </c>
      <c r="H1044" t="s">
        <v>6257</v>
      </c>
      <c r="I1044" t="s">
        <v>206</v>
      </c>
      <c r="J1044" t="s">
        <v>2513</v>
      </c>
    </row>
    <row r="1045" spans="1:10" x14ac:dyDescent="0.25">
      <c r="A1045" t="s">
        <v>6258</v>
      </c>
      <c r="B1045" s="3">
        <v>46290</v>
      </c>
      <c r="C1045" t="s">
        <v>641</v>
      </c>
      <c r="D1045" t="s">
        <v>589</v>
      </c>
      <c r="E1045">
        <v>51</v>
      </c>
      <c r="F1045" t="s">
        <v>469</v>
      </c>
      <c r="G1045" t="s">
        <v>4234</v>
      </c>
      <c r="H1045" t="s">
        <v>6259</v>
      </c>
      <c r="I1045" t="s">
        <v>124</v>
      </c>
      <c r="J1045" t="s">
        <v>2509</v>
      </c>
    </row>
    <row r="1046" spans="1:10" x14ac:dyDescent="0.25">
      <c r="A1046" t="s">
        <v>6260</v>
      </c>
      <c r="B1046" s="3">
        <v>46290</v>
      </c>
      <c r="C1046" t="s">
        <v>94</v>
      </c>
      <c r="D1046" t="s">
        <v>15</v>
      </c>
      <c r="E1046">
        <v>46</v>
      </c>
      <c r="F1046" t="s">
        <v>2</v>
      </c>
      <c r="G1046" t="s">
        <v>4228</v>
      </c>
      <c r="H1046" t="s">
        <v>6261</v>
      </c>
      <c r="I1046" t="s">
        <v>95</v>
      </c>
      <c r="J1046" t="s">
        <v>2503</v>
      </c>
    </row>
    <row r="1047" spans="1:10" x14ac:dyDescent="0.25">
      <c r="A1047" t="s">
        <v>6262</v>
      </c>
      <c r="B1047" s="3">
        <v>46290</v>
      </c>
      <c r="C1047" t="s">
        <v>628</v>
      </c>
      <c r="D1047" t="s">
        <v>629</v>
      </c>
      <c r="E1047">
        <v>51</v>
      </c>
      <c r="F1047" t="s">
        <v>355</v>
      </c>
      <c r="G1047" t="s">
        <v>4225</v>
      </c>
      <c r="H1047" t="s">
        <v>6263</v>
      </c>
      <c r="I1047" t="s">
        <v>397</v>
      </c>
      <c r="J1047" t="s">
        <v>2509</v>
      </c>
    </row>
    <row r="1048" spans="1:10" x14ac:dyDescent="0.25">
      <c r="A1048" t="s">
        <v>6264</v>
      </c>
      <c r="B1048" s="3">
        <v>46290</v>
      </c>
      <c r="C1048" t="s">
        <v>444</v>
      </c>
      <c r="D1048" t="s">
        <v>364</v>
      </c>
      <c r="E1048">
        <v>39</v>
      </c>
      <c r="F1048" t="s">
        <v>358</v>
      </c>
      <c r="G1048" t="s">
        <v>4234</v>
      </c>
      <c r="H1048" t="s">
        <v>6265</v>
      </c>
      <c r="I1048" t="s">
        <v>330</v>
      </c>
      <c r="J1048" t="s">
        <v>2509</v>
      </c>
    </row>
    <row r="1049" spans="1:10" x14ac:dyDescent="0.25">
      <c r="A1049" t="s">
        <v>6266</v>
      </c>
      <c r="B1049" s="3">
        <v>46290</v>
      </c>
      <c r="C1049" t="s">
        <v>647</v>
      </c>
      <c r="D1049" t="s">
        <v>629</v>
      </c>
      <c r="E1049">
        <v>41</v>
      </c>
      <c r="F1049" t="s">
        <v>355</v>
      </c>
      <c r="G1049" t="s">
        <v>4225</v>
      </c>
      <c r="H1049" t="s">
        <v>6267</v>
      </c>
      <c r="I1049" t="s">
        <v>230</v>
      </c>
      <c r="J1049" t="s">
        <v>2503</v>
      </c>
    </row>
    <row r="1050" spans="1:10" x14ac:dyDescent="0.25">
      <c r="A1050" t="s">
        <v>6268</v>
      </c>
      <c r="B1050" s="3">
        <v>46290</v>
      </c>
      <c r="C1050" t="s">
        <v>301</v>
      </c>
      <c r="D1050" t="s">
        <v>240</v>
      </c>
      <c r="E1050">
        <v>49</v>
      </c>
      <c r="F1050" t="s">
        <v>2</v>
      </c>
      <c r="G1050" t="s">
        <v>4225</v>
      </c>
      <c r="H1050" t="s">
        <v>6269</v>
      </c>
      <c r="I1050" t="s">
        <v>259</v>
      </c>
      <c r="J1050" t="s">
        <v>2503</v>
      </c>
    </row>
    <row r="1051" spans="1:10" x14ac:dyDescent="0.25">
      <c r="A1051" t="s">
        <v>6270</v>
      </c>
      <c r="B1051" s="3">
        <v>46290</v>
      </c>
      <c r="C1051" t="s">
        <v>184</v>
      </c>
      <c r="D1051" t="s">
        <v>15</v>
      </c>
      <c r="E1051">
        <v>30</v>
      </c>
      <c r="F1051" t="s">
        <v>2</v>
      </c>
      <c r="G1051" t="s">
        <v>4234</v>
      </c>
      <c r="H1051" t="s">
        <v>6271</v>
      </c>
      <c r="I1051" t="s">
        <v>185</v>
      </c>
      <c r="J1051" t="s">
        <v>2500</v>
      </c>
    </row>
    <row r="1052" spans="1:10" x14ac:dyDescent="0.25">
      <c r="A1052" t="s">
        <v>6272</v>
      </c>
      <c r="B1052" s="3">
        <v>46290</v>
      </c>
      <c r="C1052" t="s">
        <v>604</v>
      </c>
      <c r="D1052" t="s">
        <v>599</v>
      </c>
      <c r="E1052">
        <v>18</v>
      </c>
      <c r="F1052" t="s">
        <v>2</v>
      </c>
      <c r="G1052" t="s">
        <v>4228</v>
      </c>
      <c r="H1052" t="s">
        <v>6273</v>
      </c>
      <c r="I1052" t="s">
        <v>110</v>
      </c>
      <c r="J1052" t="s">
        <v>2503</v>
      </c>
    </row>
    <row r="1053" spans="1:10" x14ac:dyDescent="0.25">
      <c r="A1053" t="s">
        <v>6274</v>
      </c>
      <c r="B1053" s="3">
        <v>46290</v>
      </c>
      <c r="C1053" t="s">
        <v>657</v>
      </c>
      <c r="D1053" t="s">
        <v>585</v>
      </c>
      <c r="E1053">
        <v>5</v>
      </c>
      <c r="F1053" t="s">
        <v>355</v>
      </c>
      <c r="G1053" t="s">
        <v>4222</v>
      </c>
      <c r="H1053" t="s">
        <v>6275</v>
      </c>
      <c r="I1053" t="s">
        <v>250</v>
      </c>
      <c r="J1053" t="s">
        <v>2509</v>
      </c>
    </row>
    <row r="1054" spans="1:10" x14ac:dyDescent="0.25">
      <c r="A1054" t="s">
        <v>6276</v>
      </c>
      <c r="B1054" s="3">
        <v>46290</v>
      </c>
      <c r="C1054" t="s">
        <v>461</v>
      </c>
      <c r="D1054" t="s">
        <v>344</v>
      </c>
      <c r="E1054">
        <v>41</v>
      </c>
      <c r="F1054" t="s">
        <v>346</v>
      </c>
      <c r="G1054" t="s">
        <v>4231</v>
      </c>
      <c r="H1054" t="s">
        <v>6277</v>
      </c>
      <c r="I1054" t="s">
        <v>219</v>
      </c>
      <c r="J1054" t="s">
        <v>2513</v>
      </c>
    </row>
    <row r="1055" spans="1:10" x14ac:dyDescent="0.25">
      <c r="A1055" t="s">
        <v>6278</v>
      </c>
      <c r="B1055" s="3">
        <v>46290</v>
      </c>
      <c r="C1055" t="s">
        <v>657</v>
      </c>
      <c r="D1055" t="s">
        <v>585</v>
      </c>
      <c r="E1055">
        <v>7</v>
      </c>
      <c r="F1055" t="s">
        <v>355</v>
      </c>
      <c r="G1055" t="s">
        <v>4234</v>
      </c>
      <c r="H1055" t="s">
        <v>6279</v>
      </c>
      <c r="I1055" t="s">
        <v>250</v>
      </c>
      <c r="J1055" t="s">
        <v>2509</v>
      </c>
    </row>
    <row r="1056" spans="1:10" x14ac:dyDescent="0.25">
      <c r="A1056" t="s">
        <v>6280</v>
      </c>
      <c r="B1056" s="3">
        <v>46290</v>
      </c>
      <c r="C1056" t="s">
        <v>470</v>
      </c>
      <c r="D1056" t="s">
        <v>471</v>
      </c>
      <c r="E1056">
        <v>20</v>
      </c>
      <c r="F1056" t="s">
        <v>355</v>
      </c>
      <c r="G1056" t="s">
        <v>4222</v>
      </c>
      <c r="H1056" t="s">
        <v>6281</v>
      </c>
      <c r="I1056" t="s">
        <v>195</v>
      </c>
      <c r="J1056" t="s">
        <v>2503</v>
      </c>
    </row>
    <row r="1057" spans="1:10" x14ac:dyDescent="0.25">
      <c r="A1057" t="s">
        <v>6282</v>
      </c>
      <c r="B1057" s="3">
        <v>46290</v>
      </c>
      <c r="C1057" t="s">
        <v>243</v>
      </c>
      <c r="D1057" t="s">
        <v>213</v>
      </c>
      <c r="E1057">
        <v>35</v>
      </c>
      <c r="F1057" t="s">
        <v>2</v>
      </c>
      <c r="G1057" t="s">
        <v>4234</v>
      </c>
      <c r="H1057" t="s">
        <v>6283</v>
      </c>
      <c r="I1057" t="s">
        <v>177</v>
      </c>
      <c r="J1057" t="s">
        <v>2500</v>
      </c>
    </row>
    <row r="1058" spans="1:10" x14ac:dyDescent="0.25">
      <c r="A1058" t="s">
        <v>6284</v>
      </c>
      <c r="B1058" s="3">
        <v>46290</v>
      </c>
      <c r="C1058" t="s">
        <v>91</v>
      </c>
      <c r="D1058" t="s">
        <v>47</v>
      </c>
      <c r="E1058">
        <v>24</v>
      </c>
      <c r="F1058" t="s">
        <v>2</v>
      </c>
      <c r="G1058" t="s">
        <v>4231</v>
      </c>
      <c r="H1058" t="s">
        <v>4813</v>
      </c>
      <c r="I1058" t="s">
        <v>83</v>
      </c>
      <c r="J1058" t="s">
        <v>2509</v>
      </c>
    </row>
    <row r="1059" spans="1:10" x14ac:dyDescent="0.25">
      <c r="A1059" t="s">
        <v>6285</v>
      </c>
      <c r="B1059" s="3">
        <v>46290</v>
      </c>
      <c r="C1059" t="s">
        <v>151</v>
      </c>
      <c r="D1059" t="s">
        <v>44</v>
      </c>
      <c r="E1059">
        <v>53</v>
      </c>
      <c r="F1059" t="s">
        <v>2</v>
      </c>
      <c r="G1059" t="s">
        <v>4231</v>
      </c>
      <c r="H1059" t="s">
        <v>6286</v>
      </c>
      <c r="I1059" t="s">
        <v>152</v>
      </c>
      <c r="J1059" t="s">
        <v>2500</v>
      </c>
    </row>
    <row r="1060" spans="1:10" x14ac:dyDescent="0.25">
      <c r="A1060" t="s">
        <v>6287</v>
      </c>
      <c r="B1060" s="3">
        <v>46290</v>
      </c>
      <c r="C1060" t="s">
        <v>665</v>
      </c>
      <c r="D1060" t="s">
        <v>589</v>
      </c>
      <c r="E1060">
        <v>14</v>
      </c>
      <c r="F1060" t="s">
        <v>469</v>
      </c>
      <c r="G1060" t="s">
        <v>4222</v>
      </c>
      <c r="H1060" t="s">
        <v>6288</v>
      </c>
      <c r="I1060" t="s">
        <v>274</v>
      </c>
      <c r="J1060" t="s">
        <v>2500</v>
      </c>
    </row>
    <row r="1061" spans="1:10" x14ac:dyDescent="0.25">
      <c r="A1061" t="s">
        <v>6289</v>
      </c>
      <c r="B1061" s="3">
        <v>46290</v>
      </c>
      <c r="C1061" t="s">
        <v>515</v>
      </c>
      <c r="D1061" t="s">
        <v>488</v>
      </c>
      <c r="E1061">
        <v>32</v>
      </c>
      <c r="F1061" t="s">
        <v>469</v>
      </c>
      <c r="G1061" t="s">
        <v>4234</v>
      </c>
      <c r="H1061" t="s">
        <v>4703</v>
      </c>
      <c r="I1061" t="s">
        <v>292</v>
      </c>
      <c r="J1061" t="s">
        <v>2500</v>
      </c>
    </row>
    <row r="1062" spans="1:10" x14ac:dyDescent="0.25">
      <c r="A1062" t="s">
        <v>6290</v>
      </c>
      <c r="B1062" s="3">
        <v>46290</v>
      </c>
      <c r="C1062" t="s">
        <v>343</v>
      </c>
      <c r="D1062" t="s">
        <v>344</v>
      </c>
      <c r="E1062">
        <v>10</v>
      </c>
      <c r="F1062" t="s">
        <v>346</v>
      </c>
      <c r="G1062" t="s">
        <v>4228</v>
      </c>
      <c r="H1062" t="s">
        <v>6291</v>
      </c>
      <c r="I1062" t="s">
        <v>147</v>
      </c>
      <c r="J1062" t="s">
        <v>2500</v>
      </c>
    </row>
    <row r="1063" spans="1:10" x14ac:dyDescent="0.25">
      <c r="A1063" t="s">
        <v>6292</v>
      </c>
      <c r="B1063" s="3">
        <v>46290</v>
      </c>
      <c r="C1063" t="s">
        <v>550</v>
      </c>
      <c r="D1063" t="s">
        <v>481</v>
      </c>
      <c r="E1063">
        <v>23</v>
      </c>
      <c r="F1063" t="s">
        <v>2</v>
      </c>
      <c r="G1063" t="s">
        <v>4222</v>
      </c>
      <c r="H1063" t="s">
        <v>6293</v>
      </c>
      <c r="I1063" t="s">
        <v>59</v>
      </c>
      <c r="J1063" t="s">
        <v>2509</v>
      </c>
    </row>
    <row r="1064" spans="1:10" x14ac:dyDescent="0.25">
      <c r="A1064" t="s">
        <v>6294</v>
      </c>
      <c r="B1064" s="3">
        <v>46290</v>
      </c>
      <c r="C1064" t="s">
        <v>497</v>
      </c>
      <c r="D1064" t="s">
        <v>471</v>
      </c>
      <c r="E1064">
        <v>2</v>
      </c>
      <c r="F1064" t="s">
        <v>355</v>
      </c>
      <c r="G1064" t="s">
        <v>4222</v>
      </c>
      <c r="H1064" t="s">
        <v>6295</v>
      </c>
      <c r="I1064" t="s">
        <v>67</v>
      </c>
      <c r="J1064" t="s">
        <v>2503</v>
      </c>
    </row>
    <row r="1065" spans="1:10" x14ac:dyDescent="0.25">
      <c r="A1065" t="s">
        <v>6296</v>
      </c>
      <c r="B1065" s="3">
        <v>46290</v>
      </c>
      <c r="C1065" t="s">
        <v>252</v>
      </c>
      <c r="D1065" t="s">
        <v>216</v>
      </c>
      <c r="E1065">
        <v>28</v>
      </c>
      <c r="F1065" t="s">
        <v>2</v>
      </c>
      <c r="G1065" t="s">
        <v>4222</v>
      </c>
      <c r="H1065" t="s">
        <v>6297</v>
      </c>
      <c r="I1065" t="s">
        <v>52</v>
      </c>
      <c r="J1065" t="s">
        <v>2503</v>
      </c>
    </row>
    <row r="1066" spans="1:10" x14ac:dyDescent="0.25">
      <c r="A1066" t="s">
        <v>6298</v>
      </c>
      <c r="B1066" s="3">
        <v>46290</v>
      </c>
      <c r="C1066" t="s">
        <v>567</v>
      </c>
      <c r="D1066" t="s">
        <v>502</v>
      </c>
      <c r="E1066">
        <v>54</v>
      </c>
      <c r="F1066" t="s">
        <v>469</v>
      </c>
      <c r="G1066" t="s">
        <v>4228</v>
      </c>
      <c r="H1066" t="s">
        <v>6299</v>
      </c>
      <c r="I1066" t="s">
        <v>152</v>
      </c>
      <c r="J1066" t="s">
        <v>2513</v>
      </c>
    </row>
    <row r="1067" spans="1:10" x14ac:dyDescent="0.25">
      <c r="A1067" t="s">
        <v>6300</v>
      </c>
      <c r="B1067" s="3">
        <v>46290</v>
      </c>
      <c r="C1067" t="s">
        <v>159</v>
      </c>
      <c r="D1067" t="s">
        <v>29</v>
      </c>
      <c r="E1067">
        <v>7</v>
      </c>
      <c r="F1067" t="s">
        <v>2</v>
      </c>
      <c r="G1067" t="s">
        <v>4228</v>
      </c>
      <c r="H1067" t="s">
        <v>5838</v>
      </c>
      <c r="I1067" t="s">
        <v>73</v>
      </c>
      <c r="J1067" t="s">
        <v>2503</v>
      </c>
    </row>
    <row r="1068" spans="1:10" x14ac:dyDescent="0.25">
      <c r="A1068" t="s">
        <v>6301</v>
      </c>
      <c r="B1068" s="3">
        <v>46290</v>
      </c>
      <c r="C1068" t="s">
        <v>63</v>
      </c>
      <c r="D1068" t="s">
        <v>26</v>
      </c>
      <c r="E1068">
        <v>3</v>
      </c>
      <c r="F1068" t="s">
        <v>2</v>
      </c>
      <c r="G1068" t="s">
        <v>4225</v>
      </c>
      <c r="H1068" t="s">
        <v>6302</v>
      </c>
      <c r="I1068" t="s">
        <v>64</v>
      </c>
      <c r="J1068" t="s">
        <v>2509</v>
      </c>
    </row>
    <row r="1069" spans="1:10" x14ac:dyDescent="0.25">
      <c r="A1069" t="s">
        <v>6303</v>
      </c>
      <c r="B1069" s="3">
        <v>46290</v>
      </c>
      <c r="C1069" t="s">
        <v>443</v>
      </c>
      <c r="D1069" t="s">
        <v>382</v>
      </c>
      <c r="E1069">
        <v>46</v>
      </c>
      <c r="F1069" t="s">
        <v>383</v>
      </c>
      <c r="G1069" t="s">
        <v>4225</v>
      </c>
      <c r="H1069" t="s">
        <v>6304</v>
      </c>
      <c r="I1069" t="s">
        <v>330</v>
      </c>
      <c r="J1069" t="s">
        <v>2503</v>
      </c>
    </row>
    <row r="1070" spans="1:10" x14ac:dyDescent="0.25">
      <c r="A1070" t="s">
        <v>6305</v>
      </c>
      <c r="B1070" s="3">
        <v>46290</v>
      </c>
      <c r="C1070" t="s">
        <v>365</v>
      </c>
      <c r="D1070" t="s">
        <v>366</v>
      </c>
      <c r="E1070">
        <v>43</v>
      </c>
      <c r="F1070" t="s">
        <v>2</v>
      </c>
      <c r="G1070" t="s">
        <v>4231</v>
      </c>
      <c r="H1070" t="s">
        <v>6306</v>
      </c>
      <c r="I1070" t="s">
        <v>126</v>
      </c>
      <c r="J1070" t="s">
        <v>2509</v>
      </c>
    </row>
    <row r="1071" spans="1:10" x14ac:dyDescent="0.25">
      <c r="A1071" t="s">
        <v>6307</v>
      </c>
      <c r="B1071" s="3">
        <v>46290</v>
      </c>
      <c r="C1071" t="s">
        <v>333</v>
      </c>
      <c r="D1071" t="s">
        <v>223</v>
      </c>
      <c r="E1071">
        <v>51</v>
      </c>
      <c r="F1071" t="s">
        <v>2</v>
      </c>
      <c r="G1071" t="s">
        <v>4222</v>
      </c>
      <c r="H1071" t="s">
        <v>5069</v>
      </c>
      <c r="I1071" t="s">
        <v>59</v>
      </c>
      <c r="J1071" t="s">
        <v>2500</v>
      </c>
    </row>
    <row r="1072" spans="1:10" x14ac:dyDescent="0.25">
      <c r="A1072" t="s">
        <v>6308</v>
      </c>
      <c r="B1072" s="3">
        <v>46290</v>
      </c>
      <c r="C1072" t="s">
        <v>107</v>
      </c>
      <c r="D1072" t="s">
        <v>29</v>
      </c>
      <c r="E1072">
        <v>9</v>
      </c>
      <c r="F1072" t="s">
        <v>2</v>
      </c>
      <c r="G1072" t="s">
        <v>4222</v>
      </c>
      <c r="H1072" t="s">
        <v>6309</v>
      </c>
      <c r="I1072" t="s">
        <v>108</v>
      </c>
      <c r="J1072" t="s">
        <v>2509</v>
      </c>
    </row>
    <row r="1073" spans="1:10" x14ac:dyDescent="0.25">
      <c r="A1073" t="s">
        <v>6310</v>
      </c>
      <c r="B1073" s="3">
        <v>46290</v>
      </c>
      <c r="C1073" t="s">
        <v>403</v>
      </c>
      <c r="D1073" t="s">
        <v>364</v>
      </c>
      <c r="E1073">
        <v>1</v>
      </c>
      <c r="F1073" t="s">
        <v>358</v>
      </c>
      <c r="G1073" t="s">
        <v>4234</v>
      </c>
      <c r="H1073" t="s">
        <v>6311</v>
      </c>
      <c r="I1073" t="s">
        <v>117</v>
      </c>
      <c r="J1073" t="s">
        <v>2500</v>
      </c>
    </row>
    <row r="1074" spans="1:10" x14ac:dyDescent="0.25">
      <c r="A1074" t="s">
        <v>6312</v>
      </c>
      <c r="B1074" s="3">
        <v>46290</v>
      </c>
      <c r="C1074" t="s">
        <v>577</v>
      </c>
      <c r="D1074" t="s">
        <v>481</v>
      </c>
      <c r="E1074">
        <v>46</v>
      </c>
      <c r="F1074" t="s">
        <v>2</v>
      </c>
      <c r="G1074" t="s">
        <v>4225</v>
      </c>
      <c r="H1074" t="s">
        <v>6313</v>
      </c>
      <c r="I1074" t="s">
        <v>102</v>
      </c>
      <c r="J1074" t="s">
        <v>2503</v>
      </c>
    </row>
    <row r="1075" spans="1:10" x14ac:dyDescent="0.25">
      <c r="A1075" t="s">
        <v>6314</v>
      </c>
      <c r="B1075" s="3">
        <v>46290</v>
      </c>
      <c r="C1075" t="s">
        <v>683</v>
      </c>
      <c r="D1075" t="s">
        <v>594</v>
      </c>
      <c r="E1075">
        <v>55</v>
      </c>
      <c r="F1075" t="s">
        <v>595</v>
      </c>
      <c r="G1075" t="s">
        <v>4231</v>
      </c>
      <c r="H1075" t="s">
        <v>6315</v>
      </c>
      <c r="I1075" t="s">
        <v>75</v>
      </c>
      <c r="J1075" t="s">
        <v>2500</v>
      </c>
    </row>
    <row r="1076" spans="1:10" x14ac:dyDescent="0.25">
      <c r="A1076" t="s">
        <v>6316</v>
      </c>
      <c r="B1076" s="3">
        <v>46290</v>
      </c>
      <c r="C1076" t="s">
        <v>285</v>
      </c>
      <c r="D1076" t="s">
        <v>216</v>
      </c>
      <c r="E1076">
        <v>13</v>
      </c>
      <c r="F1076" t="s">
        <v>2</v>
      </c>
      <c r="G1076" t="s">
        <v>4225</v>
      </c>
      <c r="H1076" t="s">
        <v>6317</v>
      </c>
      <c r="I1076" t="s">
        <v>42</v>
      </c>
      <c r="J1076" t="s">
        <v>2509</v>
      </c>
    </row>
    <row r="1077" spans="1:10" x14ac:dyDescent="0.25">
      <c r="A1077" t="s">
        <v>6318</v>
      </c>
      <c r="B1077" s="3">
        <v>46290</v>
      </c>
      <c r="C1077" t="s">
        <v>190</v>
      </c>
      <c r="D1077" t="s">
        <v>29</v>
      </c>
      <c r="E1077">
        <v>14</v>
      </c>
      <c r="F1077" t="s">
        <v>2</v>
      </c>
      <c r="G1077" t="s">
        <v>4231</v>
      </c>
      <c r="H1077" t="s">
        <v>5441</v>
      </c>
      <c r="I1077" t="s">
        <v>77</v>
      </c>
      <c r="J1077" t="s">
        <v>2513</v>
      </c>
    </row>
    <row r="1078" spans="1:10" x14ac:dyDescent="0.25">
      <c r="A1078" t="s">
        <v>6319</v>
      </c>
      <c r="B1078" s="3">
        <v>46290</v>
      </c>
      <c r="C1078" t="s">
        <v>325</v>
      </c>
      <c r="D1078" t="s">
        <v>227</v>
      </c>
      <c r="E1078">
        <v>2</v>
      </c>
      <c r="F1078" t="s">
        <v>2</v>
      </c>
      <c r="G1078" t="s">
        <v>4225</v>
      </c>
      <c r="H1078" t="s">
        <v>6320</v>
      </c>
      <c r="I1078" t="s">
        <v>34</v>
      </c>
      <c r="J1078" t="s">
        <v>2509</v>
      </c>
    </row>
    <row r="1079" spans="1:10" x14ac:dyDescent="0.25">
      <c r="A1079" t="s">
        <v>6321</v>
      </c>
      <c r="B1079" s="3">
        <v>46290</v>
      </c>
      <c r="C1079" t="s">
        <v>160</v>
      </c>
      <c r="D1079" t="s">
        <v>47</v>
      </c>
      <c r="E1079">
        <v>10</v>
      </c>
      <c r="F1079" t="s">
        <v>2</v>
      </c>
      <c r="G1079" t="s">
        <v>4231</v>
      </c>
      <c r="H1079" t="s">
        <v>6322</v>
      </c>
      <c r="I1079" t="s">
        <v>161</v>
      </c>
      <c r="J1079" t="s">
        <v>2503</v>
      </c>
    </row>
    <row r="1080" spans="1:10" x14ac:dyDescent="0.25">
      <c r="A1080" t="s">
        <v>6323</v>
      </c>
      <c r="B1080" s="3">
        <v>46290</v>
      </c>
      <c r="C1080" t="s">
        <v>141</v>
      </c>
      <c r="D1080" t="s">
        <v>66</v>
      </c>
      <c r="E1080">
        <v>12</v>
      </c>
      <c r="F1080" t="s">
        <v>2</v>
      </c>
      <c r="G1080" t="s">
        <v>4225</v>
      </c>
      <c r="H1080" t="s">
        <v>6324</v>
      </c>
      <c r="I1080" t="s">
        <v>142</v>
      </c>
      <c r="J1080" t="s">
        <v>2503</v>
      </c>
    </row>
    <row r="1081" spans="1:10" x14ac:dyDescent="0.25">
      <c r="A1081" t="s">
        <v>6325</v>
      </c>
      <c r="B1081" s="3">
        <v>46290</v>
      </c>
      <c r="C1081" t="s">
        <v>560</v>
      </c>
      <c r="D1081" t="s">
        <v>467</v>
      </c>
      <c r="E1081">
        <v>11</v>
      </c>
      <c r="F1081" t="s">
        <v>469</v>
      </c>
      <c r="G1081" t="s">
        <v>4231</v>
      </c>
      <c r="H1081" t="s">
        <v>6326</v>
      </c>
      <c r="I1081" t="s">
        <v>119</v>
      </c>
      <c r="J1081" t="s">
        <v>2500</v>
      </c>
    </row>
    <row r="1082" spans="1:10" x14ac:dyDescent="0.25">
      <c r="A1082" t="s">
        <v>6327</v>
      </c>
      <c r="B1082" s="3">
        <v>46290</v>
      </c>
      <c r="C1082" t="s">
        <v>653</v>
      </c>
      <c r="D1082" t="s">
        <v>585</v>
      </c>
      <c r="E1082">
        <v>16</v>
      </c>
      <c r="F1082" t="s">
        <v>355</v>
      </c>
      <c r="G1082" t="s">
        <v>4225</v>
      </c>
      <c r="H1082" t="s">
        <v>6328</v>
      </c>
      <c r="I1082" t="s">
        <v>250</v>
      </c>
      <c r="J1082" t="s">
        <v>2500</v>
      </c>
    </row>
    <row r="1083" spans="1:10" x14ac:dyDescent="0.25">
      <c r="A1083" t="s">
        <v>6329</v>
      </c>
      <c r="B1083" s="3">
        <v>46290</v>
      </c>
      <c r="C1083" t="s">
        <v>392</v>
      </c>
      <c r="D1083" t="s">
        <v>349</v>
      </c>
      <c r="E1083">
        <v>48</v>
      </c>
      <c r="F1083" t="s">
        <v>2</v>
      </c>
      <c r="G1083" t="s">
        <v>4228</v>
      </c>
      <c r="H1083" t="s">
        <v>6330</v>
      </c>
      <c r="I1083" t="s">
        <v>24</v>
      </c>
      <c r="J1083" t="s">
        <v>2509</v>
      </c>
    </row>
    <row r="1084" spans="1:10" x14ac:dyDescent="0.25">
      <c r="A1084" t="s">
        <v>6331</v>
      </c>
      <c r="B1084" s="3">
        <v>46290</v>
      </c>
      <c r="C1084" t="s">
        <v>377</v>
      </c>
      <c r="D1084" t="s">
        <v>378</v>
      </c>
      <c r="E1084">
        <v>5</v>
      </c>
      <c r="F1084" t="s">
        <v>2</v>
      </c>
      <c r="G1084" t="s">
        <v>4228</v>
      </c>
      <c r="H1084" t="s">
        <v>6332</v>
      </c>
      <c r="I1084" t="s">
        <v>50</v>
      </c>
      <c r="J1084" t="s">
        <v>2500</v>
      </c>
    </row>
    <row r="1085" spans="1:10" x14ac:dyDescent="0.25">
      <c r="A1085" t="s">
        <v>6333</v>
      </c>
      <c r="B1085" s="3">
        <v>46290</v>
      </c>
      <c r="C1085" t="s">
        <v>271</v>
      </c>
      <c r="D1085" t="s">
        <v>225</v>
      </c>
      <c r="E1085">
        <v>32</v>
      </c>
      <c r="F1085" t="s">
        <v>2</v>
      </c>
      <c r="G1085" t="s">
        <v>4222</v>
      </c>
      <c r="H1085" t="s">
        <v>6334</v>
      </c>
      <c r="I1085" t="s">
        <v>147</v>
      </c>
      <c r="J1085" t="s">
        <v>2509</v>
      </c>
    </row>
    <row r="1086" spans="1:10" x14ac:dyDescent="0.25">
      <c r="A1086" t="s">
        <v>6335</v>
      </c>
      <c r="B1086" s="3">
        <v>46290</v>
      </c>
      <c r="C1086" t="s">
        <v>403</v>
      </c>
      <c r="D1086" t="s">
        <v>364</v>
      </c>
      <c r="E1086">
        <v>31</v>
      </c>
      <c r="F1086" t="s">
        <v>358</v>
      </c>
      <c r="G1086" t="s">
        <v>4234</v>
      </c>
      <c r="H1086" t="s">
        <v>6336</v>
      </c>
      <c r="I1086" t="s">
        <v>117</v>
      </c>
      <c r="J1086" t="s">
        <v>2503</v>
      </c>
    </row>
    <row r="1087" spans="1:10" x14ac:dyDescent="0.25">
      <c r="A1087" t="s">
        <v>6337</v>
      </c>
      <c r="B1087" s="3">
        <v>46290</v>
      </c>
      <c r="C1087" t="s">
        <v>486</v>
      </c>
      <c r="D1087" t="s">
        <v>479</v>
      </c>
      <c r="E1087">
        <v>16</v>
      </c>
      <c r="F1087" t="s">
        <v>469</v>
      </c>
      <c r="G1087" t="s">
        <v>4222</v>
      </c>
      <c r="H1087" t="s">
        <v>6338</v>
      </c>
      <c r="I1087" t="s">
        <v>52</v>
      </c>
      <c r="J1087" t="s">
        <v>2503</v>
      </c>
    </row>
    <row r="1088" spans="1:10" x14ac:dyDescent="0.25">
      <c r="A1088" t="s">
        <v>6339</v>
      </c>
      <c r="B1088" s="3">
        <v>46290</v>
      </c>
      <c r="C1088" t="s">
        <v>359</v>
      </c>
      <c r="D1088" t="s">
        <v>360</v>
      </c>
      <c r="E1088">
        <v>37</v>
      </c>
      <c r="F1088" t="s">
        <v>358</v>
      </c>
      <c r="G1088" t="s">
        <v>4222</v>
      </c>
      <c r="H1088" t="s">
        <v>6340</v>
      </c>
      <c r="I1088" t="s">
        <v>361</v>
      </c>
      <c r="J1088" t="s">
        <v>2509</v>
      </c>
    </row>
    <row r="1089" spans="1:10" x14ac:dyDescent="0.25">
      <c r="A1089" t="s">
        <v>6341</v>
      </c>
      <c r="B1089" s="3">
        <v>46291</v>
      </c>
      <c r="C1089" t="s">
        <v>228</v>
      </c>
      <c r="D1089" t="s">
        <v>218</v>
      </c>
      <c r="E1089">
        <v>19</v>
      </c>
      <c r="F1089" t="s">
        <v>2</v>
      </c>
      <c r="G1089" t="s">
        <v>4225</v>
      </c>
      <c r="H1089" t="s">
        <v>6342</v>
      </c>
      <c r="I1089" t="s">
        <v>67</v>
      </c>
      <c r="J1089" t="s">
        <v>2500</v>
      </c>
    </row>
    <row r="1090" spans="1:10" x14ac:dyDescent="0.25">
      <c r="A1090" t="s">
        <v>6343</v>
      </c>
      <c r="B1090" s="3">
        <v>46291</v>
      </c>
      <c r="C1090" t="s">
        <v>657</v>
      </c>
      <c r="D1090" t="s">
        <v>585</v>
      </c>
      <c r="E1090">
        <v>32</v>
      </c>
      <c r="F1090" t="s">
        <v>355</v>
      </c>
      <c r="G1090" t="s">
        <v>4231</v>
      </c>
      <c r="H1090" t="s">
        <v>6344</v>
      </c>
      <c r="I1090" t="s">
        <v>250</v>
      </c>
      <c r="J1090" t="s">
        <v>2503</v>
      </c>
    </row>
    <row r="1091" spans="1:10" x14ac:dyDescent="0.25">
      <c r="A1091" t="s">
        <v>6345</v>
      </c>
      <c r="B1091" s="3">
        <v>46291</v>
      </c>
      <c r="C1091" t="s">
        <v>58</v>
      </c>
      <c r="D1091" t="s">
        <v>21</v>
      </c>
      <c r="E1091">
        <v>34</v>
      </c>
      <c r="F1091" t="s">
        <v>2</v>
      </c>
      <c r="G1091" t="s">
        <v>4231</v>
      </c>
      <c r="H1091" t="s">
        <v>6346</v>
      </c>
      <c r="I1091" t="s">
        <v>59</v>
      </c>
      <c r="J1091" t="s">
        <v>2500</v>
      </c>
    </row>
    <row r="1092" spans="1:10" x14ac:dyDescent="0.25">
      <c r="A1092" t="s">
        <v>6347</v>
      </c>
      <c r="B1092" s="3">
        <v>46291</v>
      </c>
      <c r="C1092" t="s">
        <v>672</v>
      </c>
      <c r="D1092" t="s">
        <v>612</v>
      </c>
      <c r="E1092">
        <v>28</v>
      </c>
      <c r="F1092" t="s">
        <v>2</v>
      </c>
      <c r="G1092" t="s">
        <v>4225</v>
      </c>
      <c r="H1092" t="s">
        <v>6348</v>
      </c>
      <c r="I1092" t="s">
        <v>147</v>
      </c>
      <c r="J1092" t="s">
        <v>2500</v>
      </c>
    </row>
    <row r="1093" spans="1:10" x14ac:dyDescent="0.25">
      <c r="A1093" t="s">
        <v>6349</v>
      </c>
      <c r="B1093" s="3">
        <v>46291</v>
      </c>
      <c r="C1093" t="s">
        <v>590</v>
      </c>
      <c r="D1093" t="s">
        <v>585</v>
      </c>
      <c r="E1093">
        <v>54</v>
      </c>
      <c r="F1093" t="s">
        <v>355</v>
      </c>
      <c r="G1093" t="s">
        <v>4234</v>
      </c>
      <c r="H1093" t="s">
        <v>6350</v>
      </c>
      <c r="I1093" t="s">
        <v>246</v>
      </c>
      <c r="J1093" t="s">
        <v>2500</v>
      </c>
    </row>
    <row r="1094" spans="1:10" x14ac:dyDescent="0.25">
      <c r="A1094" t="s">
        <v>6351</v>
      </c>
      <c r="B1094" s="3">
        <v>46291</v>
      </c>
      <c r="C1094" t="s">
        <v>131</v>
      </c>
      <c r="D1094" t="s">
        <v>15</v>
      </c>
      <c r="E1094">
        <v>14</v>
      </c>
      <c r="F1094" t="s">
        <v>2</v>
      </c>
      <c r="G1094" t="s">
        <v>4234</v>
      </c>
      <c r="H1094" t="s">
        <v>6352</v>
      </c>
      <c r="I1094" t="s">
        <v>113</v>
      </c>
      <c r="J1094" t="s">
        <v>2503</v>
      </c>
    </row>
    <row r="1095" spans="1:10" x14ac:dyDescent="0.25">
      <c r="A1095" t="s">
        <v>6353</v>
      </c>
      <c r="B1095" s="3">
        <v>46291</v>
      </c>
      <c r="C1095" t="s">
        <v>588</v>
      </c>
      <c r="D1095" t="s">
        <v>589</v>
      </c>
      <c r="E1095">
        <v>14</v>
      </c>
      <c r="F1095" t="s">
        <v>469</v>
      </c>
      <c r="G1095" t="s">
        <v>4234</v>
      </c>
      <c r="H1095" t="s">
        <v>6354</v>
      </c>
      <c r="I1095" t="s">
        <v>19</v>
      </c>
      <c r="J1095" t="s">
        <v>2503</v>
      </c>
    </row>
    <row r="1096" spans="1:10" x14ac:dyDescent="0.25">
      <c r="A1096" t="s">
        <v>6355</v>
      </c>
      <c r="B1096" s="3">
        <v>46291</v>
      </c>
      <c r="C1096" t="s">
        <v>342</v>
      </c>
      <c r="D1096" t="s">
        <v>240</v>
      </c>
      <c r="E1096">
        <v>39</v>
      </c>
      <c r="F1096" t="s">
        <v>2</v>
      </c>
      <c r="G1096" t="s">
        <v>4222</v>
      </c>
      <c r="H1096" t="s">
        <v>6356</v>
      </c>
      <c r="I1096" t="s">
        <v>195</v>
      </c>
      <c r="J1096" t="s">
        <v>2509</v>
      </c>
    </row>
    <row r="1097" spans="1:10" x14ac:dyDescent="0.25">
      <c r="A1097" t="s">
        <v>6357</v>
      </c>
      <c r="B1097" s="3">
        <v>46291</v>
      </c>
      <c r="C1097" t="s">
        <v>273</v>
      </c>
      <c r="D1097" t="s">
        <v>234</v>
      </c>
      <c r="E1097">
        <v>48</v>
      </c>
      <c r="F1097" t="s">
        <v>2</v>
      </c>
      <c r="G1097" t="s">
        <v>4228</v>
      </c>
      <c r="H1097" t="s">
        <v>5457</v>
      </c>
      <c r="I1097" t="s">
        <v>274</v>
      </c>
      <c r="J1097" t="s">
        <v>2509</v>
      </c>
    </row>
    <row r="1098" spans="1:10" x14ac:dyDescent="0.25">
      <c r="A1098" t="s">
        <v>6358</v>
      </c>
      <c r="B1098" s="3">
        <v>46291</v>
      </c>
      <c r="C1098" t="s">
        <v>313</v>
      </c>
      <c r="D1098" t="s">
        <v>225</v>
      </c>
      <c r="E1098">
        <v>11</v>
      </c>
      <c r="F1098" t="s">
        <v>2</v>
      </c>
      <c r="G1098" t="s">
        <v>4228</v>
      </c>
      <c r="H1098" t="s">
        <v>6359</v>
      </c>
      <c r="I1098" t="s">
        <v>314</v>
      </c>
      <c r="J1098" t="s">
        <v>2503</v>
      </c>
    </row>
    <row r="1099" spans="1:10" x14ac:dyDescent="0.25">
      <c r="A1099" t="s">
        <v>6360</v>
      </c>
      <c r="B1099" s="3">
        <v>46291</v>
      </c>
      <c r="C1099" t="s">
        <v>394</v>
      </c>
      <c r="D1099" t="s">
        <v>354</v>
      </c>
      <c r="E1099">
        <v>39</v>
      </c>
      <c r="F1099" t="s">
        <v>355</v>
      </c>
      <c r="G1099" t="s">
        <v>4234</v>
      </c>
      <c r="H1099" t="s">
        <v>4627</v>
      </c>
      <c r="I1099" t="s">
        <v>42</v>
      </c>
      <c r="J1099" t="s">
        <v>2509</v>
      </c>
    </row>
    <row r="1100" spans="1:10" x14ac:dyDescent="0.25">
      <c r="A1100" t="s">
        <v>6361</v>
      </c>
      <c r="B1100" s="3">
        <v>46291</v>
      </c>
      <c r="C1100" t="s">
        <v>184</v>
      </c>
      <c r="D1100" t="s">
        <v>15</v>
      </c>
      <c r="E1100">
        <v>9</v>
      </c>
      <c r="F1100" t="s">
        <v>2</v>
      </c>
      <c r="G1100" t="s">
        <v>4225</v>
      </c>
      <c r="H1100" t="s">
        <v>6362</v>
      </c>
      <c r="I1100" t="s">
        <v>185</v>
      </c>
      <c r="J1100" t="s">
        <v>2509</v>
      </c>
    </row>
    <row r="1101" spans="1:10" x14ac:dyDescent="0.25">
      <c r="A1101" t="s">
        <v>6363</v>
      </c>
      <c r="B1101" s="3">
        <v>46291</v>
      </c>
      <c r="C1101" t="s">
        <v>580</v>
      </c>
      <c r="D1101" t="s">
        <v>490</v>
      </c>
      <c r="E1101">
        <v>2</v>
      </c>
      <c r="F1101" t="s">
        <v>355</v>
      </c>
      <c r="G1101" t="s">
        <v>4234</v>
      </c>
      <c r="H1101" t="s">
        <v>6364</v>
      </c>
      <c r="I1101" t="s">
        <v>69</v>
      </c>
      <c r="J1101" t="s">
        <v>2509</v>
      </c>
    </row>
    <row r="1102" spans="1:10" x14ac:dyDescent="0.25">
      <c r="A1102" t="s">
        <v>6365</v>
      </c>
      <c r="B1102" s="3">
        <v>46291</v>
      </c>
      <c r="C1102" t="s">
        <v>517</v>
      </c>
      <c r="D1102" t="s">
        <v>488</v>
      </c>
      <c r="E1102">
        <v>51</v>
      </c>
      <c r="F1102" t="s">
        <v>469</v>
      </c>
      <c r="G1102" t="s">
        <v>4228</v>
      </c>
      <c r="H1102" t="s">
        <v>4339</v>
      </c>
      <c r="I1102" t="s">
        <v>67</v>
      </c>
      <c r="J1102" t="s">
        <v>2513</v>
      </c>
    </row>
    <row r="1103" spans="1:10" x14ac:dyDescent="0.25">
      <c r="A1103" t="s">
        <v>6366</v>
      </c>
      <c r="B1103" s="3">
        <v>46291</v>
      </c>
      <c r="C1103" t="s">
        <v>580</v>
      </c>
      <c r="D1103" t="s">
        <v>490</v>
      </c>
      <c r="E1103">
        <v>31</v>
      </c>
      <c r="F1103" t="s">
        <v>355</v>
      </c>
      <c r="G1103" t="s">
        <v>4234</v>
      </c>
      <c r="H1103" t="s">
        <v>6367</v>
      </c>
      <c r="I1103" t="s">
        <v>69</v>
      </c>
      <c r="J1103" t="s">
        <v>2509</v>
      </c>
    </row>
    <row r="1104" spans="1:10" x14ac:dyDescent="0.25">
      <c r="A1104" t="s">
        <v>6368</v>
      </c>
      <c r="B1104" s="3">
        <v>46291</v>
      </c>
      <c r="C1104" t="s">
        <v>418</v>
      </c>
      <c r="D1104" t="s">
        <v>349</v>
      </c>
      <c r="E1104">
        <v>51</v>
      </c>
      <c r="F1104" t="s">
        <v>2</v>
      </c>
      <c r="G1104" t="s">
        <v>4225</v>
      </c>
      <c r="H1104" t="s">
        <v>6369</v>
      </c>
      <c r="I1104" t="s">
        <v>250</v>
      </c>
      <c r="J1104" t="s">
        <v>2513</v>
      </c>
    </row>
    <row r="1105" spans="1:10" x14ac:dyDescent="0.25">
      <c r="A1105" t="s">
        <v>6370</v>
      </c>
      <c r="B1105" s="3">
        <v>46291</v>
      </c>
      <c r="C1105" t="s">
        <v>510</v>
      </c>
      <c r="D1105" t="s">
        <v>479</v>
      </c>
      <c r="E1105">
        <v>1</v>
      </c>
      <c r="F1105" t="s">
        <v>469</v>
      </c>
      <c r="G1105" t="s">
        <v>4234</v>
      </c>
      <c r="H1105" t="s">
        <v>6371</v>
      </c>
      <c r="I1105" t="s">
        <v>117</v>
      </c>
      <c r="J1105" t="s">
        <v>2513</v>
      </c>
    </row>
    <row r="1106" spans="1:10" x14ac:dyDescent="0.25">
      <c r="A1106" t="s">
        <v>6372</v>
      </c>
      <c r="B1106" s="3">
        <v>46291</v>
      </c>
      <c r="C1106" t="s">
        <v>271</v>
      </c>
      <c r="D1106" t="s">
        <v>225</v>
      </c>
      <c r="E1106">
        <v>18</v>
      </c>
      <c r="F1106" t="s">
        <v>2</v>
      </c>
      <c r="G1106" t="s">
        <v>4225</v>
      </c>
      <c r="H1106" t="s">
        <v>5512</v>
      </c>
      <c r="I1106" t="s">
        <v>147</v>
      </c>
      <c r="J1106" t="s">
        <v>2503</v>
      </c>
    </row>
    <row r="1107" spans="1:10" x14ac:dyDescent="0.25">
      <c r="A1107" t="s">
        <v>6373</v>
      </c>
      <c r="B1107" s="3">
        <v>46291</v>
      </c>
      <c r="C1107" t="s">
        <v>570</v>
      </c>
      <c r="D1107" t="s">
        <v>484</v>
      </c>
      <c r="E1107">
        <v>4</v>
      </c>
      <c r="F1107" t="s">
        <v>469</v>
      </c>
      <c r="G1107" t="s">
        <v>4225</v>
      </c>
      <c r="H1107" t="s">
        <v>6374</v>
      </c>
      <c r="I1107" t="s">
        <v>106</v>
      </c>
      <c r="J1107" t="s">
        <v>2513</v>
      </c>
    </row>
    <row r="1108" spans="1:10" x14ac:dyDescent="0.25">
      <c r="A1108" t="s">
        <v>6375</v>
      </c>
      <c r="B1108" s="3">
        <v>46291</v>
      </c>
      <c r="C1108" t="s">
        <v>236</v>
      </c>
      <c r="D1108" t="s">
        <v>223</v>
      </c>
      <c r="E1108">
        <v>32</v>
      </c>
      <c r="F1108" t="s">
        <v>2</v>
      </c>
      <c r="G1108" t="s">
        <v>4225</v>
      </c>
      <c r="H1108" t="s">
        <v>6376</v>
      </c>
      <c r="I1108" t="s">
        <v>34</v>
      </c>
      <c r="J1108" t="s">
        <v>2509</v>
      </c>
    </row>
    <row r="1109" spans="1:10" x14ac:dyDescent="0.25">
      <c r="A1109" t="s">
        <v>6377</v>
      </c>
      <c r="B1109" s="3">
        <v>46291</v>
      </c>
      <c r="C1109" t="s">
        <v>394</v>
      </c>
      <c r="D1109" t="s">
        <v>354</v>
      </c>
      <c r="E1109">
        <v>11</v>
      </c>
      <c r="F1109" t="s">
        <v>355</v>
      </c>
      <c r="G1109" t="s">
        <v>4225</v>
      </c>
      <c r="H1109" t="s">
        <v>6378</v>
      </c>
      <c r="I1109" t="s">
        <v>42</v>
      </c>
      <c r="J1109" t="s">
        <v>2513</v>
      </c>
    </row>
    <row r="1110" spans="1:10" x14ac:dyDescent="0.25">
      <c r="A1110" t="s">
        <v>6379</v>
      </c>
      <c r="B1110" s="3">
        <v>46291</v>
      </c>
      <c r="C1110" t="s">
        <v>636</v>
      </c>
      <c r="D1110" t="s">
        <v>602</v>
      </c>
      <c r="E1110">
        <v>17</v>
      </c>
      <c r="F1110" t="s">
        <v>2</v>
      </c>
      <c r="G1110" t="s">
        <v>4231</v>
      </c>
      <c r="H1110" t="s">
        <v>6380</v>
      </c>
      <c r="I1110" t="s">
        <v>183</v>
      </c>
      <c r="J1110" t="s">
        <v>2500</v>
      </c>
    </row>
    <row r="1111" spans="1:10" x14ac:dyDescent="0.25">
      <c r="A1111" t="s">
        <v>6381</v>
      </c>
      <c r="B1111" s="3">
        <v>46291</v>
      </c>
      <c r="C1111" t="s">
        <v>539</v>
      </c>
      <c r="D1111" t="s">
        <v>479</v>
      </c>
      <c r="E1111">
        <v>25</v>
      </c>
      <c r="F1111" t="s">
        <v>469</v>
      </c>
      <c r="G1111" t="s">
        <v>4228</v>
      </c>
      <c r="H1111" t="s">
        <v>6382</v>
      </c>
      <c r="I1111" t="s">
        <v>327</v>
      </c>
      <c r="J1111" t="s">
        <v>2509</v>
      </c>
    </row>
    <row r="1112" spans="1:10" x14ac:dyDescent="0.25">
      <c r="A1112" t="s">
        <v>6383</v>
      </c>
      <c r="B1112" s="3">
        <v>46291</v>
      </c>
      <c r="C1112" t="s">
        <v>20</v>
      </c>
      <c r="D1112" t="s">
        <v>21</v>
      </c>
      <c r="E1112">
        <v>32</v>
      </c>
      <c r="F1112" t="s">
        <v>2</v>
      </c>
      <c r="G1112" t="s">
        <v>4225</v>
      </c>
      <c r="H1112" t="s">
        <v>6384</v>
      </c>
      <c r="I1112" t="s">
        <v>24</v>
      </c>
      <c r="J1112" t="s">
        <v>2513</v>
      </c>
    </row>
    <row r="1113" spans="1:10" x14ac:dyDescent="0.25">
      <c r="A1113" t="s">
        <v>6385</v>
      </c>
      <c r="B1113" s="3">
        <v>46291</v>
      </c>
      <c r="C1113" t="s">
        <v>491</v>
      </c>
      <c r="D1113" t="s">
        <v>481</v>
      </c>
      <c r="E1113">
        <v>23</v>
      </c>
      <c r="F1113" t="s">
        <v>2</v>
      </c>
      <c r="G1113" t="s">
        <v>4228</v>
      </c>
      <c r="H1113" t="s">
        <v>6386</v>
      </c>
      <c r="I1113" t="s">
        <v>324</v>
      </c>
      <c r="J1113" t="s">
        <v>2509</v>
      </c>
    </row>
    <row r="1114" spans="1:10" x14ac:dyDescent="0.25">
      <c r="A1114" t="s">
        <v>6387</v>
      </c>
      <c r="B1114" s="3">
        <v>46291</v>
      </c>
      <c r="C1114" t="s">
        <v>130</v>
      </c>
      <c r="D1114" t="s">
        <v>1</v>
      </c>
      <c r="E1114">
        <v>37</v>
      </c>
      <c r="F1114" t="s">
        <v>2</v>
      </c>
      <c r="G1114" t="s">
        <v>4225</v>
      </c>
      <c r="H1114" t="s">
        <v>6388</v>
      </c>
      <c r="I1114" t="s">
        <v>19</v>
      </c>
      <c r="J1114" t="s">
        <v>2509</v>
      </c>
    </row>
    <row r="1115" spans="1:10" x14ac:dyDescent="0.25">
      <c r="A1115" t="s">
        <v>6389</v>
      </c>
      <c r="B1115" s="3">
        <v>46291</v>
      </c>
      <c r="C1115" t="s">
        <v>390</v>
      </c>
      <c r="D1115" t="s">
        <v>378</v>
      </c>
      <c r="E1115">
        <v>18</v>
      </c>
      <c r="F1115" t="s">
        <v>2</v>
      </c>
      <c r="G1115" t="s">
        <v>4222</v>
      </c>
      <c r="H1115" t="s">
        <v>6390</v>
      </c>
      <c r="I1115" t="s">
        <v>206</v>
      </c>
      <c r="J1115" t="s">
        <v>2513</v>
      </c>
    </row>
    <row r="1116" spans="1:10" x14ac:dyDescent="0.25">
      <c r="A1116" t="s">
        <v>6391</v>
      </c>
      <c r="B1116" s="3">
        <v>46291</v>
      </c>
      <c r="C1116" t="s">
        <v>182</v>
      </c>
      <c r="D1116" t="s">
        <v>15</v>
      </c>
      <c r="E1116">
        <v>19</v>
      </c>
      <c r="F1116" t="s">
        <v>2</v>
      </c>
      <c r="G1116" t="s">
        <v>4234</v>
      </c>
      <c r="H1116" t="s">
        <v>6392</v>
      </c>
      <c r="I1116" t="s">
        <v>183</v>
      </c>
      <c r="J1116" t="s">
        <v>2503</v>
      </c>
    </row>
    <row r="1117" spans="1:10" x14ac:dyDescent="0.25">
      <c r="A1117" t="s">
        <v>6393</v>
      </c>
      <c r="B1117" s="3">
        <v>46291</v>
      </c>
      <c r="C1117" t="s">
        <v>200</v>
      </c>
      <c r="D1117" t="s">
        <v>66</v>
      </c>
      <c r="E1117">
        <v>51</v>
      </c>
      <c r="F1117" t="s">
        <v>2</v>
      </c>
      <c r="G1117" t="s">
        <v>4234</v>
      </c>
      <c r="H1117" t="s">
        <v>6394</v>
      </c>
      <c r="I1117" t="s">
        <v>201</v>
      </c>
      <c r="J1117" t="s">
        <v>2503</v>
      </c>
    </row>
    <row r="1118" spans="1:10" x14ac:dyDescent="0.25">
      <c r="A1118" t="s">
        <v>6395</v>
      </c>
      <c r="B1118" s="3">
        <v>46291</v>
      </c>
      <c r="C1118" t="s">
        <v>389</v>
      </c>
      <c r="D1118" t="s">
        <v>364</v>
      </c>
      <c r="E1118">
        <v>22</v>
      </c>
      <c r="F1118" t="s">
        <v>358</v>
      </c>
      <c r="G1118" t="s">
        <v>4231</v>
      </c>
      <c r="H1118" t="s">
        <v>6396</v>
      </c>
      <c r="I1118" t="s">
        <v>77</v>
      </c>
      <c r="J1118" t="s">
        <v>2503</v>
      </c>
    </row>
    <row r="1119" spans="1:10" x14ac:dyDescent="0.25">
      <c r="A1119" t="s">
        <v>6397</v>
      </c>
      <c r="B1119" s="3">
        <v>46291</v>
      </c>
      <c r="C1119" t="s">
        <v>486</v>
      </c>
      <c r="D1119" t="s">
        <v>479</v>
      </c>
      <c r="E1119">
        <v>31</v>
      </c>
      <c r="F1119" t="s">
        <v>469</v>
      </c>
      <c r="G1119" t="s">
        <v>4222</v>
      </c>
      <c r="H1119" t="s">
        <v>6398</v>
      </c>
      <c r="I1119" t="s">
        <v>52</v>
      </c>
      <c r="J1119" t="s">
        <v>2500</v>
      </c>
    </row>
    <row r="1120" spans="1:10" x14ac:dyDescent="0.25">
      <c r="A1120" t="s">
        <v>6399</v>
      </c>
      <c r="B1120" s="3">
        <v>46291</v>
      </c>
      <c r="C1120" t="s">
        <v>546</v>
      </c>
      <c r="D1120" t="s">
        <v>490</v>
      </c>
      <c r="E1120">
        <v>29</v>
      </c>
      <c r="F1120" t="s">
        <v>355</v>
      </c>
      <c r="G1120" t="s">
        <v>4225</v>
      </c>
      <c r="H1120" t="s">
        <v>6400</v>
      </c>
      <c r="I1120" t="s">
        <v>57</v>
      </c>
      <c r="J1120" t="s">
        <v>2503</v>
      </c>
    </row>
    <row r="1121" spans="1:10" x14ac:dyDescent="0.25">
      <c r="A1121" t="s">
        <v>6401</v>
      </c>
      <c r="B1121" s="3">
        <v>46291</v>
      </c>
      <c r="C1121" t="s">
        <v>592</v>
      </c>
      <c r="D1121" t="s">
        <v>585</v>
      </c>
      <c r="E1121">
        <v>3</v>
      </c>
      <c r="F1121" t="s">
        <v>355</v>
      </c>
      <c r="G1121" t="s">
        <v>4228</v>
      </c>
      <c r="H1121" t="s">
        <v>6402</v>
      </c>
      <c r="I1121" t="s">
        <v>287</v>
      </c>
      <c r="J1121" t="s">
        <v>2509</v>
      </c>
    </row>
    <row r="1122" spans="1:10" x14ac:dyDescent="0.25">
      <c r="A1122" t="s">
        <v>6403</v>
      </c>
      <c r="B1122" s="3">
        <v>46291</v>
      </c>
      <c r="C1122" t="s">
        <v>462</v>
      </c>
      <c r="D1122" t="s">
        <v>349</v>
      </c>
      <c r="E1122">
        <v>24</v>
      </c>
      <c r="F1122" t="s">
        <v>2</v>
      </c>
      <c r="G1122" t="s">
        <v>4225</v>
      </c>
      <c r="H1122" t="s">
        <v>6404</v>
      </c>
      <c r="I1122" t="s">
        <v>310</v>
      </c>
      <c r="J1122" t="s">
        <v>2503</v>
      </c>
    </row>
    <row r="1123" spans="1:10" x14ac:dyDescent="0.25">
      <c r="A1123" t="s">
        <v>6405</v>
      </c>
      <c r="B1123" s="3">
        <v>46291</v>
      </c>
      <c r="C1123" t="s">
        <v>530</v>
      </c>
      <c r="D1123" t="s">
        <v>481</v>
      </c>
      <c r="E1123">
        <v>9</v>
      </c>
      <c r="F1123" t="s">
        <v>2</v>
      </c>
      <c r="G1123" t="s">
        <v>4234</v>
      </c>
      <c r="H1123" t="s">
        <v>6406</v>
      </c>
      <c r="I1123" t="s">
        <v>124</v>
      </c>
      <c r="J1123" t="s">
        <v>2500</v>
      </c>
    </row>
    <row r="1124" spans="1:10" x14ac:dyDescent="0.25">
      <c r="A1124" t="s">
        <v>6407</v>
      </c>
      <c r="B1124" s="3">
        <v>46291</v>
      </c>
      <c r="C1124" t="s">
        <v>499</v>
      </c>
      <c r="D1124" t="s">
        <v>479</v>
      </c>
      <c r="E1124">
        <v>43</v>
      </c>
      <c r="F1124" t="s">
        <v>469</v>
      </c>
      <c r="G1124" t="s">
        <v>4231</v>
      </c>
      <c r="H1124" t="s">
        <v>6408</v>
      </c>
      <c r="I1124" t="s">
        <v>173</v>
      </c>
      <c r="J1124" t="s">
        <v>2500</v>
      </c>
    </row>
    <row r="1125" spans="1:10" x14ac:dyDescent="0.25">
      <c r="A1125" t="s">
        <v>6409</v>
      </c>
      <c r="B1125" s="3">
        <v>46291</v>
      </c>
      <c r="C1125" t="s">
        <v>554</v>
      </c>
      <c r="D1125" t="s">
        <v>502</v>
      </c>
      <c r="E1125">
        <v>31</v>
      </c>
      <c r="F1125" t="s">
        <v>469</v>
      </c>
      <c r="G1125" t="s">
        <v>4234</v>
      </c>
      <c r="H1125" t="s">
        <v>6410</v>
      </c>
      <c r="I1125" t="s">
        <v>265</v>
      </c>
      <c r="J1125" t="s">
        <v>2503</v>
      </c>
    </row>
    <row r="1126" spans="1:10" x14ac:dyDescent="0.25">
      <c r="A1126" t="s">
        <v>6411</v>
      </c>
      <c r="B1126" s="3">
        <v>46291</v>
      </c>
      <c r="C1126" t="s">
        <v>685</v>
      </c>
      <c r="D1126" t="s">
        <v>597</v>
      </c>
      <c r="E1126">
        <v>19</v>
      </c>
      <c r="F1126" t="s">
        <v>355</v>
      </c>
      <c r="G1126" t="s">
        <v>4225</v>
      </c>
      <c r="H1126" t="s">
        <v>6412</v>
      </c>
      <c r="I1126" t="s">
        <v>166</v>
      </c>
      <c r="J1126" t="s">
        <v>2509</v>
      </c>
    </row>
    <row r="1127" spans="1:10" x14ac:dyDescent="0.25">
      <c r="A1127" t="s">
        <v>6413</v>
      </c>
      <c r="B1127" s="3">
        <v>46291</v>
      </c>
      <c r="C1127" t="s">
        <v>316</v>
      </c>
      <c r="D1127" t="s">
        <v>213</v>
      </c>
      <c r="E1127">
        <v>7</v>
      </c>
      <c r="F1127" t="s">
        <v>2</v>
      </c>
      <c r="G1127" t="s">
        <v>4225</v>
      </c>
      <c r="H1127" t="s">
        <v>4329</v>
      </c>
      <c r="I1127" t="s">
        <v>108</v>
      </c>
      <c r="J1127" t="s">
        <v>2500</v>
      </c>
    </row>
    <row r="1128" spans="1:10" x14ac:dyDescent="0.25">
      <c r="A1128" t="s">
        <v>6414</v>
      </c>
      <c r="B1128" s="3">
        <v>46291</v>
      </c>
      <c r="C1128" t="s">
        <v>416</v>
      </c>
      <c r="D1128" t="s">
        <v>344</v>
      </c>
      <c r="E1128">
        <v>11</v>
      </c>
      <c r="F1128" t="s">
        <v>346</v>
      </c>
      <c r="G1128" t="s">
        <v>4228</v>
      </c>
      <c r="H1128" t="s">
        <v>6415</v>
      </c>
      <c r="I1128" t="s">
        <v>102</v>
      </c>
      <c r="J1128" t="s">
        <v>2513</v>
      </c>
    </row>
    <row r="1129" spans="1:10" x14ac:dyDescent="0.25">
      <c r="A1129" t="s">
        <v>6416</v>
      </c>
      <c r="B1129" s="3">
        <v>46291</v>
      </c>
      <c r="C1129" t="s">
        <v>415</v>
      </c>
      <c r="D1129" t="s">
        <v>382</v>
      </c>
      <c r="E1129">
        <v>17</v>
      </c>
      <c r="F1129" t="s">
        <v>383</v>
      </c>
      <c r="G1129" t="s">
        <v>4231</v>
      </c>
      <c r="H1129" t="s">
        <v>6417</v>
      </c>
      <c r="I1129" t="s">
        <v>152</v>
      </c>
      <c r="J1129" t="s">
        <v>2513</v>
      </c>
    </row>
    <row r="1130" spans="1:10" x14ac:dyDescent="0.25">
      <c r="A1130" t="s">
        <v>6418</v>
      </c>
      <c r="B1130" s="3">
        <v>46291</v>
      </c>
      <c r="C1130" t="s">
        <v>228</v>
      </c>
      <c r="D1130" t="s">
        <v>218</v>
      </c>
      <c r="E1130">
        <v>10</v>
      </c>
      <c r="F1130" t="s">
        <v>2</v>
      </c>
      <c r="G1130" t="s">
        <v>4225</v>
      </c>
      <c r="H1130" t="s">
        <v>6419</v>
      </c>
      <c r="I1130" t="s">
        <v>67</v>
      </c>
      <c r="J1130" t="s">
        <v>2509</v>
      </c>
    </row>
    <row r="1131" spans="1:10" x14ac:dyDescent="0.25">
      <c r="A1131" t="s">
        <v>6420</v>
      </c>
      <c r="B1131" s="3">
        <v>46291</v>
      </c>
      <c r="C1131" t="s">
        <v>526</v>
      </c>
      <c r="D1131" t="s">
        <v>476</v>
      </c>
      <c r="E1131">
        <v>10</v>
      </c>
      <c r="F1131" t="s">
        <v>477</v>
      </c>
      <c r="G1131" t="s">
        <v>4222</v>
      </c>
      <c r="H1131" t="s">
        <v>6421</v>
      </c>
      <c r="I1131" t="s">
        <v>75</v>
      </c>
      <c r="J1131" t="s">
        <v>2503</v>
      </c>
    </row>
    <row r="1132" spans="1:10" x14ac:dyDescent="0.25">
      <c r="A1132" t="s">
        <v>6422</v>
      </c>
      <c r="B1132" s="3">
        <v>46291</v>
      </c>
      <c r="C1132" t="s">
        <v>340</v>
      </c>
      <c r="D1132" t="s">
        <v>223</v>
      </c>
      <c r="E1132">
        <v>49</v>
      </c>
      <c r="F1132" t="s">
        <v>2</v>
      </c>
      <c r="G1132" t="s">
        <v>4231</v>
      </c>
      <c r="H1132" t="s">
        <v>6423</v>
      </c>
      <c r="I1132" t="s">
        <v>177</v>
      </c>
      <c r="J1132" t="s">
        <v>2503</v>
      </c>
    </row>
    <row r="1133" spans="1:10" x14ac:dyDescent="0.25">
      <c r="A1133" t="s">
        <v>6424</v>
      </c>
      <c r="B1133" s="3">
        <v>46292</v>
      </c>
      <c r="C1133" t="s">
        <v>645</v>
      </c>
      <c r="D1133" t="s">
        <v>612</v>
      </c>
      <c r="E1133">
        <v>30</v>
      </c>
      <c r="F1133" t="s">
        <v>2</v>
      </c>
      <c r="G1133" t="s">
        <v>4225</v>
      </c>
      <c r="H1133" t="s">
        <v>6425</v>
      </c>
      <c r="I1133" t="s">
        <v>297</v>
      </c>
      <c r="J1133" t="s">
        <v>2509</v>
      </c>
    </row>
    <row r="1134" spans="1:10" x14ac:dyDescent="0.25">
      <c r="A1134" t="s">
        <v>6426</v>
      </c>
      <c r="B1134" s="3">
        <v>46292</v>
      </c>
      <c r="C1134" t="s">
        <v>156</v>
      </c>
      <c r="D1134" t="s">
        <v>15</v>
      </c>
      <c r="E1134">
        <v>4</v>
      </c>
      <c r="F1134" t="s">
        <v>2</v>
      </c>
      <c r="G1134" t="s">
        <v>4234</v>
      </c>
      <c r="H1134" t="s">
        <v>6427</v>
      </c>
      <c r="I1134" t="s">
        <v>98</v>
      </c>
      <c r="J1134" t="s">
        <v>2500</v>
      </c>
    </row>
    <row r="1135" spans="1:10" x14ac:dyDescent="0.25">
      <c r="A1135" t="s">
        <v>6428</v>
      </c>
      <c r="B1135" s="3">
        <v>46292</v>
      </c>
      <c r="C1135" t="s">
        <v>176</v>
      </c>
      <c r="D1135" t="s">
        <v>21</v>
      </c>
      <c r="E1135">
        <v>31</v>
      </c>
      <c r="F1135" t="s">
        <v>2</v>
      </c>
      <c r="G1135" t="s">
        <v>4222</v>
      </c>
      <c r="H1135" t="s">
        <v>4839</v>
      </c>
      <c r="I1135" t="s">
        <v>177</v>
      </c>
      <c r="J1135" t="s">
        <v>2503</v>
      </c>
    </row>
    <row r="1136" spans="1:10" x14ac:dyDescent="0.25">
      <c r="A1136" t="s">
        <v>6429</v>
      </c>
      <c r="B1136" s="3">
        <v>46292</v>
      </c>
      <c r="C1136" t="s">
        <v>329</v>
      </c>
      <c r="D1136" t="s">
        <v>227</v>
      </c>
      <c r="E1136">
        <v>43</v>
      </c>
      <c r="F1136" t="s">
        <v>2</v>
      </c>
      <c r="G1136" t="s">
        <v>4228</v>
      </c>
      <c r="H1136" t="s">
        <v>6430</v>
      </c>
      <c r="I1136" t="s">
        <v>330</v>
      </c>
      <c r="J1136" t="s">
        <v>2513</v>
      </c>
    </row>
    <row r="1137" spans="1:10" x14ac:dyDescent="0.25">
      <c r="A1137" t="s">
        <v>6431</v>
      </c>
      <c r="B1137" s="3">
        <v>46292</v>
      </c>
      <c r="C1137" t="s">
        <v>680</v>
      </c>
      <c r="D1137" t="s">
        <v>582</v>
      </c>
      <c r="E1137">
        <v>39</v>
      </c>
      <c r="F1137" t="s">
        <v>2</v>
      </c>
      <c r="G1137" t="s">
        <v>4231</v>
      </c>
      <c r="H1137" t="s">
        <v>6432</v>
      </c>
      <c r="I1137" t="s">
        <v>93</v>
      </c>
      <c r="J1137" t="s">
        <v>2509</v>
      </c>
    </row>
    <row r="1138" spans="1:10" x14ac:dyDescent="0.25">
      <c r="A1138" t="s">
        <v>6433</v>
      </c>
      <c r="B1138" s="3">
        <v>46292</v>
      </c>
      <c r="C1138" t="s">
        <v>678</v>
      </c>
      <c r="D1138" t="s">
        <v>612</v>
      </c>
      <c r="E1138">
        <v>7</v>
      </c>
      <c r="F1138" t="s">
        <v>2</v>
      </c>
      <c r="G1138" t="s">
        <v>4225</v>
      </c>
      <c r="H1138" t="s">
        <v>6434</v>
      </c>
      <c r="I1138" t="s">
        <v>242</v>
      </c>
      <c r="J1138" t="s">
        <v>2500</v>
      </c>
    </row>
    <row r="1139" spans="1:10" x14ac:dyDescent="0.25">
      <c r="A1139" t="s">
        <v>6435</v>
      </c>
      <c r="B1139" s="3">
        <v>46292</v>
      </c>
      <c r="C1139" t="s">
        <v>411</v>
      </c>
      <c r="D1139" t="s">
        <v>366</v>
      </c>
      <c r="E1139">
        <v>14</v>
      </c>
      <c r="F1139" t="s">
        <v>2</v>
      </c>
      <c r="G1139" t="s">
        <v>4225</v>
      </c>
      <c r="H1139" t="s">
        <v>5796</v>
      </c>
      <c r="I1139" t="s">
        <v>312</v>
      </c>
      <c r="J1139" t="s">
        <v>2500</v>
      </c>
    </row>
    <row r="1140" spans="1:10" x14ac:dyDescent="0.25">
      <c r="A1140" t="s">
        <v>6436</v>
      </c>
      <c r="B1140" s="3">
        <v>46292</v>
      </c>
      <c r="C1140" t="s">
        <v>111</v>
      </c>
      <c r="D1140" t="s">
        <v>66</v>
      </c>
      <c r="E1140">
        <v>17</v>
      </c>
      <c r="F1140" t="s">
        <v>2</v>
      </c>
      <c r="G1140" t="s">
        <v>4231</v>
      </c>
      <c r="H1140" t="s">
        <v>6437</v>
      </c>
      <c r="I1140" t="s">
        <v>104</v>
      </c>
      <c r="J1140" t="s">
        <v>2500</v>
      </c>
    </row>
    <row r="1141" spans="1:10" x14ac:dyDescent="0.25">
      <c r="A1141" t="s">
        <v>6438</v>
      </c>
      <c r="B1141" s="3">
        <v>46292</v>
      </c>
      <c r="C1141" t="s">
        <v>454</v>
      </c>
      <c r="D1141" t="s">
        <v>344</v>
      </c>
      <c r="E1141">
        <v>23</v>
      </c>
      <c r="F1141" t="s">
        <v>346</v>
      </c>
      <c r="G1141" t="s">
        <v>4222</v>
      </c>
      <c r="H1141" t="s">
        <v>6439</v>
      </c>
      <c r="I1141" t="s">
        <v>455</v>
      </c>
      <c r="J1141" t="s">
        <v>2509</v>
      </c>
    </row>
    <row r="1142" spans="1:10" x14ac:dyDescent="0.25">
      <c r="A1142" t="s">
        <v>6440</v>
      </c>
      <c r="B1142" s="3">
        <v>46292</v>
      </c>
      <c r="C1142" t="s">
        <v>507</v>
      </c>
      <c r="D1142" t="s">
        <v>471</v>
      </c>
      <c r="E1142">
        <v>41</v>
      </c>
      <c r="F1142" t="s">
        <v>355</v>
      </c>
      <c r="G1142" t="s">
        <v>4234</v>
      </c>
      <c r="H1142" t="s">
        <v>6441</v>
      </c>
      <c r="I1142" t="s">
        <v>19</v>
      </c>
      <c r="J1142" t="s">
        <v>2503</v>
      </c>
    </row>
    <row r="1143" spans="1:10" x14ac:dyDescent="0.25">
      <c r="A1143" t="s">
        <v>6442</v>
      </c>
      <c r="B1143" s="3">
        <v>46292</v>
      </c>
      <c r="C1143" t="s">
        <v>492</v>
      </c>
      <c r="D1143" t="s">
        <v>467</v>
      </c>
      <c r="E1143">
        <v>7</v>
      </c>
      <c r="F1143" t="s">
        <v>469</v>
      </c>
      <c r="G1143" t="s">
        <v>4222</v>
      </c>
      <c r="H1143" t="s">
        <v>6443</v>
      </c>
      <c r="I1143" t="s">
        <v>102</v>
      </c>
      <c r="J1143" t="s">
        <v>2500</v>
      </c>
    </row>
    <row r="1144" spans="1:10" x14ac:dyDescent="0.25">
      <c r="A1144" t="s">
        <v>6444</v>
      </c>
      <c r="B1144" s="3">
        <v>46292</v>
      </c>
      <c r="C1144" t="s">
        <v>563</v>
      </c>
      <c r="D1144" t="s">
        <v>479</v>
      </c>
      <c r="E1144">
        <v>45</v>
      </c>
      <c r="F1144" t="s">
        <v>469</v>
      </c>
      <c r="G1144" t="s">
        <v>4222</v>
      </c>
      <c r="H1144" t="s">
        <v>6445</v>
      </c>
      <c r="I1144" t="s">
        <v>287</v>
      </c>
      <c r="J1144" t="s">
        <v>2509</v>
      </c>
    </row>
    <row r="1145" spans="1:10" x14ac:dyDescent="0.25">
      <c r="A1145" t="s">
        <v>6446</v>
      </c>
      <c r="B1145" s="3">
        <v>46292</v>
      </c>
      <c r="C1145" t="s">
        <v>51</v>
      </c>
      <c r="D1145" t="s">
        <v>44</v>
      </c>
      <c r="E1145">
        <v>43</v>
      </c>
      <c r="F1145" t="s">
        <v>2</v>
      </c>
      <c r="G1145" t="s">
        <v>4234</v>
      </c>
      <c r="H1145" t="s">
        <v>6447</v>
      </c>
      <c r="I1145" t="s">
        <v>52</v>
      </c>
      <c r="J1145" t="s">
        <v>2503</v>
      </c>
    </row>
    <row r="1146" spans="1:10" x14ac:dyDescent="0.25">
      <c r="A1146" t="s">
        <v>6448</v>
      </c>
      <c r="B1146" s="3">
        <v>46292</v>
      </c>
      <c r="C1146" t="s">
        <v>280</v>
      </c>
      <c r="D1146" t="s">
        <v>210</v>
      </c>
      <c r="E1146">
        <v>52</v>
      </c>
      <c r="F1146" t="s">
        <v>2</v>
      </c>
      <c r="G1146" t="s">
        <v>4222</v>
      </c>
      <c r="H1146" t="s">
        <v>6449</v>
      </c>
      <c r="I1146" t="s">
        <v>126</v>
      </c>
      <c r="J1146" t="s">
        <v>2503</v>
      </c>
    </row>
    <row r="1147" spans="1:10" x14ac:dyDescent="0.25">
      <c r="A1147" t="s">
        <v>6450</v>
      </c>
      <c r="B1147" s="3">
        <v>46292</v>
      </c>
      <c r="C1147" t="s">
        <v>51</v>
      </c>
      <c r="D1147" t="s">
        <v>44</v>
      </c>
      <c r="E1147">
        <v>38</v>
      </c>
      <c r="F1147" t="s">
        <v>2</v>
      </c>
      <c r="G1147" t="s">
        <v>4222</v>
      </c>
      <c r="H1147" t="s">
        <v>6451</v>
      </c>
      <c r="I1147" t="s">
        <v>52</v>
      </c>
      <c r="J1147" t="s">
        <v>2509</v>
      </c>
    </row>
    <row r="1148" spans="1:10" x14ac:dyDescent="0.25">
      <c r="A1148" t="s">
        <v>6452</v>
      </c>
      <c r="B1148" s="3">
        <v>46292</v>
      </c>
      <c r="C1148" t="s">
        <v>586</v>
      </c>
      <c r="D1148" t="s">
        <v>587</v>
      </c>
      <c r="E1148">
        <v>15</v>
      </c>
      <c r="F1148" t="s">
        <v>2</v>
      </c>
      <c r="G1148" t="s">
        <v>4231</v>
      </c>
      <c r="H1148" t="s">
        <v>6453</v>
      </c>
      <c r="I1148" t="s">
        <v>166</v>
      </c>
      <c r="J1148" t="s">
        <v>2513</v>
      </c>
    </row>
    <row r="1149" spans="1:10" x14ac:dyDescent="0.25">
      <c r="A1149" t="s">
        <v>6454</v>
      </c>
      <c r="B1149" s="3">
        <v>46292</v>
      </c>
      <c r="C1149" t="s">
        <v>642</v>
      </c>
      <c r="D1149" t="s">
        <v>585</v>
      </c>
      <c r="E1149">
        <v>36</v>
      </c>
      <c r="F1149" t="s">
        <v>355</v>
      </c>
      <c r="G1149" t="s">
        <v>4222</v>
      </c>
      <c r="H1149" t="s">
        <v>6455</v>
      </c>
      <c r="I1149" t="s">
        <v>79</v>
      </c>
      <c r="J1149" t="s">
        <v>2513</v>
      </c>
    </row>
    <row r="1150" spans="1:10" x14ac:dyDescent="0.25">
      <c r="A1150" t="s">
        <v>6456</v>
      </c>
      <c r="B1150" s="3">
        <v>46292</v>
      </c>
      <c r="C1150" t="s">
        <v>578</v>
      </c>
      <c r="D1150" t="s">
        <v>502</v>
      </c>
      <c r="E1150">
        <v>44</v>
      </c>
      <c r="F1150" t="s">
        <v>469</v>
      </c>
      <c r="G1150" t="s">
        <v>4231</v>
      </c>
      <c r="H1150" t="s">
        <v>6457</v>
      </c>
      <c r="I1150" t="s">
        <v>42</v>
      </c>
      <c r="J1150" t="s">
        <v>2503</v>
      </c>
    </row>
    <row r="1151" spans="1:10" x14ac:dyDescent="0.25">
      <c r="A1151" t="s">
        <v>6458</v>
      </c>
      <c r="B1151" s="3">
        <v>46292</v>
      </c>
      <c r="C1151" t="s">
        <v>76</v>
      </c>
      <c r="D1151" t="s">
        <v>15</v>
      </c>
      <c r="E1151">
        <v>45</v>
      </c>
      <c r="F1151" t="s">
        <v>2</v>
      </c>
      <c r="G1151" t="s">
        <v>4228</v>
      </c>
      <c r="H1151" t="s">
        <v>6459</v>
      </c>
      <c r="I1151" t="s">
        <v>77</v>
      </c>
      <c r="J1151" t="s">
        <v>2513</v>
      </c>
    </row>
    <row r="1152" spans="1:10" x14ac:dyDescent="0.25">
      <c r="A1152" t="s">
        <v>6460</v>
      </c>
      <c r="B1152" s="3">
        <v>46292</v>
      </c>
      <c r="C1152" t="s">
        <v>99</v>
      </c>
      <c r="D1152" t="s">
        <v>26</v>
      </c>
      <c r="E1152">
        <v>32</v>
      </c>
      <c r="F1152" t="s">
        <v>2</v>
      </c>
      <c r="G1152" t="s">
        <v>4231</v>
      </c>
      <c r="H1152" t="s">
        <v>6461</v>
      </c>
      <c r="I1152" t="s">
        <v>100</v>
      </c>
      <c r="J1152" t="s">
        <v>2500</v>
      </c>
    </row>
    <row r="1153" spans="1:10" x14ac:dyDescent="0.25">
      <c r="A1153" t="s">
        <v>6462</v>
      </c>
      <c r="B1153" s="3">
        <v>46292</v>
      </c>
      <c r="C1153" t="s">
        <v>531</v>
      </c>
      <c r="D1153" t="s">
        <v>479</v>
      </c>
      <c r="E1153">
        <v>5</v>
      </c>
      <c r="F1153" t="s">
        <v>469</v>
      </c>
      <c r="G1153" t="s">
        <v>4234</v>
      </c>
      <c r="H1153" t="s">
        <v>6463</v>
      </c>
      <c r="I1153" t="s">
        <v>129</v>
      </c>
      <c r="J1153" t="s">
        <v>2503</v>
      </c>
    </row>
    <row r="1154" spans="1:10" x14ac:dyDescent="0.25">
      <c r="A1154" t="s">
        <v>6464</v>
      </c>
      <c r="B1154" s="3">
        <v>46292</v>
      </c>
      <c r="C1154" t="s">
        <v>58</v>
      </c>
      <c r="D1154" t="s">
        <v>21</v>
      </c>
      <c r="E1154">
        <v>16</v>
      </c>
      <c r="F1154" t="s">
        <v>2</v>
      </c>
      <c r="G1154" t="s">
        <v>4228</v>
      </c>
      <c r="H1154" t="s">
        <v>5105</v>
      </c>
      <c r="I1154" t="s">
        <v>59</v>
      </c>
      <c r="J1154" t="s">
        <v>2513</v>
      </c>
    </row>
    <row r="1155" spans="1:10" x14ac:dyDescent="0.25">
      <c r="A1155" t="s">
        <v>6465</v>
      </c>
      <c r="B1155" s="3">
        <v>46292</v>
      </c>
      <c r="C1155" t="s">
        <v>363</v>
      </c>
      <c r="D1155" t="s">
        <v>364</v>
      </c>
      <c r="E1155">
        <v>33</v>
      </c>
      <c r="F1155" t="s">
        <v>358</v>
      </c>
      <c r="G1155" t="s">
        <v>4234</v>
      </c>
      <c r="H1155" t="s">
        <v>6466</v>
      </c>
      <c r="I1155" t="s">
        <v>57</v>
      </c>
      <c r="J1155" t="s">
        <v>2513</v>
      </c>
    </row>
    <row r="1156" spans="1:10" x14ac:dyDescent="0.25">
      <c r="A1156" t="s">
        <v>6467</v>
      </c>
      <c r="B1156" s="3">
        <v>46292</v>
      </c>
      <c r="C1156" t="s">
        <v>120</v>
      </c>
      <c r="D1156" t="s">
        <v>54</v>
      </c>
      <c r="E1156">
        <v>54</v>
      </c>
      <c r="F1156" t="s">
        <v>2</v>
      </c>
      <c r="G1156" t="s">
        <v>4222</v>
      </c>
      <c r="H1156" t="s">
        <v>6468</v>
      </c>
      <c r="I1156" t="s">
        <v>121</v>
      </c>
      <c r="J1156" t="s">
        <v>2509</v>
      </c>
    </row>
    <row r="1157" spans="1:10" x14ac:dyDescent="0.25">
      <c r="A1157" t="s">
        <v>6469</v>
      </c>
      <c r="B1157" s="3">
        <v>46292</v>
      </c>
      <c r="C1157" t="s">
        <v>396</v>
      </c>
      <c r="D1157" t="s">
        <v>357</v>
      </c>
      <c r="E1157">
        <v>44</v>
      </c>
      <c r="F1157" t="s">
        <v>358</v>
      </c>
      <c r="G1157" t="s">
        <v>4234</v>
      </c>
      <c r="H1157" t="s">
        <v>6470</v>
      </c>
      <c r="I1157" t="s">
        <v>397</v>
      </c>
      <c r="J1157" t="s">
        <v>2503</v>
      </c>
    </row>
    <row r="1158" spans="1:10" x14ac:dyDescent="0.25">
      <c r="A1158" t="s">
        <v>6471</v>
      </c>
      <c r="B1158" s="3">
        <v>46292</v>
      </c>
      <c r="C1158" t="s">
        <v>182</v>
      </c>
      <c r="D1158" t="s">
        <v>15</v>
      </c>
      <c r="E1158">
        <v>42</v>
      </c>
      <c r="F1158" t="s">
        <v>2</v>
      </c>
      <c r="G1158" t="s">
        <v>4222</v>
      </c>
      <c r="H1158" t="s">
        <v>6472</v>
      </c>
      <c r="I1158" t="s">
        <v>183</v>
      </c>
      <c r="J1158" t="s">
        <v>2500</v>
      </c>
    </row>
    <row r="1159" spans="1:10" x14ac:dyDescent="0.25">
      <c r="A1159" t="s">
        <v>6473</v>
      </c>
      <c r="B1159" s="3">
        <v>46292</v>
      </c>
      <c r="C1159" t="s">
        <v>547</v>
      </c>
      <c r="D1159" t="s">
        <v>481</v>
      </c>
      <c r="E1159">
        <v>51</v>
      </c>
      <c r="F1159" t="s">
        <v>2</v>
      </c>
      <c r="G1159" t="s">
        <v>4228</v>
      </c>
      <c r="H1159" t="s">
        <v>6474</v>
      </c>
      <c r="I1159" t="s">
        <v>69</v>
      </c>
      <c r="J1159" t="s">
        <v>2509</v>
      </c>
    </row>
    <row r="1160" spans="1:10" x14ac:dyDescent="0.25">
      <c r="A1160" t="s">
        <v>6475</v>
      </c>
      <c r="B1160" s="3">
        <v>46292</v>
      </c>
      <c r="C1160" t="s">
        <v>684</v>
      </c>
      <c r="D1160" t="s">
        <v>602</v>
      </c>
      <c r="E1160">
        <v>12</v>
      </c>
      <c r="F1160" t="s">
        <v>2</v>
      </c>
      <c r="G1160" t="s">
        <v>4234</v>
      </c>
      <c r="H1160" t="s">
        <v>6476</v>
      </c>
      <c r="I1160" t="s">
        <v>142</v>
      </c>
      <c r="J1160" t="s">
        <v>2500</v>
      </c>
    </row>
    <row r="1161" spans="1:10" x14ac:dyDescent="0.25">
      <c r="A1161" t="s">
        <v>6477</v>
      </c>
      <c r="B1161" s="3">
        <v>46292</v>
      </c>
      <c r="C1161" t="s">
        <v>566</v>
      </c>
      <c r="D1161" t="s">
        <v>479</v>
      </c>
      <c r="E1161">
        <v>9</v>
      </c>
      <c r="F1161" t="s">
        <v>469</v>
      </c>
      <c r="G1161" t="s">
        <v>4234</v>
      </c>
      <c r="H1161" t="s">
        <v>6478</v>
      </c>
      <c r="I1161" t="s">
        <v>64</v>
      </c>
      <c r="J1161" t="s">
        <v>2513</v>
      </c>
    </row>
    <row r="1162" spans="1:10" x14ac:dyDescent="0.25">
      <c r="A1162" t="s">
        <v>6479</v>
      </c>
      <c r="B1162" s="3">
        <v>46292</v>
      </c>
      <c r="C1162" t="s">
        <v>272</v>
      </c>
      <c r="D1162" t="s">
        <v>213</v>
      </c>
      <c r="E1162">
        <v>42</v>
      </c>
      <c r="F1162" t="s">
        <v>2</v>
      </c>
      <c r="G1162" t="s">
        <v>4222</v>
      </c>
      <c r="H1162" t="s">
        <v>6480</v>
      </c>
      <c r="I1162" t="s">
        <v>113</v>
      </c>
      <c r="J1162" t="s">
        <v>2500</v>
      </c>
    </row>
    <row r="1163" spans="1:10" x14ac:dyDescent="0.25">
      <c r="A1163" t="s">
        <v>6481</v>
      </c>
      <c r="B1163" s="3">
        <v>46292</v>
      </c>
      <c r="C1163" t="s">
        <v>625</v>
      </c>
      <c r="D1163" t="s">
        <v>594</v>
      </c>
      <c r="E1163">
        <v>46</v>
      </c>
      <c r="F1163" t="s">
        <v>595</v>
      </c>
      <c r="G1163" t="s">
        <v>4225</v>
      </c>
      <c r="H1163" t="s">
        <v>6482</v>
      </c>
      <c r="I1163" t="s">
        <v>19</v>
      </c>
      <c r="J1163" t="s">
        <v>2509</v>
      </c>
    </row>
    <row r="1164" spans="1:10" x14ac:dyDescent="0.25">
      <c r="A1164" t="s">
        <v>6483</v>
      </c>
      <c r="B1164" s="3">
        <v>46292</v>
      </c>
      <c r="C1164" t="s">
        <v>593</v>
      </c>
      <c r="D1164" t="s">
        <v>594</v>
      </c>
      <c r="E1164">
        <v>22</v>
      </c>
      <c r="F1164" t="s">
        <v>595</v>
      </c>
      <c r="G1164" t="s">
        <v>4222</v>
      </c>
      <c r="H1164" t="s">
        <v>6484</v>
      </c>
      <c r="I1164" t="s">
        <v>149</v>
      </c>
      <c r="J1164" t="s">
        <v>2513</v>
      </c>
    </row>
    <row r="1165" spans="1:10" x14ac:dyDescent="0.25">
      <c r="A1165" t="s">
        <v>6485</v>
      </c>
      <c r="B1165" s="3">
        <v>46292</v>
      </c>
      <c r="C1165" t="s">
        <v>648</v>
      </c>
      <c r="D1165" t="s">
        <v>585</v>
      </c>
      <c r="E1165">
        <v>4</v>
      </c>
      <c r="F1165" t="s">
        <v>355</v>
      </c>
      <c r="G1165" t="s">
        <v>4231</v>
      </c>
      <c r="H1165" t="s">
        <v>6486</v>
      </c>
      <c r="I1165" t="s">
        <v>203</v>
      </c>
      <c r="J1165" t="s">
        <v>2503</v>
      </c>
    </row>
    <row r="1166" spans="1:10" x14ac:dyDescent="0.25">
      <c r="A1166" t="s">
        <v>6487</v>
      </c>
      <c r="B1166" s="3">
        <v>46292</v>
      </c>
      <c r="C1166" t="s">
        <v>160</v>
      </c>
      <c r="D1166" t="s">
        <v>47</v>
      </c>
      <c r="E1166">
        <v>5</v>
      </c>
      <c r="F1166" t="s">
        <v>2</v>
      </c>
      <c r="G1166" t="s">
        <v>4225</v>
      </c>
      <c r="H1166" t="s">
        <v>6488</v>
      </c>
      <c r="I1166" t="s">
        <v>161</v>
      </c>
      <c r="J1166" t="s">
        <v>2503</v>
      </c>
    </row>
    <row r="1167" spans="1:10" x14ac:dyDescent="0.25">
      <c r="A1167" t="s">
        <v>6489</v>
      </c>
      <c r="B1167" s="3">
        <v>46292</v>
      </c>
      <c r="C1167" t="s">
        <v>141</v>
      </c>
      <c r="D1167" t="s">
        <v>66</v>
      </c>
      <c r="E1167">
        <v>30</v>
      </c>
      <c r="F1167" t="s">
        <v>2</v>
      </c>
      <c r="G1167" t="s">
        <v>4234</v>
      </c>
      <c r="H1167" t="s">
        <v>6490</v>
      </c>
      <c r="I1167" t="s">
        <v>142</v>
      </c>
      <c r="J1167" t="s">
        <v>2509</v>
      </c>
    </row>
    <row r="1168" spans="1:10" x14ac:dyDescent="0.25">
      <c r="A1168" t="s">
        <v>6491</v>
      </c>
      <c r="B1168" s="3">
        <v>46293</v>
      </c>
      <c r="C1168" t="s">
        <v>280</v>
      </c>
      <c r="D1168" t="s">
        <v>210</v>
      </c>
      <c r="E1168">
        <v>6</v>
      </c>
      <c r="F1168" t="s">
        <v>2</v>
      </c>
      <c r="G1168" t="s">
        <v>4234</v>
      </c>
      <c r="H1168" t="s">
        <v>6492</v>
      </c>
      <c r="I1168" t="s">
        <v>126</v>
      </c>
      <c r="J1168" t="s">
        <v>2503</v>
      </c>
    </row>
    <row r="1169" spans="1:10" x14ac:dyDescent="0.25">
      <c r="A1169" t="s">
        <v>6493</v>
      </c>
      <c r="B1169" s="3">
        <v>46293</v>
      </c>
      <c r="C1169" t="s">
        <v>638</v>
      </c>
      <c r="D1169" t="s">
        <v>612</v>
      </c>
      <c r="E1169">
        <v>35</v>
      </c>
      <c r="F1169" t="s">
        <v>2</v>
      </c>
      <c r="G1169" t="s">
        <v>4225</v>
      </c>
      <c r="H1169" t="s">
        <v>6494</v>
      </c>
      <c r="I1169" t="s">
        <v>100</v>
      </c>
      <c r="J1169" t="s">
        <v>2509</v>
      </c>
    </row>
    <row r="1170" spans="1:10" x14ac:dyDescent="0.25">
      <c r="A1170" t="s">
        <v>6495</v>
      </c>
      <c r="B1170" s="3">
        <v>46293</v>
      </c>
      <c r="C1170" t="s">
        <v>439</v>
      </c>
      <c r="D1170" t="s">
        <v>378</v>
      </c>
      <c r="E1170">
        <v>36</v>
      </c>
      <c r="F1170" t="s">
        <v>2</v>
      </c>
      <c r="G1170" t="s">
        <v>4231</v>
      </c>
      <c r="H1170" t="s">
        <v>6496</v>
      </c>
      <c r="I1170" t="s">
        <v>440</v>
      </c>
      <c r="J1170" t="s">
        <v>2500</v>
      </c>
    </row>
    <row r="1171" spans="1:10" x14ac:dyDescent="0.25">
      <c r="A1171" t="s">
        <v>6497</v>
      </c>
      <c r="B1171" s="3">
        <v>46293</v>
      </c>
      <c r="C1171" t="s">
        <v>658</v>
      </c>
      <c r="D1171" t="s">
        <v>597</v>
      </c>
      <c r="E1171">
        <v>6</v>
      </c>
      <c r="F1171" t="s">
        <v>355</v>
      </c>
      <c r="G1171" t="s">
        <v>4225</v>
      </c>
      <c r="H1171" t="s">
        <v>6338</v>
      </c>
      <c r="I1171" t="s">
        <v>113</v>
      </c>
      <c r="J1171" t="s">
        <v>2503</v>
      </c>
    </row>
    <row r="1172" spans="1:10" x14ac:dyDescent="0.25">
      <c r="A1172" t="s">
        <v>6498</v>
      </c>
      <c r="B1172" s="3">
        <v>46293</v>
      </c>
      <c r="C1172" t="s">
        <v>243</v>
      </c>
      <c r="D1172" t="s">
        <v>213</v>
      </c>
      <c r="E1172">
        <v>40</v>
      </c>
      <c r="F1172" t="s">
        <v>2</v>
      </c>
      <c r="G1172" t="s">
        <v>4231</v>
      </c>
      <c r="H1172" t="s">
        <v>6499</v>
      </c>
      <c r="I1172" t="s">
        <v>177</v>
      </c>
      <c r="J1172" t="s">
        <v>2503</v>
      </c>
    </row>
    <row r="1173" spans="1:10" x14ac:dyDescent="0.25">
      <c r="A1173" t="s">
        <v>6500</v>
      </c>
      <c r="B1173" s="3">
        <v>46293</v>
      </c>
      <c r="C1173" t="s">
        <v>244</v>
      </c>
      <c r="D1173" t="s">
        <v>234</v>
      </c>
      <c r="E1173">
        <v>29</v>
      </c>
      <c r="F1173" t="s">
        <v>2</v>
      </c>
      <c r="G1173" t="s">
        <v>4228</v>
      </c>
      <c r="H1173" t="s">
        <v>6501</v>
      </c>
      <c r="I1173" t="s">
        <v>30</v>
      </c>
      <c r="J1173" t="s">
        <v>2500</v>
      </c>
    </row>
    <row r="1174" spans="1:10" x14ac:dyDescent="0.25">
      <c r="A1174" t="s">
        <v>6502</v>
      </c>
      <c r="B1174" s="3">
        <v>46293</v>
      </c>
      <c r="C1174" t="s">
        <v>229</v>
      </c>
      <c r="D1174" t="s">
        <v>218</v>
      </c>
      <c r="E1174">
        <v>50</v>
      </c>
      <c r="F1174" t="s">
        <v>2</v>
      </c>
      <c r="G1174" t="s">
        <v>4234</v>
      </c>
      <c r="H1174" t="s">
        <v>6503</v>
      </c>
      <c r="I1174" t="s">
        <v>230</v>
      </c>
      <c r="J1174" t="s">
        <v>2513</v>
      </c>
    </row>
    <row r="1175" spans="1:10" x14ac:dyDescent="0.25">
      <c r="A1175" t="s">
        <v>6504</v>
      </c>
      <c r="B1175" s="3">
        <v>46293</v>
      </c>
      <c r="C1175" t="s">
        <v>237</v>
      </c>
      <c r="D1175" t="s">
        <v>234</v>
      </c>
      <c r="E1175">
        <v>23</v>
      </c>
      <c r="F1175" t="s">
        <v>2</v>
      </c>
      <c r="G1175" t="s">
        <v>4231</v>
      </c>
      <c r="H1175" t="s">
        <v>6505</v>
      </c>
      <c r="I1175" t="s">
        <v>193</v>
      </c>
      <c r="J1175" t="s">
        <v>2500</v>
      </c>
    </row>
    <row r="1176" spans="1:10" x14ac:dyDescent="0.25">
      <c r="A1176" t="s">
        <v>6506</v>
      </c>
      <c r="B1176" s="3">
        <v>46293</v>
      </c>
      <c r="C1176" t="s">
        <v>526</v>
      </c>
      <c r="D1176" t="s">
        <v>476</v>
      </c>
      <c r="E1176">
        <v>17</v>
      </c>
      <c r="F1176" t="s">
        <v>477</v>
      </c>
      <c r="G1176" t="s">
        <v>4228</v>
      </c>
      <c r="H1176" t="s">
        <v>6507</v>
      </c>
      <c r="I1176" t="s">
        <v>75</v>
      </c>
      <c r="J1176" t="s">
        <v>2503</v>
      </c>
    </row>
    <row r="1177" spans="1:10" x14ac:dyDescent="0.25">
      <c r="A1177" t="s">
        <v>6508</v>
      </c>
      <c r="B1177" s="3">
        <v>46293</v>
      </c>
      <c r="C1177" t="s">
        <v>200</v>
      </c>
      <c r="D1177" t="s">
        <v>66</v>
      </c>
      <c r="E1177">
        <v>6</v>
      </c>
      <c r="F1177" t="s">
        <v>2</v>
      </c>
      <c r="G1177" t="s">
        <v>4222</v>
      </c>
      <c r="H1177" t="s">
        <v>6509</v>
      </c>
      <c r="I1177" t="s">
        <v>201</v>
      </c>
      <c r="J1177" t="s">
        <v>2513</v>
      </c>
    </row>
    <row r="1178" spans="1:10" x14ac:dyDescent="0.25">
      <c r="A1178" t="s">
        <v>6510</v>
      </c>
      <c r="B1178" s="3">
        <v>46293</v>
      </c>
      <c r="C1178" t="s">
        <v>304</v>
      </c>
      <c r="D1178" t="s">
        <v>227</v>
      </c>
      <c r="E1178">
        <v>18</v>
      </c>
      <c r="F1178" t="s">
        <v>2</v>
      </c>
      <c r="G1178" t="s">
        <v>4222</v>
      </c>
      <c r="H1178" t="s">
        <v>6511</v>
      </c>
      <c r="I1178" t="s">
        <v>305</v>
      </c>
      <c r="J1178" t="s">
        <v>2509</v>
      </c>
    </row>
    <row r="1179" spans="1:10" x14ac:dyDescent="0.25">
      <c r="A1179" t="s">
        <v>6512</v>
      </c>
      <c r="B1179" s="3">
        <v>46293</v>
      </c>
      <c r="C1179" t="s">
        <v>167</v>
      </c>
      <c r="D1179" t="s">
        <v>26</v>
      </c>
      <c r="E1179">
        <v>18</v>
      </c>
      <c r="F1179" t="s">
        <v>2</v>
      </c>
      <c r="G1179" t="s">
        <v>4234</v>
      </c>
      <c r="H1179" t="s">
        <v>6513</v>
      </c>
      <c r="I1179" t="s">
        <v>64</v>
      </c>
      <c r="J1179" t="s">
        <v>2509</v>
      </c>
    </row>
    <row r="1180" spans="1:10" x14ac:dyDescent="0.25">
      <c r="A1180" t="s">
        <v>6514</v>
      </c>
      <c r="B1180" s="3">
        <v>46293</v>
      </c>
      <c r="C1180" t="s">
        <v>648</v>
      </c>
      <c r="D1180" t="s">
        <v>585</v>
      </c>
      <c r="E1180">
        <v>32</v>
      </c>
      <c r="F1180" t="s">
        <v>355</v>
      </c>
      <c r="G1180" t="s">
        <v>4228</v>
      </c>
      <c r="H1180" t="s">
        <v>6515</v>
      </c>
      <c r="I1180" t="s">
        <v>203</v>
      </c>
      <c r="J1180" t="s">
        <v>2513</v>
      </c>
    </row>
    <row r="1181" spans="1:10" x14ac:dyDescent="0.25">
      <c r="A1181" t="s">
        <v>6516</v>
      </c>
      <c r="B1181" s="3">
        <v>46293</v>
      </c>
      <c r="C1181" t="s">
        <v>138</v>
      </c>
      <c r="D1181" t="s">
        <v>44</v>
      </c>
      <c r="E1181">
        <v>15</v>
      </c>
      <c r="F1181" t="s">
        <v>2</v>
      </c>
      <c r="G1181" t="s">
        <v>4234</v>
      </c>
      <c r="H1181" t="s">
        <v>4516</v>
      </c>
      <c r="I1181" t="s">
        <v>98</v>
      </c>
      <c r="J1181" t="s">
        <v>2503</v>
      </c>
    </row>
    <row r="1182" spans="1:10" x14ac:dyDescent="0.25">
      <c r="A1182" t="s">
        <v>6517</v>
      </c>
      <c r="B1182" s="3">
        <v>46293</v>
      </c>
      <c r="C1182" t="s">
        <v>322</v>
      </c>
      <c r="D1182" t="s">
        <v>227</v>
      </c>
      <c r="E1182">
        <v>44</v>
      </c>
      <c r="F1182" t="s">
        <v>2</v>
      </c>
      <c r="G1182" t="s">
        <v>4225</v>
      </c>
      <c r="H1182" t="s">
        <v>6518</v>
      </c>
      <c r="I1182" t="s">
        <v>95</v>
      </c>
      <c r="J1182" t="s">
        <v>2503</v>
      </c>
    </row>
    <row r="1183" spans="1:10" x14ac:dyDescent="0.25">
      <c r="A1183" t="s">
        <v>6519</v>
      </c>
      <c r="B1183" s="3">
        <v>46293</v>
      </c>
      <c r="C1183" t="s">
        <v>396</v>
      </c>
      <c r="D1183" t="s">
        <v>357</v>
      </c>
      <c r="E1183">
        <v>25</v>
      </c>
      <c r="F1183" t="s">
        <v>358</v>
      </c>
      <c r="G1183" t="s">
        <v>4222</v>
      </c>
      <c r="H1183" t="s">
        <v>6520</v>
      </c>
      <c r="I1183" t="s">
        <v>397</v>
      </c>
      <c r="J1183" t="s">
        <v>2500</v>
      </c>
    </row>
    <row r="1184" spans="1:10" x14ac:dyDescent="0.25">
      <c r="A1184" t="s">
        <v>6521</v>
      </c>
      <c r="B1184" s="3">
        <v>46293</v>
      </c>
      <c r="C1184" t="s">
        <v>263</v>
      </c>
      <c r="D1184" t="s">
        <v>213</v>
      </c>
      <c r="E1184">
        <v>27</v>
      </c>
      <c r="F1184" t="s">
        <v>2</v>
      </c>
      <c r="G1184" t="s">
        <v>4222</v>
      </c>
      <c r="H1184" t="s">
        <v>6522</v>
      </c>
      <c r="I1184" t="s">
        <v>175</v>
      </c>
      <c r="J1184" t="s">
        <v>2500</v>
      </c>
    </row>
    <row r="1185" spans="1:10" x14ac:dyDescent="0.25">
      <c r="A1185" t="s">
        <v>6523</v>
      </c>
      <c r="B1185" s="3">
        <v>46293</v>
      </c>
      <c r="C1185" t="s">
        <v>675</v>
      </c>
      <c r="D1185" t="s">
        <v>594</v>
      </c>
      <c r="E1185">
        <v>11</v>
      </c>
      <c r="F1185" t="s">
        <v>595</v>
      </c>
      <c r="G1185" t="s">
        <v>4234</v>
      </c>
      <c r="H1185" t="s">
        <v>6524</v>
      </c>
      <c r="I1185" t="s">
        <v>361</v>
      </c>
      <c r="J1185" t="s">
        <v>2513</v>
      </c>
    </row>
    <row r="1186" spans="1:10" x14ac:dyDescent="0.25">
      <c r="A1186" t="s">
        <v>6525</v>
      </c>
      <c r="B1186" s="3">
        <v>46293</v>
      </c>
      <c r="C1186" t="s">
        <v>290</v>
      </c>
      <c r="D1186" t="s">
        <v>210</v>
      </c>
      <c r="E1186">
        <v>37</v>
      </c>
      <c r="F1186" t="s">
        <v>2</v>
      </c>
      <c r="G1186" t="s">
        <v>4225</v>
      </c>
      <c r="H1186" t="s">
        <v>6526</v>
      </c>
      <c r="I1186" t="s">
        <v>124</v>
      </c>
      <c r="J1186" t="s">
        <v>2500</v>
      </c>
    </row>
    <row r="1187" spans="1:10" x14ac:dyDescent="0.25">
      <c r="A1187" t="s">
        <v>6527</v>
      </c>
      <c r="B1187" s="3">
        <v>46293</v>
      </c>
      <c r="C1187" t="s">
        <v>20</v>
      </c>
      <c r="D1187" t="s">
        <v>21</v>
      </c>
      <c r="E1187">
        <v>5</v>
      </c>
      <c r="F1187" t="s">
        <v>2</v>
      </c>
      <c r="G1187" t="s">
        <v>4225</v>
      </c>
      <c r="H1187" t="s">
        <v>6528</v>
      </c>
      <c r="I1187" t="s">
        <v>24</v>
      </c>
      <c r="J1187" t="s">
        <v>2513</v>
      </c>
    </row>
    <row r="1188" spans="1:10" x14ac:dyDescent="0.25">
      <c r="A1188" t="s">
        <v>6529</v>
      </c>
      <c r="B1188" s="3">
        <v>46293</v>
      </c>
      <c r="C1188" t="s">
        <v>559</v>
      </c>
      <c r="D1188" t="s">
        <v>502</v>
      </c>
      <c r="E1188">
        <v>19</v>
      </c>
      <c r="F1188" t="s">
        <v>469</v>
      </c>
      <c r="G1188" t="s">
        <v>4225</v>
      </c>
      <c r="H1188" t="s">
        <v>6530</v>
      </c>
      <c r="I1188" t="s">
        <v>324</v>
      </c>
      <c r="J1188" t="s">
        <v>2513</v>
      </c>
    </row>
    <row r="1189" spans="1:10" x14ac:dyDescent="0.25">
      <c r="A1189" t="s">
        <v>6531</v>
      </c>
      <c r="B1189" s="3">
        <v>46293</v>
      </c>
      <c r="C1189" t="s">
        <v>303</v>
      </c>
      <c r="D1189" t="s">
        <v>261</v>
      </c>
      <c r="E1189">
        <v>24</v>
      </c>
      <c r="F1189" t="s">
        <v>2</v>
      </c>
      <c r="G1189" t="s">
        <v>4234</v>
      </c>
      <c r="H1189" t="s">
        <v>6532</v>
      </c>
      <c r="I1189" t="s">
        <v>67</v>
      </c>
      <c r="J1189" t="s">
        <v>2509</v>
      </c>
    </row>
    <row r="1190" spans="1:10" x14ac:dyDescent="0.25">
      <c r="A1190" t="s">
        <v>6533</v>
      </c>
      <c r="B1190" s="3">
        <v>46293</v>
      </c>
      <c r="C1190" t="s">
        <v>377</v>
      </c>
      <c r="D1190" t="s">
        <v>378</v>
      </c>
      <c r="E1190">
        <v>38</v>
      </c>
      <c r="F1190" t="s">
        <v>2</v>
      </c>
      <c r="G1190" t="s">
        <v>4222</v>
      </c>
      <c r="H1190" t="s">
        <v>6534</v>
      </c>
      <c r="I1190" t="s">
        <v>50</v>
      </c>
      <c r="J1190" t="s">
        <v>2513</v>
      </c>
    </row>
    <row r="1191" spans="1:10" x14ac:dyDescent="0.25">
      <c r="A1191" t="s">
        <v>6535</v>
      </c>
      <c r="B1191" s="3">
        <v>46293</v>
      </c>
      <c r="C1191" t="s">
        <v>605</v>
      </c>
      <c r="D1191" t="s">
        <v>589</v>
      </c>
      <c r="E1191">
        <v>7</v>
      </c>
      <c r="F1191" t="s">
        <v>469</v>
      </c>
      <c r="G1191" t="s">
        <v>4234</v>
      </c>
      <c r="H1191" t="s">
        <v>6536</v>
      </c>
      <c r="I1191" t="s">
        <v>117</v>
      </c>
      <c r="J1191" t="s">
        <v>2503</v>
      </c>
    </row>
    <row r="1192" spans="1:10" x14ac:dyDescent="0.25">
      <c r="A1192" t="s">
        <v>6537</v>
      </c>
      <c r="B1192" s="3">
        <v>46293</v>
      </c>
      <c r="C1192" t="s">
        <v>540</v>
      </c>
      <c r="D1192" t="s">
        <v>476</v>
      </c>
      <c r="E1192">
        <v>39</v>
      </c>
      <c r="F1192" t="s">
        <v>477</v>
      </c>
      <c r="G1192" t="s">
        <v>4228</v>
      </c>
      <c r="H1192" t="s">
        <v>6048</v>
      </c>
      <c r="I1192" t="s">
        <v>324</v>
      </c>
      <c r="J1192" t="s">
        <v>2500</v>
      </c>
    </row>
    <row r="1193" spans="1:10" x14ac:dyDescent="0.25">
      <c r="A1193" t="s">
        <v>6538</v>
      </c>
      <c r="B1193" s="3">
        <v>46293</v>
      </c>
      <c r="C1193" t="s">
        <v>578</v>
      </c>
      <c r="D1193" t="s">
        <v>502</v>
      </c>
      <c r="E1193">
        <v>26</v>
      </c>
      <c r="F1193" t="s">
        <v>469</v>
      </c>
      <c r="G1193" t="s">
        <v>4231</v>
      </c>
      <c r="H1193" t="s">
        <v>6539</v>
      </c>
      <c r="I1193" t="s">
        <v>42</v>
      </c>
      <c r="J1193" t="s">
        <v>2509</v>
      </c>
    </row>
    <row r="1194" spans="1:10" x14ac:dyDescent="0.25">
      <c r="A1194" t="s">
        <v>6540</v>
      </c>
      <c r="B1194" s="3">
        <v>46293</v>
      </c>
      <c r="C1194" t="s">
        <v>550</v>
      </c>
      <c r="D1194" t="s">
        <v>481</v>
      </c>
      <c r="E1194">
        <v>3</v>
      </c>
      <c r="F1194" t="s">
        <v>2</v>
      </c>
      <c r="G1194" t="s">
        <v>4231</v>
      </c>
      <c r="H1194" t="s">
        <v>6541</v>
      </c>
      <c r="I1194" t="s">
        <v>59</v>
      </c>
      <c r="J1194" t="s">
        <v>2503</v>
      </c>
    </row>
    <row r="1195" spans="1:10" x14ac:dyDescent="0.25">
      <c r="A1195" t="s">
        <v>6542</v>
      </c>
      <c r="B1195" s="3">
        <v>46293</v>
      </c>
      <c r="C1195" t="s">
        <v>271</v>
      </c>
      <c r="D1195" t="s">
        <v>225</v>
      </c>
      <c r="E1195">
        <v>36</v>
      </c>
      <c r="F1195" t="s">
        <v>2</v>
      </c>
      <c r="G1195" t="s">
        <v>4225</v>
      </c>
      <c r="H1195" t="s">
        <v>6543</v>
      </c>
      <c r="I1195" t="s">
        <v>147</v>
      </c>
      <c r="J1195" t="s">
        <v>2500</v>
      </c>
    </row>
    <row r="1196" spans="1:10" x14ac:dyDescent="0.25">
      <c r="A1196" t="s">
        <v>6544</v>
      </c>
      <c r="B1196" s="3">
        <v>46293</v>
      </c>
      <c r="C1196" t="s">
        <v>159</v>
      </c>
      <c r="D1196" t="s">
        <v>29</v>
      </c>
      <c r="E1196">
        <v>54</v>
      </c>
      <c r="F1196" t="s">
        <v>2</v>
      </c>
      <c r="G1196" t="s">
        <v>4222</v>
      </c>
      <c r="H1196" t="s">
        <v>6545</v>
      </c>
      <c r="I1196" t="s">
        <v>73</v>
      </c>
      <c r="J1196" t="s">
        <v>2503</v>
      </c>
    </row>
    <row r="1197" spans="1:10" x14ac:dyDescent="0.25">
      <c r="A1197" t="s">
        <v>6546</v>
      </c>
      <c r="B1197" s="3">
        <v>46293</v>
      </c>
      <c r="C1197" t="s">
        <v>453</v>
      </c>
      <c r="D1197" t="s">
        <v>354</v>
      </c>
      <c r="E1197">
        <v>27</v>
      </c>
      <c r="F1197" t="s">
        <v>355</v>
      </c>
      <c r="G1197" t="s">
        <v>4222</v>
      </c>
      <c r="H1197" t="s">
        <v>6547</v>
      </c>
      <c r="I1197" t="s">
        <v>124</v>
      </c>
      <c r="J1197" t="s">
        <v>2509</v>
      </c>
    </row>
    <row r="1198" spans="1:10" x14ac:dyDescent="0.25">
      <c r="A1198" t="s">
        <v>6548</v>
      </c>
      <c r="B1198" s="3">
        <v>46293</v>
      </c>
      <c r="C1198" t="s">
        <v>231</v>
      </c>
      <c r="D1198" t="s">
        <v>227</v>
      </c>
      <c r="E1198">
        <v>17</v>
      </c>
      <c r="F1198" t="s">
        <v>2</v>
      </c>
      <c r="G1198" t="s">
        <v>4228</v>
      </c>
      <c r="H1198" t="s">
        <v>6549</v>
      </c>
      <c r="I1198" t="s">
        <v>30</v>
      </c>
      <c r="J1198" t="s">
        <v>2500</v>
      </c>
    </row>
    <row r="1199" spans="1:10" x14ac:dyDescent="0.25">
      <c r="A1199" t="s">
        <v>6550</v>
      </c>
      <c r="B1199" s="3">
        <v>46293</v>
      </c>
      <c r="C1199" t="s">
        <v>254</v>
      </c>
      <c r="D1199" t="s">
        <v>213</v>
      </c>
      <c r="E1199">
        <v>22</v>
      </c>
      <c r="F1199" t="s">
        <v>2</v>
      </c>
      <c r="G1199" t="s">
        <v>4228</v>
      </c>
      <c r="H1199" t="s">
        <v>6551</v>
      </c>
      <c r="I1199" t="s">
        <v>59</v>
      </c>
      <c r="J1199" t="s">
        <v>2503</v>
      </c>
    </row>
    <row r="1200" spans="1:10" x14ac:dyDescent="0.25">
      <c r="A1200" t="s">
        <v>6552</v>
      </c>
      <c r="B1200" s="3">
        <v>46293</v>
      </c>
      <c r="C1200" t="s">
        <v>325</v>
      </c>
      <c r="D1200" t="s">
        <v>227</v>
      </c>
      <c r="E1200">
        <v>6</v>
      </c>
      <c r="F1200" t="s">
        <v>2</v>
      </c>
      <c r="G1200" t="s">
        <v>4231</v>
      </c>
      <c r="H1200" t="s">
        <v>6553</v>
      </c>
      <c r="I1200" t="s">
        <v>34</v>
      </c>
      <c r="J1200" t="s">
        <v>2513</v>
      </c>
    </row>
    <row r="1201" spans="1:10" x14ac:dyDescent="0.25">
      <c r="A1201" t="s">
        <v>6554</v>
      </c>
      <c r="B1201" s="3">
        <v>46293</v>
      </c>
      <c r="C1201" t="s">
        <v>321</v>
      </c>
      <c r="D1201" t="s">
        <v>234</v>
      </c>
      <c r="E1201">
        <v>3</v>
      </c>
      <c r="F1201" t="s">
        <v>2</v>
      </c>
      <c r="G1201" t="s">
        <v>4225</v>
      </c>
      <c r="H1201" t="s">
        <v>6555</v>
      </c>
      <c r="I1201" t="s">
        <v>230</v>
      </c>
      <c r="J1201" t="s">
        <v>2513</v>
      </c>
    </row>
    <row r="1202" spans="1:10" x14ac:dyDescent="0.25">
      <c r="A1202" t="s">
        <v>6556</v>
      </c>
      <c r="B1202" s="3">
        <v>46293</v>
      </c>
      <c r="C1202" t="s">
        <v>482</v>
      </c>
      <c r="D1202" t="s">
        <v>467</v>
      </c>
      <c r="E1202">
        <v>21</v>
      </c>
      <c r="F1202" t="s">
        <v>469</v>
      </c>
      <c r="G1202" t="s">
        <v>4234</v>
      </c>
      <c r="H1202" t="s">
        <v>6557</v>
      </c>
      <c r="I1202" t="s">
        <v>77</v>
      </c>
      <c r="J1202" t="s">
        <v>2513</v>
      </c>
    </row>
    <row r="1203" spans="1:10" x14ac:dyDescent="0.25">
      <c r="A1203" t="s">
        <v>6558</v>
      </c>
      <c r="B1203" s="3">
        <v>46293</v>
      </c>
      <c r="C1203" t="s">
        <v>564</v>
      </c>
      <c r="D1203" t="s">
        <v>481</v>
      </c>
      <c r="E1203">
        <v>16</v>
      </c>
      <c r="F1203" t="s">
        <v>2</v>
      </c>
      <c r="G1203" t="s">
        <v>4231</v>
      </c>
      <c r="H1203" t="s">
        <v>6174</v>
      </c>
      <c r="I1203" t="s">
        <v>164</v>
      </c>
      <c r="J1203" t="s">
        <v>2513</v>
      </c>
    </row>
    <row r="1204" spans="1:10" x14ac:dyDescent="0.25">
      <c r="A1204" t="s">
        <v>6559</v>
      </c>
      <c r="B1204" s="3">
        <v>46293</v>
      </c>
      <c r="C1204" t="s">
        <v>186</v>
      </c>
      <c r="D1204" t="s">
        <v>26</v>
      </c>
      <c r="E1204">
        <v>55</v>
      </c>
      <c r="F1204" t="s">
        <v>2</v>
      </c>
      <c r="G1204" t="s">
        <v>4234</v>
      </c>
      <c r="H1204" t="s">
        <v>5429</v>
      </c>
      <c r="I1204" t="s">
        <v>52</v>
      </c>
      <c r="J1204" t="s">
        <v>2513</v>
      </c>
    </row>
    <row r="1205" spans="1:10" x14ac:dyDescent="0.25">
      <c r="A1205" t="s">
        <v>6560</v>
      </c>
      <c r="B1205" s="3">
        <v>46293</v>
      </c>
      <c r="C1205" t="s">
        <v>404</v>
      </c>
      <c r="D1205" t="s">
        <v>357</v>
      </c>
      <c r="E1205">
        <v>25</v>
      </c>
      <c r="F1205" t="s">
        <v>358</v>
      </c>
      <c r="G1205" t="s">
        <v>4228</v>
      </c>
      <c r="H1205" t="s">
        <v>6561</v>
      </c>
      <c r="I1205" t="s">
        <v>149</v>
      </c>
      <c r="J1205" t="s">
        <v>2513</v>
      </c>
    </row>
    <row r="1206" spans="1:10" x14ac:dyDescent="0.25">
      <c r="A1206" t="s">
        <v>6562</v>
      </c>
      <c r="B1206" s="3">
        <v>46293</v>
      </c>
      <c r="C1206" t="s">
        <v>202</v>
      </c>
      <c r="D1206" t="s">
        <v>54</v>
      </c>
      <c r="E1206">
        <v>45</v>
      </c>
      <c r="F1206" t="s">
        <v>2</v>
      </c>
      <c r="G1206" t="s">
        <v>4234</v>
      </c>
      <c r="H1206" t="s">
        <v>6563</v>
      </c>
      <c r="I1206" t="s">
        <v>203</v>
      </c>
      <c r="J1206" t="s">
        <v>2513</v>
      </c>
    </row>
    <row r="1207" spans="1:10" x14ac:dyDescent="0.25">
      <c r="A1207" t="s">
        <v>6564</v>
      </c>
      <c r="B1207" s="3">
        <v>46293</v>
      </c>
      <c r="C1207" t="s">
        <v>190</v>
      </c>
      <c r="D1207" t="s">
        <v>29</v>
      </c>
      <c r="E1207">
        <v>35</v>
      </c>
      <c r="F1207" t="s">
        <v>2</v>
      </c>
      <c r="G1207" t="s">
        <v>4225</v>
      </c>
      <c r="H1207" t="s">
        <v>6565</v>
      </c>
      <c r="I1207" t="s">
        <v>77</v>
      </c>
      <c r="J1207" t="s">
        <v>2509</v>
      </c>
    </row>
    <row r="1208" spans="1:10" x14ac:dyDescent="0.25">
      <c r="A1208" t="s">
        <v>6566</v>
      </c>
      <c r="B1208" s="3">
        <v>46293</v>
      </c>
      <c r="C1208" t="s">
        <v>453</v>
      </c>
      <c r="D1208" t="s">
        <v>354</v>
      </c>
      <c r="E1208">
        <v>40</v>
      </c>
      <c r="F1208" t="s">
        <v>355</v>
      </c>
      <c r="G1208" t="s">
        <v>4234</v>
      </c>
      <c r="H1208" t="s">
        <v>6567</v>
      </c>
      <c r="I1208" t="s">
        <v>124</v>
      </c>
      <c r="J1208" t="s">
        <v>2509</v>
      </c>
    </row>
    <row r="1209" spans="1:10" x14ac:dyDescent="0.25">
      <c r="A1209" t="s">
        <v>6568</v>
      </c>
      <c r="B1209" s="3">
        <v>46293</v>
      </c>
      <c r="C1209" t="s">
        <v>356</v>
      </c>
      <c r="D1209" t="s">
        <v>357</v>
      </c>
      <c r="E1209">
        <v>25</v>
      </c>
      <c r="F1209" t="s">
        <v>358</v>
      </c>
      <c r="G1209" t="s">
        <v>4222</v>
      </c>
      <c r="H1209" t="s">
        <v>6569</v>
      </c>
      <c r="I1209" t="s">
        <v>189</v>
      </c>
      <c r="J1209" t="s">
        <v>2500</v>
      </c>
    </row>
    <row r="1210" spans="1:10" x14ac:dyDescent="0.25">
      <c r="A1210" t="s">
        <v>6570</v>
      </c>
      <c r="B1210" s="3">
        <v>46293</v>
      </c>
      <c r="C1210" t="s">
        <v>539</v>
      </c>
      <c r="D1210" t="s">
        <v>479</v>
      </c>
      <c r="E1210">
        <v>23</v>
      </c>
      <c r="F1210" t="s">
        <v>469</v>
      </c>
      <c r="G1210" t="s">
        <v>4228</v>
      </c>
      <c r="H1210" t="s">
        <v>6571</v>
      </c>
      <c r="I1210" t="s">
        <v>327</v>
      </c>
      <c r="J1210" t="s">
        <v>2503</v>
      </c>
    </row>
    <row r="1211" spans="1:10" x14ac:dyDescent="0.25">
      <c r="A1211" t="s">
        <v>6572</v>
      </c>
      <c r="B1211" s="3">
        <v>46294</v>
      </c>
      <c r="C1211" t="s">
        <v>396</v>
      </c>
      <c r="D1211" t="s">
        <v>357</v>
      </c>
      <c r="E1211">
        <v>9</v>
      </c>
      <c r="F1211" t="s">
        <v>358</v>
      </c>
      <c r="G1211" t="s">
        <v>4231</v>
      </c>
      <c r="H1211" t="s">
        <v>6573</v>
      </c>
      <c r="I1211" t="s">
        <v>397</v>
      </c>
      <c r="J1211" t="s">
        <v>2509</v>
      </c>
    </row>
    <row r="1212" spans="1:10" x14ac:dyDescent="0.25">
      <c r="A1212" t="s">
        <v>6574</v>
      </c>
      <c r="B1212" s="3">
        <v>46294</v>
      </c>
      <c r="C1212" t="s">
        <v>671</v>
      </c>
      <c r="D1212" t="s">
        <v>629</v>
      </c>
      <c r="E1212">
        <v>30</v>
      </c>
      <c r="F1212" t="s">
        <v>355</v>
      </c>
      <c r="G1212" t="s">
        <v>4225</v>
      </c>
      <c r="H1212" t="s">
        <v>6575</v>
      </c>
      <c r="I1212" t="s">
        <v>89</v>
      </c>
      <c r="J1212" t="s">
        <v>2509</v>
      </c>
    </row>
    <row r="1213" spans="1:10" x14ac:dyDescent="0.25">
      <c r="A1213" t="s">
        <v>6576</v>
      </c>
      <c r="B1213" s="3">
        <v>46294</v>
      </c>
      <c r="C1213" t="s">
        <v>267</v>
      </c>
      <c r="D1213" t="s">
        <v>227</v>
      </c>
      <c r="E1213">
        <v>3</v>
      </c>
      <c r="F1213" t="s">
        <v>2</v>
      </c>
      <c r="G1213" t="s">
        <v>4231</v>
      </c>
      <c r="H1213" t="s">
        <v>6577</v>
      </c>
      <c r="I1213" t="s">
        <v>183</v>
      </c>
      <c r="J1213" t="s">
        <v>2500</v>
      </c>
    </row>
    <row r="1214" spans="1:10" x14ac:dyDescent="0.25">
      <c r="A1214" t="s">
        <v>6578</v>
      </c>
      <c r="B1214" s="3">
        <v>46294</v>
      </c>
      <c r="C1214" t="s">
        <v>533</v>
      </c>
      <c r="D1214" t="s">
        <v>474</v>
      </c>
      <c r="E1214">
        <v>52</v>
      </c>
      <c r="F1214" t="s">
        <v>2</v>
      </c>
      <c r="G1214" t="s">
        <v>4222</v>
      </c>
      <c r="H1214" t="s">
        <v>6579</v>
      </c>
      <c r="I1214" t="s">
        <v>59</v>
      </c>
      <c r="J1214" t="s">
        <v>2509</v>
      </c>
    </row>
    <row r="1215" spans="1:10" x14ac:dyDescent="0.25">
      <c r="A1215" t="s">
        <v>6580</v>
      </c>
      <c r="B1215" s="3">
        <v>46294</v>
      </c>
      <c r="C1215" t="s">
        <v>624</v>
      </c>
      <c r="D1215" t="s">
        <v>602</v>
      </c>
      <c r="E1215">
        <v>12</v>
      </c>
      <c r="F1215" t="s">
        <v>2</v>
      </c>
      <c r="G1215" t="s">
        <v>4222</v>
      </c>
      <c r="H1215" t="s">
        <v>4855</v>
      </c>
      <c r="I1215" t="s">
        <v>181</v>
      </c>
      <c r="J1215" t="s">
        <v>2500</v>
      </c>
    </row>
    <row r="1216" spans="1:10" x14ac:dyDescent="0.25">
      <c r="A1216" t="s">
        <v>6581</v>
      </c>
      <c r="B1216" s="3">
        <v>46294</v>
      </c>
      <c r="C1216" t="s">
        <v>347</v>
      </c>
      <c r="D1216" t="s">
        <v>344</v>
      </c>
      <c r="E1216">
        <v>15</v>
      </c>
      <c r="F1216" t="s">
        <v>346</v>
      </c>
      <c r="G1216" t="s">
        <v>4234</v>
      </c>
      <c r="H1216" t="s">
        <v>6582</v>
      </c>
      <c r="I1216" t="s">
        <v>185</v>
      </c>
      <c r="J1216" t="s">
        <v>2503</v>
      </c>
    </row>
    <row r="1217" spans="1:10" x14ac:dyDescent="0.25">
      <c r="A1217" t="s">
        <v>6583</v>
      </c>
      <c r="B1217" s="3">
        <v>46294</v>
      </c>
      <c r="C1217" t="s">
        <v>475</v>
      </c>
      <c r="D1217" t="s">
        <v>476</v>
      </c>
      <c r="E1217">
        <v>36</v>
      </c>
      <c r="F1217" t="s">
        <v>477</v>
      </c>
      <c r="G1217" t="s">
        <v>4231</v>
      </c>
      <c r="H1217" t="s">
        <v>6584</v>
      </c>
      <c r="I1217" t="s">
        <v>129</v>
      </c>
      <c r="J1217" t="s">
        <v>2500</v>
      </c>
    </row>
    <row r="1218" spans="1:10" x14ac:dyDescent="0.25">
      <c r="A1218" t="s">
        <v>6585</v>
      </c>
      <c r="B1218" s="3">
        <v>46294</v>
      </c>
      <c r="C1218" t="s">
        <v>14</v>
      </c>
      <c r="D1218" t="s">
        <v>15</v>
      </c>
      <c r="E1218">
        <v>35</v>
      </c>
      <c r="F1218" t="s">
        <v>2</v>
      </c>
      <c r="G1218" t="s">
        <v>4228</v>
      </c>
      <c r="H1218" t="s">
        <v>6586</v>
      </c>
      <c r="I1218" t="s">
        <v>19</v>
      </c>
      <c r="J1218" t="s">
        <v>2509</v>
      </c>
    </row>
    <row r="1219" spans="1:10" x14ac:dyDescent="0.25">
      <c r="A1219" t="s">
        <v>6587</v>
      </c>
      <c r="B1219" s="3">
        <v>46294</v>
      </c>
      <c r="C1219" t="s">
        <v>317</v>
      </c>
      <c r="D1219" t="s">
        <v>225</v>
      </c>
      <c r="E1219">
        <v>10</v>
      </c>
      <c r="F1219" t="s">
        <v>2</v>
      </c>
      <c r="G1219" t="s">
        <v>4225</v>
      </c>
      <c r="H1219" t="s">
        <v>6588</v>
      </c>
      <c r="I1219" t="s">
        <v>83</v>
      </c>
      <c r="J1219" t="s">
        <v>2513</v>
      </c>
    </row>
    <row r="1220" spans="1:10" x14ac:dyDescent="0.25">
      <c r="A1220" t="s">
        <v>6589</v>
      </c>
      <c r="B1220" s="3">
        <v>46294</v>
      </c>
      <c r="C1220" t="s">
        <v>588</v>
      </c>
      <c r="D1220" t="s">
        <v>589</v>
      </c>
      <c r="E1220">
        <v>45</v>
      </c>
      <c r="F1220" t="s">
        <v>469</v>
      </c>
      <c r="G1220" t="s">
        <v>4228</v>
      </c>
      <c r="H1220" t="s">
        <v>6590</v>
      </c>
      <c r="I1220" t="s">
        <v>19</v>
      </c>
      <c r="J1220" t="s">
        <v>2500</v>
      </c>
    </row>
    <row r="1221" spans="1:10" x14ac:dyDescent="0.25">
      <c r="A1221" t="s">
        <v>6591</v>
      </c>
      <c r="B1221" s="3">
        <v>46294</v>
      </c>
      <c r="C1221" t="s">
        <v>678</v>
      </c>
      <c r="D1221" t="s">
        <v>612</v>
      </c>
      <c r="E1221">
        <v>4</v>
      </c>
      <c r="F1221" t="s">
        <v>2</v>
      </c>
      <c r="G1221" t="s">
        <v>4231</v>
      </c>
      <c r="H1221" t="s">
        <v>6592</v>
      </c>
      <c r="I1221" t="s">
        <v>242</v>
      </c>
      <c r="J1221" t="s">
        <v>2513</v>
      </c>
    </row>
    <row r="1222" spans="1:10" x14ac:dyDescent="0.25">
      <c r="A1222" t="s">
        <v>6593</v>
      </c>
      <c r="B1222" s="3">
        <v>46294</v>
      </c>
      <c r="C1222" t="s">
        <v>613</v>
      </c>
      <c r="D1222" t="s">
        <v>597</v>
      </c>
      <c r="E1222">
        <v>17</v>
      </c>
      <c r="F1222" t="s">
        <v>355</v>
      </c>
      <c r="G1222" t="s">
        <v>4225</v>
      </c>
      <c r="H1222" t="s">
        <v>6594</v>
      </c>
      <c r="I1222" t="s">
        <v>221</v>
      </c>
      <c r="J1222" t="s">
        <v>2509</v>
      </c>
    </row>
    <row r="1223" spans="1:10" x14ac:dyDescent="0.25">
      <c r="A1223" t="s">
        <v>6595</v>
      </c>
      <c r="B1223" s="3">
        <v>46294</v>
      </c>
      <c r="C1223" t="s">
        <v>545</v>
      </c>
      <c r="D1223" t="s">
        <v>502</v>
      </c>
      <c r="E1223">
        <v>44</v>
      </c>
      <c r="F1223" t="s">
        <v>469</v>
      </c>
      <c r="G1223" t="s">
        <v>4228</v>
      </c>
      <c r="H1223" t="s">
        <v>6596</v>
      </c>
      <c r="I1223" t="s">
        <v>183</v>
      </c>
      <c r="J1223" t="s">
        <v>2513</v>
      </c>
    </row>
    <row r="1224" spans="1:10" x14ac:dyDescent="0.25">
      <c r="A1224" t="s">
        <v>6597</v>
      </c>
      <c r="B1224" s="3">
        <v>46294</v>
      </c>
      <c r="C1224" t="s">
        <v>684</v>
      </c>
      <c r="D1224" t="s">
        <v>602</v>
      </c>
      <c r="E1224">
        <v>22</v>
      </c>
      <c r="F1224" t="s">
        <v>2</v>
      </c>
      <c r="G1224" t="s">
        <v>4234</v>
      </c>
      <c r="H1224" t="s">
        <v>6598</v>
      </c>
      <c r="I1224" t="s">
        <v>142</v>
      </c>
      <c r="J1224" t="s">
        <v>2513</v>
      </c>
    </row>
    <row r="1225" spans="1:10" x14ac:dyDescent="0.25">
      <c r="A1225" t="s">
        <v>6599</v>
      </c>
      <c r="B1225" s="3">
        <v>46294</v>
      </c>
      <c r="C1225" t="s">
        <v>489</v>
      </c>
      <c r="D1225" t="s">
        <v>490</v>
      </c>
      <c r="E1225">
        <v>52</v>
      </c>
      <c r="F1225" t="s">
        <v>355</v>
      </c>
      <c r="G1225" t="s">
        <v>4222</v>
      </c>
      <c r="H1225" t="s">
        <v>6600</v>
      </c>
      <c r="I1225" t="s">
        <v>183</v>
      </c>
      <c r="J1225" t="s">
        <v>2503</v>
      </c>
    </row>
    <row r="1226" spans="1:10" x14ac:dyDescent="0.25">
      <c r="A1226" t="s">
        <v>6601</v>
      </c>
      <c r="B1226" s="3">
        <v>46294</v>
      </c>
      <c r="C1226" t="s">
        <v>485</v>
      </c>
      <c r="D1226" t="s">
        <v>474</v>
      </c>
      <c r="E1226">
        <v>33</v>
      </c>
      <c r="F1226" t="s">
        <v>2</v>
      </c>
      <c r="G1226" t="s">
        <v>4228</v>
      </c>
      <c r="H1226" t="s">
        <v>6602</v>
      </c>
      <c r="I1226" t="s">
        <v>171</v>
      </c>
      <c r="J1226" t="s">
        <v>2503</v>
      </c>
    </row>
    <row r="1227" spans="1:10" x14ac:dyDescent="0.25">
      <c r="A1227" t="s">
        <v>6603</v>
      </c>
      <c r="B1227" s="3">
        <v>46294</v>
      </c>
      <c r="C1227" t="s">
        <v>269</v>
      </c>
      <c r="D1227" t="s">
        <v>210</v>
      </c>
      <c r="E1227">
        <v>44</v>
      </c>
      <c r="F1227" t="s">
        <v>2</v>
      </c>
      <c r="G1227" t="s">
        <v>4234</v>
      </c>
      <c r="H1227" t="s">
        <v>6604</v>
      </c>
      <c r="I1227" t="s">
        <v>117</v>
      </c>
      <c r="J1227" t="s">
        <v>2509</v>
      </c>
    </row>
    <row r="1228" spans="1:10" x14ac:dyDescent="0.25">
      <c r="A1228" t="s">
        <v>6605</v>
      </c>
      <c r="B1228" s="3">
        <v>46294</v>
      </c>
      <c r="C1228" t="s">
        <v>153</v>
      </c>
      <c r="D1228" t="s">
        <v>26</v>
      </c>
      <c r="E1228">
        <v>12</v>
      </c>
      <c r="F1228" t="s">
        <v>2</v>
      </c>
      <c r="G1228" t="s">
        <v>4228</v>
      </c>
      <c r="H1228" t="s">
        <v>4732</v>
      </c>
      <c r="I1228" t="s">
        <v>93</v>
      </c>
      <c r="J1228" t="s">
        <v>2503</v>
      </c>
    </row>
    <row r="1229" spans="1:10" x14ac:dyDescent="0.25">
      <c r="A1229" t="s">
        <v>6606</v>
      </c>
      <c r="B1229" s="3">
        <v>46294</v>
      </c>
      <c r="C1229" t="s">
        <v>457</v>
      </c>
      <c r="D1229" t="s">
        <v>349</v>
      </c>
      <c r="E1229">
        <v>51</v>
      </c>
      <c r="F1229" t="s">
        <v>2</v>
      </c>
      <c r="G1229" t="s">
        <v>4228</v>
      </c>
      <c r="H1229" t="s">
        <v>6607</v>
      </c>
      <c r="I1229" t="s">
        <v>175</v>
      </c>
      <c r="J1229" t="s">
        <v>2513</v>
      </c>
    </row>
    <row r="1230" spans="1:10" x14ac:dyDescent="0.25">
      <c r="A1230" t="s">
        <v>6608</v>
      </c>
      <c r="B1230" s="3">
        <v>46294</v>
      </c>
      <c r="C1230" t="s">
        <v>424</v>
      </c>
      <c r="D1230" t="s">
        <v>349</v>
      </c>
      <c r="E1230">
        <v>28</v>
      </c>
      <c r="F1230" t="s">
        <v>2</v>
      </c>
      <c r="G1230" t="s">
        <v>4225</v>
      </c>
      <c r="H1230" t="s">
        <v>5477</v>
      </c>
      <c r="I1230" t="s">
        <v>152</v>
      </c>
      <c r="J1230" t="s">
        <v>2503</v>
      </c>
    </row>
    <row r="1231" spans="1:10" x14ac:dyDescent="0.25">
      <c r="A1231" t="s">
        <v>6609</v>
      </c>
      <c r="B1231" s="3">
        <v>46294</v>
      </c>
      <c r="C1231" t="s">
        <v>157</v>
      </c>
      <c r="D1231" t="s">
        <v>44</v>
      </c>
      <c r="E1231">
        <v>42</v>
      </c>
      <c r="F1231" t="s">
        <v>2</v>
      </c>
      <c r="G1231" t="s">
        <v>4225</v>
      </c>
      <c r="H1231" t="s">
        <v>6610</v>
      </c>
      <c r="I1231" t="s">
        <v>158</v>
      </c>
      <c r="J1231" t="s">
        <v>2509</v>
      </c>
    </row>
    <row r="1232" spans="1:10" x14ac:dyDescent="0.25">
      <c r="A1232" t="s">
        <v>6611</v>
      </c>
      <c r="B1232" s="3">
        <v>46294</v>
      </c>
      <c r="C1232" t="s">
        <v>94</v>
      </c>
      <c r="D1232" t="s">
        <v>15</v>
      </c>
      <c r="E1232">
        <v>53</v>
      </c>
      <c r="F1232" t="s">
        <v>2</v>
      </c>
      <c r="G1232" t="s">
        <v>4225</v>
      </c>
      <c r="H1232" t="s">
        <v>6612</v>
      </c>
      <c r="I1232" t="s">
        <v>95</v>
      </c>
      <c r="J1232" t="s">
        <v>2500</v>
      </c>
    </row>
    <row r="1233" spans="1:10" x14ac:dyDescent="0.25">
      <c r="A1233" t="s">
        <v>6613</v>
      </c>
      <c r="B1233" s="3">
        <v>46294</v>
      </c>
      <c r="C1233" t="s">
        <v>339</v>
      </c>
      <c r="D1233" t="s">
        <v>223</v>
      </c>
      <c r="E1233">
        <v>3</v>
      </c>
      <c r="F1233" t="s">
        <v>2</v>
      </c>
      <c r="G1233" t="s">
        <v>4234</v>
      </c>
      <c r="H1233" t="s">
        <v>6614</v>
      </c>
      <c r="I1233" t="s">
        <v>34</v>
      </c>
      <c r="J1233" t="s">
        <v>2509</v>
      </c>
    </row>
    <row r="1234" spans="1:10" x14ac:dyDescent="0.25">
      <c r="A1234" t="s">
        <v>6615</v>
      </c>
      <c r="B1234" s="3">
        <v>46294</v>
      </c>
      <c r="C1234" t="s">
        <v>450</v>
      </c>
      <c r="D1234" t="s">
        <v>349</v>
      </c>
      <c r="E1234">
        <v>32</v>
      </c>
      <c r="F1234" t="s">
        <v>2</v>
      </c>
      <c r="G1234" t="s">
        <v>4228</v>
      </c>
      <c r="H1234" t="s">
        <v>5463</v>
      </c>
      <c r="I1234" t="s">
        <v>121</v>
      </c>
      <c r="J1234" t="s">
        <v>2509</v>
      </c>
    </row>
    <row r="1235" spans="1:10" x14ac:dyDescent="0.25">
      <c r="A1235" t="s">
        <v>6616</v>
      </c>
      <c r="B1235" s="3">
        <v>46294</v>
      </c>
      <c r="C1235" t="s">
        <v>657</v>
      </c>
      <c r="D1235" t="s">
        <v>585</v>
      </c>
      <c r="E1235">
        <v>8</v>
      </c>
      <c r="F1235" t="s">
        <v>355</v>
      </c>
      <c r="G1235" t="s">
        <v>4222</v>
      </c>
      <c r="H1235" t="s">
        <v>6617</v>
      </c>
      <c r="I1235" t="s">
        <v>250</v>
      </c>
      <c r="J1235" t="s">
        <v>2513</v>
      </c>
    </row>
    <row r="1236" spans="1:10" x14ac:dyDescent="0.25">
      <c r="A1236" t="s">
        <v>6618</v>
      </c>
      <c r="B1236" s="3">
        <v>46294</v>
      </c>
      <c r="C1236" t="s">
        <v>650</v>
      </c>
      <c r="D1236" t="s">
        <v>587</v>
      </c>
      <c r="E1236">
        <v>39</v>
      </c>
      <c r="F1236" t="s">
        <v>2</v>
      </c>
      <c r="G1236" t="s">
        <v>4231</v>
      </c>
      <c r="H1236" t="s">
        <v>6619</v>
      </c>
      <c r="I1236" t="s">
        <v>289</v>
      </c>
      <c r="J1236" t="s">
        <v>2500</v>
      </c>
    </row>
    <row r="1237" spans="1:10" x14ac:dyDescent="0.25">
      <c r="A1237" t="s">
        <v>6620</v>
      </c>
      <c r="B1237" s="3">
        <v>46294</v>
      </c>
      <c r="C1237" t="s">
        <v>658</v>
      </c>
      <c r="D1237" t="s">
        <v>597</v>
      </c>
      <c r="E1237">
        <v>7</v>
      </c>
      <c r="F1237" t="s">
        <v>355</v>
      </c>
      <c r="G1237" t="s">
        <v>4222</v>
      </c>
      <c r="H1237" t="s">
        <v>6621</v>
      </c>
      <c r="I1237" t="s">
        <v>113</v>
      </c>
      <c r="J1237" t="s">
        <v>2509</v>
      </c>
    </row>
    <row r="1238" spans="1:10" x14ac:dyDescent="0.25">
      <c r="A1238" t="s">
        <v>6622</v>
      </c>
      <c r="B1238" s="3">
        <v>46294</v>
      </c>
      <c r="C1238" t="s">
        <v>301</v>
      </c>
      <c r="D1238" t="s">
        <v>240</v>
      </c>
      <c r="E1238">
        <v>14</v>
      </c>
      <c r="F1238" t="s">
        <v>2</v>
      </c>
      <c r="G1238" t="s">
        <v>4228</v>
      </c>
      <c r="H1238" t="s">
        <v>6623</v>
      </c>
      <c r="I1238" t="s">
        <v>259</v>
      </c>
      <c r="J1238" t="s">
        <v>2513</v>
      </c>
    </row>
    <row r="1239" spans="1:10" x14ac:dyDescent="0.25">
      <c r="A1239" t="s">
        <v>6624</v>
      </c>
      <c r="B1239" s="3">
        <v>46294</v>
      </c>
      <c r="C1239" t="s">
        <v>607</v>
      </c>
      <c r="D1239" t="s">
        <v>587</v>
      </c>
      <c r="E1239">
        <v>2</v>
      </c>
      <c r="F1239" t="s">
        <v>2</v>
      </c>
      <c r="G1239" t="s">
        <v>4231</v>
      </c>
      <c r="H1239" t="s">
        <v>6625</v>
      </c>
      <c r="I1239" t="s">
        <v>149</v>
      </c>
      <c r="J1239" t="s">
        <v>2500</v>
      </c>
    </row>
    <row r="1240" spans="1:10" x14ac:dyDescent="0.25">
      <c r="A1240" t="s">
        <v>6626</v>
      </c>
      <c r="B1240" s="3">
        <v>46294</v>
      </c>
      <c r="C1240" t="s">
        <v>60</v>
      </c>
      <c r="D1240" t="s">
        <v>44</v>
      </c>
      <c r="E1240">
        <v>5</v>
      </c>
      <c r="F1240" t="s">
        <v>2</v>
      </c>
      <c r="G1240" t="s">
        <v>4234</v>
      </c>
      <c r="H1240" t="s">
        <v>6627</v>
      </c>
      <c r="I1240" t="s">
        <v>27</v>
      </c>
      <c r="J1240" t="s">
        <v>2503</v>
      </c>
    </row>
    <row r="1241" spans="1:10" x14ac:dyDescent="0.25">
      <c r="A1241" t="s">
        <v>6628</v>
      </c>
      <c r="B1241" s="3">
        <v>46294</v>
      </c>
      <c r="C1241" t="s">
        <v>497</v>
      </c>
      <c r="D1241" t="s">
        <v>471</v>
      </c>
      <c r="E1241">
        <v>5</v>
      </c>
      <c r="F1241" t="s">
        <v>355</v>
      </c>
      <c r="G1241" t="s">
        <v>4225</v>
      </c>
      <c r="H1241" t="s">
        <v>6629</v>
      </c>
      <c r="I1241" t="s">
        <v>67</v>
      </c>
      <c r="J1241" t="s">
        <v>2500</v>
      </c>
    </row>
    <row r="1242" spans="1:10" x14ac:dyDescent="0.25">
      <c r="A1242" t="s">
        <v>6630</v>
      </c>
      <c r="B1242" s="3">
        <v>46294</v>
      </c>
      <c r="C1242" t="s">
        <v>507</v>
      </c>
      <c r="D1242" t="s">
        <v>471</v>
      </c>
      <c r="E1242">
        <v>12</v>
      </c>
      <c r="F1242" t="s">
        <v>355</v>
      </c>
      <c r="G1242" t="s">
        <v>4234</v>
      </c>
      <c r="H1242" t="s">
        <v>6631</v>
      </c>
      <c r="I1242" t="s">
        <v>19</v>
      </c>
      <c r="J1242" t="s">
        <v>2513</v>
      </c>
    </row>
    <row r="1243" spans="1:10" x14ac:dyDescent="0.25">
      <c r="A1243" t="s">
        <v>6632</v>
      </c>
      <c r="B1243" s="3">
        <v>46294</v>
      </c>
      <c r="C1243" t="s">
        <v>654</v>
      </c>
      <c r="D1243" t="s">
        <v>582</v>
      </c>
      <c r="E1243">
        <v>19</v>
      </c>
      <c r="F1243" t="s">
        <v>2</v>
      </c>
      <c r="G1243" t="s">
        <v>4234</v>
      </c>
      <c r="H1243" t="s">
        <v>4520</v>
      </c>
      <c r="I1243" t="s">
        <v>108</v>
      </c>
      <c r="J1243" t="s">
        <v>2503</v>
      </c>
    </row>
    <row r="1244" spans="1:10" x14ac:dyDescent="0.25">
      <c r="A1244" t="s">
        <v>6633</v>
      </c>
      <c r="B1244" s="3">
        <v>46294</v>
      </c>
      <c r="C1244" t="s">
        <v>379</v>
      </c>
      <c r="D1244" t="s">
        <v>344</v>
      </c>
      <c r="E1244">
        <v>37</v>
      </c>
      <c r="F1244" t="s">
        <v>346</v>
      </c>
      <c r="G1244" t="s">
        <v>4222</v>
      </c>
      <c r="H1244" t="s">
        <v>6634</v>
      </c>
      <c r="I1244" t="s">
        <v>106</v>
      </c>
      <c r="J1244" t="s">
        <v>2509</v>
      </c>
    </row>
    <row r="1245" spans="1:10" x14ac:dyDescent="0.25">
      <c r="A1245" t="s">
        <v>6635</v>
      </c>
      <c r="B1245" s="3">
        <v>46294</v>
      </c>
      <c r="C1245" t="s">
        <v>682</v>
      </c>
      <c r="D1245" t="s">
        <v>602</v>
      </c>
      <c r="E1245">
        <v>28</v>
      </c>
      <c r="F1245" t="s">
        <v>2</v>
      </c>
      <c r="G1245" t="s">
        <v>4234</v>
      </c>
      <c r="H1245" t="s">
        <v>6636</v>
      </c>
      <c r="I1245" t="s">
        <v>287</v>
      </c>
      <c r="J1245" t="s">
        <v>2503</v>
      </c>
    </row>
    <row r="1246" spans="1:10" x14ac:dyDescent="0.25">
      <c r="A1246" t="s">
        <v>6637</v>
      </c>
      <c r="B1246" s="3">
        <v>46294</v>
      </c>
      <c r="C1246" t="s">
        <v>236</v>
      </c>
      <c r="D1246" t="s">
        <v>223</v>
      </c>
      <c r="E1246">
        <v>53</v>
      </c>
      <c r="F1246" t="s">
        <v>2</v>
      </c>
      <c r="G1246" t="s">
        <v>4222</v>
      </c>
      <c r="H1246" t="s">
        <v>6638</v>
      </c>
      <c r="I1246" t="s">
        <v>34</v>
      </c>
      <c r="J1246" t="s">
        <v>2513</v>
      </c>
    </row>
    <row r="1247" spans="1:10" x14ac:dyDescent="0.25">
      <c r="A1247" t="s">
        <v>6639</v>
      </c>
      <c r="B1247" s="3">
        <v>46294</v>
      </c>
      <c r="C1247" t="s">
        <v>646</v>
      </c>
      <c r="D1247" t="s">
        <v>599</v>
      </c>
      <c r="E1247">
        <v>11</v>
      </c>
      <c r="F1247" t="s">
        <v>2</v>
      </c>
      <c r="G1247" t="s">
        <v>4231</v>
      </c>
      <c r="H1247" t="s">
        <v>6640</v>
      </c>
      <c r="I1247" t="s">
        <v>294</v>
      </c>
      <c r="J1247" t="s">
        <v>2513</v>
      </c>
    </row>
    <row r="1248" spans="1:10" x14ac:dyDescent="0.25">
      <c r="A1248" t="s">
        <v>6641</v>
      </c>
      <c r="B1248" s="3">
        <v>46294</v>
      </c>
      <c r="C1248" t="s">
        <v>645</v>
      </c>
      <c r="D1248" t="s">
        <v>612</v>
      </c>
      <c r="E1248">
        <v>49</v>
      </c>
      <c r="F1248" t="s">
        <v>2</v>
      </c>
      <c r="G1248" t="s">
        <v>4225</v>
      </c>
      <c r="H1248" t="s">
        <v>6642</v>
      </c>
      <c r="I1248" t="s">
        <v>297</v>
      </c>
      <c r="J1248" t="s">
        <v>2500</v>
      </c>
    </row>
    <row r="1249" spans="1:10" x14ac:dyDescent="0.25">
      <c r="A1249" t="s">
        <v>6643</v>
      </c>
      <c r="B1249" s="3">
        <v>46294</v>
      </c>
      <c r="C1249" t="s">
        <v>545</v>
      </c>
      <c r="D1249" t="s">
        <v>502</v>
      </c>
      <c r="E1249">
        <v>52</v>
      </c>
      <c r="F1249" t="s">
        <v>469</v>
      </c>
      <c r="G1249" t="s">
        <v>4222</v>
      </c>
      <c r="H1249" t="s">
        <v>6644</v>
      </c>
      <c r="I1249" t="s">
        <v>183</v>
      </c>
      <c r="J1249" t="s">
        <v>2513</v>
      </c>
    </row>
    <row r="1250" spans="1:10" x14ac:dyDescent="0.25">
      <c r="A1250" t="s">
        <v>6645</v>
      </c>
      <c r="B1250" s="3">
        <v>46294</v>
      </c>
      <c r="C1250" t="s">
        <v>388</v>
      </c>
      <c r="D1250" t="s">
        <v>351</v>
      </c>
      <c r="E1250">
        <v>26</v>
      </c>
      <c r="F1250" t="s">
        <v>2</v>
      </c>
      <c r="G1250" t="s">
        <v>4234</v>
      </c>
      <c r="H1250" t="s">
        <v>6646</v>
      </c>
      <c r="I1250" t="s">
        <v>147</v>
      </c>
      <c r="J1250" t="s">
        <v>2509</v>
      </c>
    </row>
    <row r="1251" spans="1:10" x14ac:dyDescent="0.25">
      <c r="A1251" t="s">
        <v>6647</v>
      </c>
      <c r="B1251" s="3">
        <v>46294</v>
      </c>
      <c r="C1251" t="s">
        <v>197</v>
      </c>
      <c r="D1251" t="s">
        <v>21</v>
      </c>
      <c r="E1251">
        <v>2</v>
      </c>
      <c r="F1251" t="s">
        <v>2</v>
      </c>
      <c r="G1251" t="s">
        <v>4234</v>
      </c>
      <c r="H1251" t="s">
        <v>6648</v>
      </c>
      <c r="I1251" t="s">
        <v>171</v>
      </c>
      <c r="J1251" t="s">
        <v>2513</v>
      </c>
    </row>
    <row r="1252" spans="1:10" x14ac:dyDescent="0.25">
      <c r="A1252" t="s">
        <v>6649</v>
      </c>
      <c r="B1252" s="3">
        <v>46294</v>
      </c>
      <c r="C1252" t="s">
        <v>642</v>
      </c>
      <c r="D1252" t="s">
        <v>585</v>
      </c>
      <c r="E1252">
        <v>8</v>
      </c>
      <c r="F1252" t="s">
        <v>355</v>
      </c>
      <c r="G1252" t="s">
        <v>4225</v>
      </c>
      <c r="H1252" t="s">
        <v>6650</v>
      </c>
      <c r="I1252" t="s">
        <v>79</v>
      </c>
      <c r="J1252" t="s">
        <v>2509</v>
      </c>
    </row>
    <row r="1253" spans="1:10" x14ac:dyDescent="0.25">
      <c r="A1253" t="s">
        <v>6651</v>
      </c>
      <c r="B1253" s="3">
        <v>46294</v>
      </c>
      <c r="C1253" t="s">
        <v>450</v>
      </c>
      <c r="D1253" t="s">
        <v>349</v>
      </c>
      <c r="E1253">
        <v>36</v>
      </c>
      <c r="F1253" t="s">
        <v>2</v>
      </c>
      <c r="G1253" t="s">
        <v>4222</v>
      </c>
      <c r="H1253" t="s">
        <v>6652</v>
      </c>
      <c r="I1253" t="s">
        <v>121</v>
      </c>
      <c r="J1253" t="s">
        <v>2509</v>
      </c>
    </row>
    <row r="1254" spans="1:10" x14ac:dyDescent="0.25">
      <c r="A1254" t="s">
        <v>6653</v>
      </c>
      <c r="B1254" s="3">
        <v>46294</v>
      </c>
      <c r="C1254" t="s">
        <v>385</v>
      </c>
      <c r="D1254" t="s">
        <v>364</v>
      </c>
      <c r="E1254">
        <v>39</v>
      </c>
      <c r="F1254" t="s">
        <v>358</v>
      </c>
      <c r="G1254" t="s">
        <v>4228</v>
      </c>
      <c r="H1254" t="s">
        <v>6654</v>
      </c>
      <c r="I1254" t="s">
        <v>133</v>
      </c>
      <c r="J1254" t="s">
        <v>2513</v>
      </c>
    </row>
    <row r="1255" spans="1:10" x14ac:dyDescent="0.25">
      <c r="A1255" t="s">
        <v>6655</v>
      </c>
      <c r="B1255" s="3">
        <v>46294</v>
      </c>
      <c r="C1255" t="s">
        <v>244</v>
      </c>
      <c r="D1255" t="s">
        <v>234</v>
      </c>
      <c r="E1255">
        <v>14</v>
      </c>
      <c r="F1255" t="s">
        <v>2</v>
      </c>
      <c r="G1255" t="s">
        <v>4228</v>
      </c>
      <c r="H1255" t="s">
        <v>6656</v>
      </c>
      <c r="I1255" t="s">
        <v>30</v>
      </c>
      <c r="J1255" t="s">
        <v>2509</v>
      </c>
    </row>
    <row r="1256" spans="1:10" x14ac:dyDescent="0.25">
      <c r="A1256" t="s">
        <v>6657</v>
      </c>
      <c r="B1256" s="3">
        <v>46294</v>
      </c>
      <c r="C1256" t="s">
        <v>99</v>
      </c>
      <c r="D1256" t="s">
        <v>26</v>
      </c>
      <c r="E1256">
        <v>26</v>
      </c>
      <c r="F1256" t="s">
        <v>2</v>
      </c>
      <c r="G1256" t="s">
        <v>4231</v>
      </c>
      <c r="H1256" t="s">
        <v>6658</v>
      </c>
      <c r="I1256" t="s">
        <v>100</v>
      </c>
      <c r="J1256" t="s">
        <v>2513</v>
      </c>
    </row>
    <row r="1257" spans="1:10" x14ac:dyDescent="0.25">
      <c r="A1257" t="s">
        <v>6659</v>
      </c>
      <c r="B1257" s="3">
        <v>46294</v>
      </c>
      <c r="C1257" t="s">
        <v>232</v>
      </c>
      <c r="D1257" t="s">
        <v>225</v>
      </c>
      <c r="E1257">
        <v>9</v>
      </c>
      <c r="F1257" t="s">
        <v>2</v>
      </c>
      <c r="G1257" t="s">
        <v>4222</v>
      </c>
      <c r="H1257" t="s">
        <v>6660</v>
      </c>
      <c r="I1257" t="s">
        <v>30</v>
      </c>
      <c r="J1257" t="s">
        <v>2509</v>
      </c>
    </row>
    <row r="1258" spans="1:10" x14ac:dyDescent="0.25">
      <c r="A1258" t="s">
        <v>6661</v>
      </c>
      <c r="B1258" s="3">
        <v>46294</v>
      </c>
      <c r="C1258" t="s">
        <v>150</v>
      </c>
      <c r="D1258" t="s">
        <v>47</v>
      </c>
      <c r="E1258">
        <v>45</v>
      </c>
      <c r="F1258" t="s">
        <v>2</v>
      </c>
      <c r="G1258" t="s">
        <v>4228</v>
      </c>
      <c r="H1258" t="s">
        <v>5542</v>
      </c>
      <c r="I1258" t="s">
        <v>71</v>
      </c>
      <c r="J1258" t="s">
        <v>2503</v>
      </c>
    </row>
    <row r="1259" spans="1:10" x14ac:dyDescent="0.25">
      <c r="A1259" t="s">
        <v>6662</v>
      </c>
      <c r="B1259" s="3">
        <v>46294</v>
      </c>
      <c r="C1259" t="s">
        <v>220</v>
      </c>
      <c r="D1259" t="s">
        <v>216</v>
      </c>
      <c r="E1259">
        <v>10</v>
      </c>
      <c r="F1259" t="s">
        <v>2</v>
      </c>
      <c r="G1259" t="s">
        <v>4228</v>
      </c>
      <c r="H1259" t="s">
        <v>6663</v>
      </c>
      <c r="I1259" t="s">
        <v>221</v>
      </c>
      <c r="J1259" t="s">
        <v>2500</v>
      </c>
    </row>
    <row r="1260" spans="1:10" x14ac:dyDescent="0.25">
      <c r="A1260" t="s">
        <v>6664</v>
      </c>
      <c r="B1260" s="3">
        <v>46294</v>
      </c>
      <c r="C1260" t="s">
        <v>262</v>
      </c>
      <c r="D1260" t="s">
        <v>223</v>
      </c>
      <c r="E1260">
        <v>28</v>
      </c>
      <c r="F1260" t="s">
        <v>2</v>
      </c>
      <c r="G1260" t="s">
        <v>4228</v>
      </c>
      <c r="H1260" t="s">
        <v>6665</v>
      </c>
      <c r="I1260" t="s">
        <v>259</v>
      </c>
      <c r="J1260" t="s">
        <v>2503</v>
      </c>
    </row>
    <row r="1261" spans="1:10" x14ac:dyDescent="0.25">
      <c r="A1261" t="s">
        <v>6666</v>
      </c>
      <c r="B1261" s="3">
        <v>46294</v>
      </c>
      <c r="C1261" t="s">
        <v>498</v>
      </c>
      <c r="D1261" t="s">
        <v>488</v>
      </c>
      <c r="E1261">
        <v>8</v>
      </c>
      <c r="F1261" t="s">
        <v>469</v>
      </c>
      <c r="G1261" t="s">
        <v>4234</v>
      </c>
      <c r="H1261" t="s">
        <v>6667</v>
      </c>
      <c r="I1261" t="s">
        <v>52</v>
      </c>
      <c r="J1261" t="s">
        <v>2500</v>
      </c>
    </row>
    <row r="1262" spans="1:10" x14ac:dyDescent="0.25">
      <c r="A1262" t="s">
        <v>6668</v>
      </c>
      <c r="B1262" s="3">
        <v>46294</v>
      </c>
      <c r="C1262" t="s">
        <v>584</v>
      </c>
      <c r="D1262" t="s">
        <v>585</v>
      </c>
      <c r="E1262">
        <v>8</v>
      </c>
      <c r="F1262" t="s">
        <v>355</v>
      </c>
      <c r="G1262" t="s">
        <v>4231</v>
      </c>
      <c r="H1262" t="s">
        <v>6669</v>
      </c>
      <c r="I1262" t="s">
        <v>129</v>
      </c>
      <c r="J1262" t="s">
        <v>2503</v>
      </c>
    </row>
    <row r="1263" spans="1:10" x14ac:dyDescent="0.25">
      <c r="A1263" t="s">
        <v>6670</v>
      </c>
      <c r="B1263" s="3">
        <v>46294</v>
      </c>
      <c r="C1263" t="s">
        <v>233</v>
      </c>
      <c r="D1263" t="s">
        <v>234</v>
      </c>
      <c r="E1263">
        <v>16</v>
      </c>
      <c r="F1263" t="s">
        <v>2</v>
      </c>
      <c r="G1263" t="s">
        <v>4225</v>
      </c>
      <c r="H1263" t="s">
        <v>6671</v>
      </c>
      <c r="I1263" t="s">
        <v>87</v>
      </c>
      <c r="J1263" t="s">
        <v>2509</v>
      </c>
    </row>
    <row r="1264" spans="1:10" x14ac:dyDescent="0.25">
      <c r="A1264" t="s">
        <v>6672</v>
      </c>
      <c r="B1264" s="3">
        <v>46294</v>
      </c>
      <c r="C1264" t="s">
        <v>160</v>
      </c>
      <c r="D1264" t="s">
        <v>47</v>
      </c>
      <c r="E1264">
        <v>49</v>
      </c>
      <c r="F1264" t="s">
        <v>2</v>
      </c>
      <c r="G1264" t="s">
        <v>4234</v>
      </c>
      <c r="H1264" t="s">
        <v>6673</v>
      </c>
      <c r="I1264" t="s">
        <v>161</v>
      </c>
      <c r="J1264" t="s">
        <v>2509</v>
      </c>
    </row>
    <row r="1265" spans="1:10" x14ac:dyDescent="0.25">
      <c r="A1265" t="s">
        <v>6674</v>
      </c>
      <c r="B1265" s="3">
        <v>46294</v>
      </c>
      <c r="C1265" t="s">
        <v>145</v>
      </c>
      <c r="D1265" t="s">
        <v>26</v>
      </c>
      <c r="E1265">
        <v>6</v>
      </c>
      <c r="F1265" t="s">
        <v>2</v>
      </c>
      <c r="G1265" t="s">
        <v>4225</v>
      </c>
      <c r="H1265" t="s">
        <v>6675</v>
      </c>
      <c r="I1265" t="s">
        <v>59</v>
      </c>
      <c r="J1265" t="s">
        <v>2500</v>
      </c>
    </row>
    <row r="1266" spans="1:10" x14ac:dyDescent="0.25">
      <c r="A1266" t="s">
        <v>6676</v>
      </c>
      <c r="B1266" s="3">
        <v>46294</v>
      </c>
      <c r="C1266" t="s">
        <v>571</v>
      </c>
      <c r="D1266" t="s">
        <v>488</v>
      </c>
      <c r="E1266">
        <v>22</v>
      </c>
      <c r="F1266" t="s">
        <v>469</v>
      </c>
      <c r="G1266" t="s">
        <v>4222</v>
      </c>
      <c r="H1266" t="s">
        <v>6677</v>
      </c>
      <c r="I1266" t="s">
        <v>289</v>
      </c>
      <c r="J1266" t="s">
        <v>2509</v>
      </c>
    </row>
    <row r="1267" spans="1:10" x14ac:dyDescent="0.25">
      <c r="A1267" t="s">
        <v>6678</v>
      </c>
      <c r="B1267" s="3">
        <v>46294</v>
      </c>
      <c r="C1267" t="s">
        <v>669</v>
      </c>
      <c r="D1267" t="s">
        <v>594</v>
      </c>
      <c r="E1267">
        <v>38</v>
      </c>
      <c r="F1267" t="s">
        <v>595</v>
      </c>
      <c r="G1267" t="s">
        <v>4231</v>
      </c>
      <c r="H1267" t="s">
        <v>6679</v>
      </c>
      <c r="I1267" t="s">
        <v>410</v>
      </c>
      <c r="J1267" t="s">
        <v>2509</v>
      </c>
    </row>
    <row r="1268" spans="1:10" x14ac:dyDescent="0.25">
      <c r="A1268" t="s">
        <v>6680</v>
      </c>
      <c r="B1268" s="3">
        <v>46294</v>
      </c>
      <c r="C1268" t="s">
        <v>544</v>
      </c>
      <c r="D1268" t="s">
        <v>488</v>
      </c>
      <c r="E1268">
        <v>29</v>
      </c>
      <c r="F1268" t="s">
        <v>469</v>
      </c>
      <c r="G1268" t="s">
        <v>4234</v>
      </c>
      <c r="H1268" t="s">
        <v>6681</v>
      </c>
      <c r="I1268" t="s">
        <v>219</v>
      </c>
      <c r="J1268" t="s">
        <v>2509</v>
      </c>
    </row>
    <row r="1269" spans="1:10" x14ac:dyDescent="0.25">
      <c r="A1269" t="s">
        <v>6682</v>
      </c>
      <c r="B1269" s="3">
        <v>46295</v>
      </c>
      <c r="C1269" t="s">
        <v>570</v>
      </c>
      <c r="D1269" t="s">
        <v>484</v>
      </c>
      <c r="E1269">
        <v>42</v>
      </c>
      <c r="F1269" t="s">
        <v>469</v>
      </c>
      <c r="G1269" t="s">
        <v>4234</v>
      </c>
      <c r="H1269" t="s">
        <v>6683</v>
      </c>
      <c r="I1269" t="s">
        <v>106</v>
      </c>
      <c r="J1269" t="s">
        <v>2509</v>
      </c>
    </row>
    <row r="1270" spans="1:10" x14ac:dyDescent="0.25">
      <c r="A1270" t="s">
        <v>6684</v>
      </c>
      <c r="B1270" s="3">
        <v>46295</v>
      </c>
      <c r="C1270" t="s">
        <v>350</v>
      </c>
      <c r="D1270" t="s">
        <v>351</v>
      </c>
      <c r="E1270">
        <v>7</v>
      </c>
      <c r="F1270" t="s">
        <v>2</v>
      </c>
      <c r="G1270" t="s">
        <v>4234</v>
      </c>
      <c r="H1270" t="s">
        <v>6685</v>
      </c>
      <c r="I1270" t="s">
        <v>110</v>
      </c>
      <c r="J1270" t="s">
        <v>2503</v>
      </c>
    </row>
    <row r="1271" spans="1:10" x14ac:dyDescent="0.25">
      <c r="A1271" t="s">
        <v>6686</v>
      </c>
      <c r="B1271" s="3">
        <v>46295</v>
      </c>
      <c r="C1271" t="s">
        <v>255</v>
      </c>
      <c r="D1271" t="s">
        <v>234</v>
      </c>
      <c r="E1271">
        <v>30</v>
      </c>
      <c r="F1271" t="s">
        <v>2</v>
      </c>
      <c r="G1271" t="s">
        <v>4222</v>
      </c>
      <c r="H1271" t="s">
        <v>6687</v>
      </c>
      <c r="I1271" t="s">
        <v>38</v>
      </c>
      <c r="J1271" t="s">
        <v>2500</v>
      </c>
    </row>
    <row r="1272" spans="1:10" x14ac:dyDescent="0.25">
      <c r="A1272" t="s">
        <v>6688</v>
      </c>
      <c r="B1272" s="3">
        <v>46295</v>
      </c>
      <c r="C1272" t="s">
        <v>80</v>
      </c>
      <c r="D1272" t="s">
        <v>54</v>
      </c>
      <c r="E1272">
        <v>27</v>
      </c>
      <c r="F1272" t="s">
        <v>2</v>
      </c>
      <c r="G1272" t="s">
        <v>4231</v>
      </c>
      <c r="H1272" t="s">
        <v>6689</v>
      </c>
      <c r="I1272" t="s">
        <v>83</v>
      </c>
      <c r="J1272" t="s">
        <v>2509</v>
      </c>
    </row>
    <row r="1273" spans="1:10" x14ac:dyDescent="0.25">
      <c r="A1273" t="s">
        <v>6690</v>
      </c>
      <c r="B1273" s="3">
        <v>46295</v>
      </c>
      <c r="C1273" t="s">
        <v>617</v>
      </c>
      <c r="D1273" t="s">
        <v>594</v>
      </c>
      <c r="E1273">
        <v>19</v>
      </c>
      <c r="F1273" t="s">
        <v>595</v>
      </c>
      <c r="G1273" t="s">
        <v>4222</v>
      </c>
      <c r="H1273" t="s">
        <v>4313</v>
      </c>
      <c r="I1273" t="s">
        <v>259</v>
      </c>
      <c r="J1273" t="s">
        <v>2509</v>
      </c>
    </row>
    <row r="1274" spans="1:10" x14ac:dyDescent="0.25">
      <c r="A1274" t="s">
        <v>6691</v>
      </c>
      <c r="B1274" s="3">
        <v>46295</v>
      </c>
      <c r="C1274" t="s">
        <v>617</v>
      </c>
      <c r="D1274" t="s">
        <v>594</v>
      </c>
      <c r="E1274">
        <v>27</v>
      </c>
      <c r="F1274" t="s">
        <v>595</v>
      </c>
      <c r="G1274" t="s">
        <v>4234</v>
      </c>
      <c r="H1274" t="s">
        <v>6692</v>
      </c>
      <c r="I1274" t="s">
        <v>259</v>
      </c>
      <c r="J1274" t="s">
        <v>2500</v>
      </c>
    </row>
    <row r="1275" spans="1:10" x14ac:dyDescent="0.25">
      <c r="A1275" t="s">
        <v>6693</v>
      </c>
      <c r="B1275" s="3">
        <v>46295</v>
      </c>
      <c r="C1275" t="s">
        <v>692</v>
      </c>
      <c r="D1275" t="s">
        <v>582</v>
      </c>
      <c r="E1275">
        <v>33</v>
      </c>
      <c r="F1275" t="s">
        <v>2</v>
      </c>
      <c r="G1275" t="s">
        <v>4222</v>
      </c>
      <c r="H1275" t="s">
        <v>6694</v>
      </c>
      <c r="I1275" t="s">
        <v>181</v>
      </c>
      <c r="J1275" t="s">
        <v>2513</v>
      </c>
    </row>
    <row r="1276" spans="1:10" x14ac:dyDescent="0.25">
      <c r="A1276" t="s">
        <v>6695</v>
      </c>
      <c r="B1276" s="3">
        <v>46295</v>
      </c>
      <c r="C1276" t="s">
        <v>249</v>
      </c>
      <c r="D1276" t="s">
        <v>216</v>
      </c>
      <c r="E1276">
        <v>47</v>
      </c>
      <c r="F1276" t="s">
        <v>2</v>
      </c>
      <c r="G1276" t="s">
        <v>4222</v>
      </c>
      <c r="H1276" t="s">
        <v>6696</v>
      </c>
      <c r="I1276" t="s">
        <v>250</v>
      </c>
      <c r="J1276" t="s">
        <v>2500</v>
      </c>
    </row>
    <row r="1277" spans="1:10" x14ac:dyDescent="0.25">
      <c r="A1277" t="s">
        <v>6697</v>
      </c>
      <c r="B1277" s="3">
        <v>46295</v>
      </c>
      <c r="C1277" t="s">
        <v>282</v>
      </c>
      <c r="D1277" t="s">
        <v>213</v>
      </c>
      <c r="E1277">
        <v>4</v>
      </c>
      <c r="F1277" t="s">
        <v>2</v>
      </c>
      <c r="G1277" t="s">
        <v>4225</v>
      </c>
      <c r="H1277" t="s">
        <v>6698</v>
      </c>
      <c r="I1277" t="s">
        <v>83</v>
      </c>
      <c r="J1277" t="s">
        <v>2513</v>
      </c>
    </row>
    <row r="1278" spans="1:10" x14ac:dyDescent="0.25">
      <c r="A1278" t="s">
        <v>6699</v>
      </c>
      <c r="B1278" s="3">
        <v>46295</v>
      </c>
      <c r="C1278" t="s">
        <v>493</v>
      </c>
      <c r="D1278" t="s">
        <v>484</v>
      </c>
      <c r="E1278">
        <v>6</v>
      </c>
      <c r="F1278" t="s">
        <v>469</v>
      </c>
      <c r="G1278" t="s">
        <v>4234</v>
      </c>
      <c r="H1278" t="s">
        <v>6700</v>
      </c>
      <c r="I1278" t="s">
        <v>327</v>
      </c>
      <c r="J1278" t="s">
        <v>2509</v>
      </c>
    </row>
    <row r="1279" spans="1:10" x14ac:dyDescent="0.25">
      <c r="A1279" t="s">
        <v>6701</v>
      </c>
      <c r="B1279" s="3">
        <v>46295</v>
      </c>
      <c r="C1279" t="s">
        <v>668</v>
      </c>
      <c r="D1279" t="s">
        <v>597</v>
      </c>
      <c r="E1279">
        <v>39</v>
      </c>
      <c r="F1279" t="s">
        <v>355</v>
      </c>
      <c r="G1279" t="s">
        <v>4231</v>
      </c>
      <c r="H1279" t="s">
        <v>5087</v>
      </c>
      <c r="I1279" t="s">
        <v>124</v>
      </c>
      <c r="J1279" t="s">
        <v>2503</v>
      </c>
    </row>
    <row r="1280" spans="1:10" x14ac:dyDescent="0.25">
      <c r="A1280" t="s">
        <v>6702</v>
      </c>
      <c r="B1280" s="3">
        <v>46295</v>
      </c>
      <c r="C1280" t="s">
        <v>228</v>
      </c>
      <c r="D1280" t="s">
        <v>218</v>
      </c>
      <c r="E1280">
        <v>40</v>
      </c>
      <c r="F1280" t="s">
        <v>2</v>
      </c>
      <c r="G1280" t="s">
        <v>4228</v>
      </c>
      <c r="H1280" t="s">
        <v>6703</v>
      </c>
      <c r="I1280" t="s">
        <v>67</v>
      </c>
      <c r="J1280" t="s">
        <v>2509</v>
      </c>
    </row>
    <row r="1281" spans="1:10" x14ac:dyDescent="0.25">
      <c r="A1281" t="s">
        <v>6704</v>
      </c>
      <c r="B1281" s="3">
        <v>46295</v>
      </c>
      <c r="C1281" t="s">
        <v>613</v>
      </c>
      <c r="D1281" t="s">
        <v>597</v>
      </c>
      <c r="E1281">
        <v>49</v>
      </c>
      <c r="F1281" t="s">
        <v>355</v>
      </c>
      <c r="G1281" t="s">
        <v>4225</v>
      </c>
      <c r="H1281" t="s">
        <v>6705</v>
      </c>
      <c r="I1281" t="s">
        <v>221</v>
      </c>
      <c r="J1281" t="s">
        <v>2513</v>
      </c>
    </row>
    <row r="1282" spans="1:10" x14ac:dyDescent="0.25">
      <c r="A1282" t="s">
        <v>6706</v>
      </c>
      <c r="B1282" s="3">
        <v>46295</v>
      </c>
      <c r="C1282" t="s">
        <v>137</v>
      </c>
      <c r="D1282" t="s">
        <v>44</v>
      </c>
      <c r="E1282">
        <v>35</v>
      </c>
      <c r="F1282" t="s">
        <v>2</v>
      </c>
      <c r="G1282" t="s">
        <v>4228</v>
      </c>
      <c r="H1282" t="s">
        <v>6707</v>
      </c>
      <c r="I1282" t="s">
        <v>38</v>
      </c>
      <c r="J1282" t="s">
        <v>2500</v>
      </c>
    </row>
    <row r="1283" spans="1:10" x14ac:dyDescent="0.25">
      <c r="A1283" t="s">
        <v>6708</v>
      </c>
      <c r="B1283" s="3">
        <v>46295</v>
      </c>
      <c r="C1283" t="s">
        <v>503</v>
      </c>
      <c r="D1283" t="s">
        <v>476</v>
      </c>
      <c r="E1283">
        <v>32</v>
      </c>
      <c r="F1283" t="s">
        <v>477</v>
      </c>
      <c r="G1283" t="s">
        <v>4234</v>
      </c>
      <c r="H1283" t="s">
        <v>6709</v>
      </c>
      <c r="I1283" t="s">
        <v>259</v>
      </c>
      <c r="J1283" t="s">
        <v>2503</v>
      </c>
    </row>
    <row r="1284" spans="1:10" x14ac:dyDescent="0.25">
      <c r="A1284" t="s">
        <v>6710</v>
      </c>
      <c r="B1284" s="3">
        <v>46295</v>
      </c>
      <c r="C1284" t="s">
        <v>387</v>
      </c>
      <c r="D1284" t="s">
        <v>378</v>
      </c>
      <c r="E1284">
        <v>2</v>
      </c>
      <c r="F1284" t="s">
        <v>2</v>
      </c>
      <c r="G1284" t="s">
        <v>4225</v>
      </c>
      <c r="H1284" t="s">
        <v>6711</v>
      </c>
      <c r="I1284" t="s">
        <v>171</v>
      </c>
      <c r="J1284" t="s">
        <v>2509</v>
      </c>
    </row>
    <row r="1285" spans="1:10" x14ac:dyDescent="0.25">
      <c r="A1285" t="s">
        <v>6712</v>
      </c>
      <c r="B1285" s="3">
        <v>46295</v>
      </c>
      <c r="C1285" t="s">
        <v>187</v>
      </c>
      <c r="D1285" t="s">
        <v>54</v>
      </c>
      <c r="E1285">
        <v>13</v>
      </c>
      <c r="F1285" t="s">
        <v>2</v>
      </c>
      <c r="G1285" t="s">
        <v>4234</v>
      </c>
      <c r="H1285" t="s">
        <v>6713</v>
      </c>
      <c r="I1285" t="s">
        <v>110</v>
      </c>
      <c r="J1285" t="s">
        <v>2509</v>
      </c>
    </row>
    <row r="1286" spans="1:10" x14ac:dyDescent="0.25">
      <c r="A1286" t="s">
        <v>6714</v>
      </c>
      <c r="B1286" s="3">
        <v>46295</v>
      </c>
      <c r="C1286" t="s">
        <v>531</v>
      </c>
      <c r="D1286" t="s">
        <v>479</v>
      </c>
      <c r="E1286">
        <v>1</v>
      </c>
      <c r="F1286" t="s">
        <v>469</v>
      </c>
      <c r="G1286" t="s">
        <v>4225</v>
      </c>
      <c r="H1286" t="s">
        <v>6715</v>
      </c>
      <c r="I1286" t="s">
        <v>129</v>
      </c>
      <c r="J1286" t="s">
        <v>2509</v>
      </c>
    </row>
    <row r="1287" spans="1:10" x14ac:dyDescent="0.25">
      <c r="A1287" t="s">
        <v>6716</v>
      </c>
      <c r="B1287" s="3">
        <v>46295</v>
      </c>
      <c r="C1287" t="s">
        <v>676</v>
      </c>
      <c r="D1287" t="s">
        <v>612</v>
      </c>
      <c r="E1287">
        <v>2</v>
      </c>
      <c r="F1287" t="s">
        <v>2</v>
      </c>
      <c r="G1287" t="s">
        <v>4222</v>
      </c>
      <c r="H1287" t="s">
        <v>6317</v>
      </c>
      <c r="I1287" t="s">
        <v>677</v>
      </c>
      <c r="J1287" t="s">
        <v>2509</v>
      </c>
    </row>
    <row r="1288" spans="1:10" x14ac:dyDescent="0.25">
      <c r="A1288" t="s">
        <v>6717</v>
      </c>
      <c r="B1288" s="3">
        <v>46295</v>
      </c>
      <c r="C1288" t="s">
        <v>434</v>
      </c>
      <c r="D1288" t="s">
        <v>360</v>
      </c>
      <c r="E1288">
        <v>33</v>
      </c>
      <c r="F1288" t="s">
        <v>358</v>
      </c>
      <c r="G1288" t="s">
        <v>4222</v>
      </c>
      <c r="H1288" t="s">
        <v>6718</v>
      </c>
      <c r="I1288" t="s">
        <v>69</v>
      </c>
      <c r="J1288" t="s">
        <v>2503</v>
      </c>
    </row>
    <row r="1289" spans="1:10" x14ac:dyDescent="0.25">
      <c r="A1289" t="s">
        <v>6719</v>
      </c>
      <c r="B1289" s="3">
        <v>46295</v>
      </c>
      <c r="C1289" t="s">
        <v>513</v>
      </c>
      <c r="D1289" t="s">
        <v>488</v>
      </c>
      <c r="E1289">
        <v>22</v>
      </c>
      <c r="F1289" t="s">
        <v>469</v>
      </c>
      <c r="G1289" t="s">
        <v>4234</v>
      </c>
      <c r="H1289" t="s">
        <v>6720</v>
      </c>
      <c r="I1289" t="s">
        <v>110</v>
      </c>
      <c r="J1289" t="s">
        <v>2500</v>
      </c>
    </row>
    <row r="1290" spans="1:10" x14ac:dyDescent="0.25">
      <c r="A1290" t="s">
        <v>6721</v>
      </c>
      <c r="B1290" s="3">
        <v>46295</v>
      </c>
      <c r="C1290" t="s">
        <v>399</v>
      </c>
      <c r="D1290" t="s">
        <v>360</v>
      </c>
      <c r="E1290">
        <v>21</v>
      </c>
      <c r="F1290" t="s">
        <v>358</v>
      </c>
      <c r="G1290" t="s">
        <v>4225</v>
      </c>
      <c r="H1290" t="s">
        <v>6722</v>
      </c>
      <c r="I1290" t="s">
        <v>164</v>
      </c>
      <c r="J1290" t="s">
        <v>2509</v>
      </c>
    </row>
    <row r="1291" spans="1:10" x14ac:dyDescent="0.25">
      <c r="A1291" t="s">
        <v>6723</v>
      </c>
      <c r="B1291" s="3">
        <v>46295</v>
      </c>
      <c r="C1291" t="s">
        <v>101</v>
      </c>
      <c r="D1291" t="s">
        <v>29</v>
      </c>
      <c r="E1291">
        <v>39</v>
      </c>
      <c r="F1291" t="s">
        <v>2</v>
      </c>
      <c r="G1291" t="s">
        <v>4234</v>
      </c>
      <c r="H1291" t="s">
        <v>6724</v>
      </c>
      <c r="I1291" t="s">
        <v>102</v>
      </c>
      <c r="J1291" t="s">
        <v>2500</v>
      </c>
    </row>
    <row r="1292" spans="1:10" x14ac:dyDescent="0.25">
      <c r="A1292" t="s">
        <v>6725</v>
      </c>
      <c r="B1292" s="3">
        <v>46295</v>
      </c>
      <c r="C1292" t="s">
        <v>306</v>
      </c>
      <c r="D1292" t="s">
        <v>223</v>
      </c>
      <c r="E1292">
        <v>26</v>
      </c>
      <c r="F1292" t="s">
        <v>2</v>
      </c>
      <c r="G1292" t="s">
        <v>4231</v>
      </c>
      <c r="H1292" t="s">
        <v>6726</v>
      </c>
      <c r="I1292" t="s">
        <v>274</v>
      </c>
      <c r="J1292" t="s">
        <v>2503</v>
      </c>
    </row>
    <row r="1293" spans="1:10" x14ac:dyDescent="0.25">
      <c r="A1293" t="s">
        <v>6727</v>
      </c>
      <c r="B1293" s="3">
        <v>46295</v>
      </c>
      <c r="C1293" t="s">
        <v>247</v>
      </c>
      <c r="D1293" t="s">
        <v>227</v>
      </c>
      <c r="E1293">
        <v>10</v>
      </c>
      <c r="F1293" t="s">
        <v>2</v>
      </c>
      <c r="G1293" t="s">
        <v>4234</v>
      </c>
      <c r="H1293" t="s">
        <v>6728</v>
      </c>
      <c r="I1293" t="s">
        <v>164</v>
      </c>
      <c r="J1293" t="s">
        <v>2500</v>
      </c>
    </row>
    <row r="1294" spans="1:10" x14ac:dyDescent="0.25">
      <c r="A1294" t="s">
        <v>6729</v>
      </c>
      <c r="B1294" s="3">
        <v>46295</v>
      </c>
      <c r="C1294" t="s">
        <v>402</v>
      </c>
      <c r="D1294" t="s">
        <v>344</v>
      </c>
      <c r="E1294">
        <v>14</v>
      </c>
      <c r="F1294" t="s">
        <v>346</v>
      </c>
      <c r="G1294" t="s">
        <v>4228</v>
      </c>
      <c r="H1294" t="s">
        <v>6730</v>
      </c>
      <c r="I1294" t="s">
        <v>27</v>
      </c>
      <c r="J1294" t="s">
        <v>2513</v>
      </c>
    </row>
    <row r="1295" spans="1:10" x14ac:dyDescent="0.25">
      <c r="A1295" t="s">
        <v>6731</v>
      </c>
      <c r="B1295" s="3">
        <v>46295</v>
      </c>
      <c r="C1295" t="s">
        <v>212</v>
      </c>
      <c r="D1295" t="s">
        <v>213</v>
      </c>
      <c r="E1295">
        <v>38</v>
      </c>
      <c r="F1295" t="s">
        <v>2</v>
      </c>
      <c r="G1295" t="s">
        <v>4225</v>
      </c>
      <c r="H1295" t="s">
        <v>5463</v>
      </c>
      <c r="I1295" t="s">
        <v>129</v>
      </c>
      <c r="J1295" t="s">
        <v>2509</v>
      </c>
    </row>
    <row r="1296" spans="1:10" x14ac:dyDescent="0.25">
      <c r="A1296" t="s">
        <v>6732</v>
      </c>
      <c r="B1296" s="3">
        <v>46295</v>
      </c>
      <c r="C1296" t="s">
        <v>194</v>
      </c>
      <c r="D1296" t="s">
        <v>47</v>
      </c>
      <c r="E1296">
        <v>25</v>
      </c>
      <c r="F1296" t="s">
        <v>2</v>
      </c>
      <c r="G1296" t="s">
        <v>4231</v>
      </c>
      <c r="H1296" t="s">
        <v>6733</v>
      </c>
      <c r="I1296" t="s">
        <v>195</v>
      </c>
      <c r="J1296" t="s">
        <v>2500</v>
      </c>
    </row>
    <row r="1297" spans="1:10" x14ac:dyDescent="0.25">
      <c r="A1297" t="s">
        <v>6734</v>
      </c>
      <c r="B1297" s="3">
        <v>46295</v>
      </c>
      <c r="C1297" t="s">
        <v>145</v>
      </c>
      <c r="D1297" t="s">
        <v>26</v>
      </c>
      <c r="E1297">
        <v>33</v>
      </c>
      <c r="F1297" t="s">
        <v>2</v>
      </c>
      <c r="G1297" t="s">
        <v>4222</v>
      </c>
      <c r="H1297" t="s">
        <v>6735</v>
      </c>
      <c r="I1297" t="s">
        <v>59</v>
      </c>
      <c r="J1297" t="s">
        <v>2509</v>
      </c>
    </row>
    <row r="1298" spans="1:10" x14ac:dyDescent="0.25">
      <c r="A1298" t="s">
        <v>6736</v>
      </c>
      <c r="B1298" s="3">
        <v>46295</v>
      </c>
      <c r="C1298" t="s">
        <v>139</v>
      </c>
      <c r="D1298" t="s">
        <v>44</v>
      </c>
      <c r="E1298">
        <v>5</v>
      </c>
      <c r="F1298" t="s">
        <v>2</v>
      </c>
      <c r="G1298" t="s">
        <v>4228</v>
      </c>
      <c r="H1298" t="s">
        <v>6737</v>
      </c>
      <c r="I1298" t="s">
        <v>140</v>
      </c>
      <c r="J1298" t="s">
        <v>2513</v>
      </c>
    </row>
    <row r="1299" spans="1:10" x14ac:dyDescent="0.25">
      <c r="A1299" t="s">
        <v>6738</v>
      </c>
      <c r="B1299" s="3">
        <v>46295</v>
      </c>
      <c r="C1299" t="s">
        <v>520</v>
      </c>
      <c r="D1299" t="s">
        <v>502</v>
      </c>
      <c r="E1299">
        <v>12</v>
      </c>
      <c r="F1299" t="s">
        <v>469</v>
      </c>
      <c r="G1299" t="s">
        <v>4234</v>
      </c>
      <c r="H1299" t="s">
        <v>6739</v>
      </c>
      <c r="I1299" t="s">
        <v>368</v>
      </c>
      <c r="J1299" t="s">
        <v>2509</v>
      </c>
    </row>
    <row r="1300" spans="1:10" x14ac:dyDescent="0.25">
      <c r="A1300" t="s">
        <v>6740</v>
      </c>
      <c r="B1300" s="3">
        <v>46295</v>
      </c>
      <c r="C1300" t="s">
        <v>217</v>
      </c>
      <c r="D1300" t="s">
        <v>218</v>
      </c>
      <c r="E1300">
        <v>27</v>
      </c>
      <c r="F1300" t="s">
        <v>2</v>
      </c>
      <c r="G1300" t="s">
        <v>4231</v>
      </c>
      <c r="H1300" t="s">
        <v>6741</v>
      </c>
      <c r="I1300" t="s">
        <v>219</v>
      </c>
      <c r="J1300" t="s">
        <v>2500</v>
      </c>
    </row>
    <row r="1301" spans="1:10" x14ac:dyDescent="0.25">
      <c r="A1301" t="s">
        <v>6742</v>
      </c>
      <c r="B1301" s="3">
        <v>46295</v>
      </c>
      <c r="C1301" t="s">
        <v>379</v>
      </c>
      <c r="D1301" t="s">
        <v>344</v>
      </c>
      <c r="E1301">
        <v>11</v>
      </c>
      <c r="F1301" t="s">
        <v>346</v>
      </c>
      <c r="G1301" t="s">
        <v>4222</v>
      </c>
      <c r="H1301" t="s">
        <v>6743</v>
      </c>
      <c r="I1301" t="s">
        <v>106</v>
      </c>
      <c r="J1301" t="s">
        <v>2509</v>
      </c>
    </row>
    <row r="1302" spans="1:10" x14ac:dyDescent="0.25">
      <c r="A1302" t="s">
        <v>6744</v>
      </c>
      <c r="B1302" s="3">
        <v>46295</v>
      </c>
      <c r="C1302" t="s">
        <v>417</v>
      </c>
      <c r="D1302" t="s">
        <v>349</v>
      </c>
      <c r="E1302">
        <v>37</v>
      </c>
      <c r="F1302" t="s">
        <v>2</v>
      </c>
      <c r="G1302" t="s">
        <v>4222</v>
      </c>
      <c r="H1302" t="s">
        <v>6745</v>
      </c>
      <c r="I1302" t="s">
        <v>75</v>
      </c>
      <c r="J1302" t="s">
        <v>2513</v>
      </c>
    </row>
    <row r="1303" spans="1:10" x14ac:dyDescent="0.25">
      <c r="A1303" t="s">
        <v>6746</v>
      </c>
      <c r="B1303" s="3">
        <v>46295</v>
      </c>
      <c r="C1303" t="s">
        <v>624</v>
      </c>
      <c r="D1303" t="s">
        <v>602</v>
      </c>
      <c r="E1303">
        <v>52</v>
      </c>
      <c r="F1303" t="s">
        <v>2</v>
      </c>
      <c r="G1303" t="s">
        <v>4222</v>
      </c>
      <c r="H1303" t="s">
        <v>6747</v>
      </c>
      <c r="I1303" t="s">
        <v>181</v>
      </c>
      <c r="J1303" t="s">
        <v>2503</v>
      </c>
    </row>
    <row r="1304" spans="1:10" x14ac:dyDescent="0.25">
      <c r="A1304" t="s">
        <v>6748</v>
      </c>
      <c r="B1304" s="3">
        <v>46295</v>
      </c>
      <c r="C1304" t="s">
        <v>326</v>
      </c>
      <c r="D1304" t="s">
        <v>223</v>
      </c>
      <c r="E1304">
        <v>55</v>
      </c>
      <c r="F1304" t="s">
        <v>2</v>
      </c>
      <c r="G1304" t="s">
        <v>4222</v>
      </c>
      <c r="H1304" t="s">
        <v>6749</v>
      </c>
      <c r="I1304" t="s">
        <v>327</v>
      </c>
      <c r="J1304" t="s">
        <v>2509</v>
      </c>
    </row>
    <row r="1305" spans="1:10" x14ac:dyDescent="0.25">
      <c r="A1305" t="s">
        <v>6750</v>
      </c>
      <c r="B1305" s="3">
        <v>46295</v>
      </c>
      <c r="C1305" t="s">
        <v>693</v>
      </c>
      <c r="D1305" t="s">
        <v>582</v>
      </c>
      <c r="E1305">
        <v>50</v>
      </c>
      <c r="F1305" t="s">
        <v>2</v>
      </c>
      <c r="G1305" t="s">
        <v>4228</v>
      </c>
      <c r="H1305" t="s">
        <v>6751</v>
      </c>
      <c r="I1305" t="s">
        <v>175</v>
      </c>
      <c r="J1305" t="s">
        <v>2513</v>
      </c>
    </row>
    <row r="1306" spans="1:10" x14ac:dyDescent="0.25">
      <c r="A1306" t="s">
        <v>6752</v>
      </c>
      <c r="B1306" s="3">
        <v>46296</v>
      </c>
      <c r="C1306" t="s">
        <v>342</v>
      </c>
      <c r="D1306" t="s">
        <v>240</v>
      </c>
      <c r="E1306">
        <v>13</v>
      </c>
      <c r="F1306" t="s">
        <v>2</v>
      </c>
      <c r="G1306" t="s">
        <v>4231</v>
      </c>
      <c r="H1306" t="s">
        <v>6753</v>
      </c>
      <c r="I1306" t="s">
        <v>195</v>
      </c>
      <c r="J1306" t="s">
        <v>2500</v>
      </c>
    </row>
    <row r="1307" spans="1:10" x14ac:dyDescent="0.25">
      <c r="A1307" t="s">
        <v>6754</v>
      </c>
      <c r="B1307" s="3">
        <v>46296</v>
      </c>
      <c r="C1307" t="s">
        <v>337</v>
      </c>
      <c r="D1307" t="s">
        <v>240</v>
      </c>
      <c r="E1307">
        <v>3</v>
      </c>
      <c r="F1307" t="s">
        <v>2</v>
      </c>
      <c r="G1307" t="s">
        <v>4231</v>
      </c>
      <c r="H1307" t="s">
        <v>6755</v>
      </c>
      <c r="I1307" t="s">
        <v>142</v>
      </c>
      <c r="J1307" t="s">
        <v>2509</v>
      </c>
    </row>
    <row r="1308" spans="1:10" x14ac:dyDescent="0.25">
      <c r="A1308" t="s">
        <v>6756</v>
      </c>
      <c r="B1308" s="3">
        <v>46296</v>
      </c>
      <c r="C1308" t="s">
        <v>458</v>
      </c>
      <c r="D1308" t="s">
        <v>360</v>
      </c>
      <c r="E1308">
        <v>14</v>
      </c>
      <c r="F1308" t="s">
        <v>358</v>
      </c>
      <c r="G1308" t="s">
        <v>4225</v>
      </c>
      <c r="H1308" t="s">
        <v>6757</v>
      </c>
      <c r="I1308" t="s">
        <v>42</v>
      </c>
      <c r="J1308" t="s">
        <v>2513</v>
      </c>
    </row>
    <row r="1309" spans="1:10" x14ac:dyDescent="0.25">
      <c r="A1309" t="s">
        <v>6758</v>
      </c>
      <c r="B1309" s="3">
        <v>46296</v>
      </c>
      <c r="C1309" t="s">
        <v>296</v>
      </c>
      <c r="D1309" t="s">
        <v>234</v>
      </c>
      <c r="E1309">
        <v>38</v>
      </c>
      <c r="F1309" t="s">
        <v>2</v>
      </c>
      <c r="G1309" t="s">
        <v>4234</v>
      </c>
      <c r="H1309" t="s">
        <v>6759</v>
      </c>
      <c r="I1309" t="s">
        <v>297</v>
      </c>
      <c r="J1309" t="s">
        <v>2500</v>
      </c>
    </row>
    <row r="1310" spans="1:10" x14ac:dyDescent="0.25">
      <c r="A1310" t="s">
        <v>6760</v>
      </c>
      <c r="B1310" s="3">
        <v>46296</v>
      </c>
      <c r="C1310" t="s">
        <v>536</v>
      </c>
      <c r="D1310" t="s">
        <v>481</v>
      </c>
      <c r="E1310">
        <v>9</v>
      </c>
      <c r="F1310" t="s">
        <v>2</v>
      </c>
      <c r="G1310" t="s">
        <v>4228</v>
      </c>
      <c r="H1310" t="s">
        <v>6761</v>
      </c>
      <c r="I1310" t="s">
        <v>221</v>
      </c>
      <c r="J1310" t="s">
        <v>2500</v>
      </c>
    </row>
    <row r="1311" spans="1:10" x14ac:dyDescent="0.25">
      <c r="A1311" t="s">
        <v>6762</v>
      </c>
      <c r="B1311" s="3">
        <v>46296</v>
      </c>
      <c r="C1311" t="s">
        <v>404</v>
      </c>
      <c r="D1311" t="s">
        <v>357</v>
      </c>
      <c r="E1311">
        <v>17</v>
      </c>
      <c r="F1311" t="s">
        <v>358</v>
      </c>
      <c r="G1311" t="s">
        <v>4234</v>
      </c>
      <c r="H1311" t="s">
        <v>6763</v>
      </c>
      <c r="I1311" t="s">
        <v>149</v>
      </c>
      <c r="J1311" t="s">
        <v>2503</v>
      </c>
    </row>
    <row r="1312" spans="1:10" x14ac:dyDescent="0.25">
      <c r="A1312" t="s">
        <v>6764</v>
      </c>
      <c r="B1312" s="3">
        <v>46296</v>
      </c>
      <c r="C1312" t="s">
        <v>627</v>
      </c>
      <c r="D1312" t="s">
        <v>589</v>
      </c>
      <c r="E1312">
        <v>17</v>
      </c>
      <c r="F1312" t="s">
        <v>469</v>
      </c>
      <c r="G1312" t="s">
        <v>4231</v>
      </c>
      <c r="H1312" t="s">
        <v>6765</v>
      </c>
      <c r="I1312" t="s">
        <v>149</v>
      </c>
      <c r="J1312" t="s">
        <v>2503</v>
      </c>
    </row>
    <row r="1313" spans="1:10" x14ac:dyDescent="0.25">
      <c r="A1313" t="s">
        <v>6766</v>
      </c>
      <c r="B1313" s="3">
        <v>46296</v>
      </c>
      <c r="C1313" t="s">
        <v>663</v>
      </c>
      <c r="D1313" t="s">
        <v>587</v>
      </c>
      <c r="E1313">
        <v>53</v>
      </c>
      <c r="F1313" t="s">
        <v>2</v>
      </c>
      <c r="G1313" t="s">
        <v>4222</v>
      </c>
      <c r="H1313" t="s">
        <v>6767</v>
      </c>
      <c r="I1313" t="s">
        <v>464</v>
      </c>
      <c r="J1313" t="s">
        <v>2500</v>
      </c>
    </row>
    <row r="1314" spans="1:10" x14ac:dyDescent="0.25">
      <c r="A1314" t="s">
        <v>6768</v>
      </c>
      <c r="B1314" s="3">
        <v>46296</v>
      </c>
      <c r="C1314" t="s">
        <v>621</v>
      </c>
      <c r="D1314" t="s">
        <v>582</v>
      </c>
      <c r="E1314">
        <v>25</v>
      </c>
      <c r="F1314" t="s">
        <v>2</v>
      </c>
      <c r="G1314" t="s">
        <v>4228</v>
      </c>
      <c r="H1314" t="s">
        <v>6769</v>
      </c>
      <c r="I1314" t="s">
        <v>312</v>
      </c>
      <c r="J1314" t="s">
        <v>2509</v>
      </c>
    </row>
    <row r="1315" spans="1:10" x14ac:dyDescent="0.25">
      <c r="A1315" t="s">
        <v>6770</v>
      </c>
      <c r="B1315" s="3">
        <v>46296</v>
      </c>
      <c r="C1315" t="s">
        <v>380</v>
      </c>
      <c r="D1315" t="s">
        <v>344</v>
      </c>
      <c r="E1315">
        <v>18</v>
      </c>
      <c r="F1315" t="s">
        <v>346</v>
      </c>
      <c r="G1315" t="s">
        <v>4228</v>
      </c>
      <c r="H1315" t="s">
        <v>6771</v>
      </c>
      <c r="I1315" t="s">
        <v>129</v>
      </c>
      <c r="J1315" t="s">
        <v>2503</v>
      </c>
    </row>
    <row r="1316" spans="1:10" x14ac:dyDescent="0.25">
      <c r="A1316" t="s">
        <v>6772</v>
      </c>
      <c r="B1316" s="3">
        <v>46296</v>
      </c>
      <c r="C1316" t="s">
        <v>660</v>
      </c>
      <c r="D1316" t="s">
        <v>629</v>
      </c>
      <c r="E1316">
        <v>43</v>
      </c>
      <c r="F1316" t="s">
        <v>355</v>
      </c>
      <c r="G1316" t="s">
        <v>4225</v>
      </c>
      <c r="H1316" t="s">
        <v>6773</v>
      </c>
      <c r="I1316" t="s">
        <v>312</v>
      </c>
      <c r="J1316" t="s">
        <v>2513</v>
      </c>
    </row>
    <row r="1317" spans="1:10" x14ac:dyDescent="0.25">
      <c r="A1317" t="s">
        <v>6774</v>
      </c>
      <c r="B1317" s="3">
        <v>46296</v>
      </c>
      <c r="C1317" t="s">
        <v>337</v>
      </c>
      <c r="D1317" t="s">
        <v>240</v>
      </c>
      <c r="E1317">
        <v>40</v>
      </c>
      <c r="F1317" t="s">
        <v>2</v>
      </c>
      <c r="G1317" t="s">
        <v>4234</v>
      </c>
      <c r="H1317" t="s">
        <v>6775</v>
      </c>
      <c r="I1317" t="s">
        <v>142</v>
      </c>
      <c r="J1317" t="s">
        <v>2503</v>
      </c>
    </row>
    <row r="1318" spans="1:10" x14ac:dyDescent="0.25">
      <c r="A1318" t="s">
        <v>6776</v>
      </c>
      <c r="B1318" s="3">
        <v>46296</v>
      </c>
      <c r="C1318" t="s">
        <v>405</v>
      </c>
      <c r="D1318" t="s">
        <v>344</v>
      </c>
      <c r="E1318">
        <v>14</v>
      </c>
      <c r="F1318" t="s">
        <v>346</v>
      </c>
      <c r="G1318" t="s">
        <v>4222</v>
      </c>
      <c r="H1318" t="s">
        <v>6777</v>
      </c>
      <c r="I1318" t="s">
        <v>121</v>
      </c>
      <c r="J1318" t="s">
        <v>2509</v>
      </c>
    </row>
    <row r="1319" spans="1:10" x14ac:dyDescent="0.25">
      <c r="A1319" t="s">
        <v>6778</v>
      </c>
      <c r="B1319" s="3">
        <v>46296</v>
      </c>
      <c r="C1319" t="s">
        <v>376</v>
      </c>
      <c r="D1319" t="s">
        <v>351</v>
      </c>
      <c r="E1319">
        <v>45</v>
      </c>
      <c r="F1319" t="s">
        <v>2</v>
      </c>
      <c r="G1319" t="s">
        <v>4225</v>
      </c>
      <c r="H1319" t="s">
        <v>6779</v>
      </c>
      <c r="I1319" t="s">
        <v>259</v>
      </c>
      <c r="J1319" t="s">
        <v>2509</v>
      </c>
    </row>
    <row r="1320" spans="1:10" x14ac:dyDescent="0.25">
      <c r="A1320" t="s">
        <v>6780</v>
      </c>
      <c r="B1320" s="3">
        <v>46296</v>
      </c>
      <c r="C1320" t="s">
        <v>503</v>
      </c>
      <c r="D1320" t="s">
        <v>476</v>
      </c>
      <c r="E1320">
        <v>51</v>
      </c>
      <c r="F1320" t="s">
        <v>477</v>
      </c>
      <c r="G1320" t="s">
        <v>4228</v>
      </c>
      <c r="H1320" t="s">
        <v>6781</v>
      </c>
      <c r="I1320" t="s">
        <v>259</v>
      </c>
      <c r="J1320" t="s">
        <v>2503</v>
      </c>
    </row>
    <row r="1321" spans="1:10" x14ac:dyDescent="0.25">
      <c r="A1321" t="s">
        <v>6782</v>
      </c>
      <c r="B1321" s="3">
        <v>46296</v>
      </c>
      <c r="C1321" t="s">
        <v>567</v>
      </c>
      <c r="D1321" t="s">
        <v>502</v>
      </c>
      <c r="E1321">
        <v>1</v>
      </c>
      <c r="F1321" t="s">
        <v>469</v>
      </c>
      <c r="G1321" t="s">
        <v>4228</v>
      </c>
      <c r="H1321" t="s">
        <v>6783</v>
      </c>
      <c r="I1321" t="s">
        <v>152</v>
      </c>
      <c r="J1321" t="s">
        <v>2513</v>
      </c>
    </row>
    <row r="1322" spans="1:10" x14ac:dyDescent="0.25">
      <c r="A1322" t="s">
        <v>6784</v>
      </c>
      <c r="B1322" s="3">
        <v>46296</v>
      </c>
      <c r="C1322" t="s">
        <v>28</v>
      </c>
      <c r="D1322" t="s">
        <v>29</v>
      </c>
      <c r="E1322">
        <v>5</v>
      </c>
      <c r="F1322" t="s">
        <v>2</v>
      </c>
      <c r="G1322" t="s">
        <v>4222</v>
      </c>
      <c r="H1322" t="s">
        <v>6785</v>
      </c>
      <c r="I1322" t="s">
        <v>30</v>
      </c>
      <c r="J1322" t="s">
        <v>2500</v>
      </c>
    </row>
    <row r="1323" spans="1:10" x14ac:dyDescent="0.25">
      <c r="A1323" t="s">
        <v>6786</v>
      </c>
      <c r="B1323" s="3">
        <v>46296</v>
      </c>
      <c r="C1323" t="s">
        <v>271</v>
      </c>
      <c r="D1323" t="s">
        <v>225</v>
      </c>
      <c r="E1323">
        <v>12</v>
      </c>
      <c r="F1323" t="s">
        <v>2</v>
      </c>
      <c r="G1323" t="s">
        <v>4231</v>
      </c>
      <c r="H1323" t="s">
        <v>6787</v>
      </c>
      <c r="I1323" t="s">
        <v>147</v>
      </c>
      <c r="J1323" t="s">
        <v>2503</v>
      </c>
    </row>
    <row r="1324" spans="1:10" x14ac:dyDescent="0.25">
      <c r="A1324" t="s">
        <v>6788</v>
      </c>
      <c r="B1324" s="3">
        <v>46296</v>
      </c>
      <c r="C1324" t="s">
        <v>191</v>
      </c>
      <c r="D1324" t="s">
        <v>163</v>
      </c>
      <c r="E1324">
        <v>48</v>
      </c>
      <c r="F1324" t="s">
        <v>2</v>
      </c>
      <c r="G1324" t="s">
        <v>4231</v>
      </c>
      <c r="H1324" t="s">
        <v>6789</v>
      </c>
      <c r="I1324" t="s">
        <v>95</v>
      </c>
      <c r="J1324" t="s">
        <v>2500</v>
      </c>
    </row>
    <row r="1325" spans="1:10" x14ac:dyDescent="0.25">
      <c r="A1325" t="s">
        <v>6790</v>
      </c>
      <c r="B1325" s="3">
        <v>46296</v>
      </c>
      <c r="C1325" t="s">
        <v>111</v>
      </c>
      <c r="D1325" t="s">
        <v>66</v>
      </c>
      <c r="E1325">
        <v>6</v>
      </c>
      <c r="F1325" t="s">
        <v>2</v>
      </c>
      <c r="G1325" t="s">
        <v>4225</v>
      </c>
      <c r="H1325" t="s">
        <v>6791</v>
      </c>
      <c r="I1325" t="s">
        <v>104</v>
      </c>
      <c r="J1325" t="s">
        <v>2513</v>
      </c>
    </row>
    <row r="1326" spans="1:10" x14ac:dyDescent="0.25">
      <c r="A1326" t="s">
        <v>6792</v>
      </c>
      <c r="B1326" s="3">
        <v>46296</v>
      </c>
      <c r="C1326" t="s">
        <v>650</v>
      </c>
      <c r="D1326" t="s">
        <v>587</v>
      </c>
      <c r="E1326">
        <v>30</v>
      </c>
      <c r="F1326" t="s">
        <v>2</v>
      </c>
      <c r="G1326" t="s">
        <v>4228</v>
      </c>
      <c r="H1326" t="s">
        <v>6793</v>
      </c>
      <c r="I1326" t="s">
        <v>289</v>
      </c>
      <c r="J1326" t="s">
        <v>2503</v>
      </c>
    </row>
    <row r="1327" spans="1:10" x14ac:dyDescent="0.25">
      <c r="A1327" t="s">
        <v>6794</v>
      </c>
      <c r="B1327" s="3">
        <v>46296</v>
      </c>
      <c r="C1327" t="s">
        <v>442</v>
      </c>
      <c r="D1327" t="s">
        <v>382</v>
      </c>
      <c r="E1327">
        <v>13</v>
      </c>
      <c r="F1327" t="s">
        <v>383</v>
      </c>
      <c r="G1327" t="s">
        <v>4222</v>
      </c>
      <c r="H1327" t="s">
        <v>6795</v>
      </c>
      <c r="I1327" t="s">
        <v>203</v>
      </c>
      <c r="J1327" t="s">
        <v>2509</v>
      </c>
    </row>
    <row r="1328" spans="1:10" x14ac:dyDescent="0.25">
      <c r="A1328" t="s">
        <v>6796</v>
      </c>
      <c r="B1328" s="3">
        <v>46296</v>
      </c>
      <c r="C1328" t="s">
        <v>651</v>
      </c>
      <c r="D1328" t="s">
        <v>612</v>
      </c>
      <c r="E1328">
        <v>42</v>
      </c>
      <c r="F1328" t="s">
        <v>2</v>
      </c>
      <c r="G1328" t="s">
        <v>4222</v>
      </c>
      <c r="H1328" t="s">
        <v>6797</v>
      </c>
      <c r="I1328" t="s">
        <v>294</v>
      </c>
      <c r="J1328" t="s">
        <v>2513</v>
      </c>
    </row>
    <row r="1329" spans="1:10" x14ac:dyDescent="0.25">
      <c r="A1329" t="s">
        <v>6798</v>
      </c>
      <c r="B1329" s="3">
        <v>46296</v>
      </c>
      <c r="C1329" t="s">
        <v>14</v>
      </c>
      <c r="D1329" t="s">
        <v>15</v>
      </c>
      <c r="E1329">
        <v>13</v>
      </c>
      <c r="F1329" t="s">
        <v>2</v>
      </c>
      <c r="G1329" t="s">
        <v>4234</v>
      </c>
      <c r="H1329" t="s">
        <v>6799</v>
      </c>
      <c r="I1329" t="s">
        <v>19</v>
      </c>
      <c r="J1329" t="s">
        <v>2503</v>
      </c>
    </row>
    <row r="1330" spans="1:10" x14ac:dyDescent="0.25">
      <c r="A1330" t="s">
        <v>6800</v>
      </c>
      <c r="B1330" s="3">
        <v>46296</v>
      </c>
      <c r="C1330" t="s">
        <v>372</v>
      </c>
      <c r="D1330" t="s">
        <v>360</v>
      </c>
      <c r="E1330">
        <v>22</v>
      </c>
      <c r="F1330" t="s">
        <v>358</v>
      </c>
      <c r="G1330" t="s">
        <v>4228</v>
      </c>
      <c r="H1330" t="s">
        <v>6801</v>
      </c>
      <c r="I1330" t="s">
        <v>126</v>
      </c>
      <c r="J1330" t="s">
        <v>2513</v>
      </c>
    </row>
    <row r="1331" spans="1:10" x14ac:dyDescent="0.25">
      <c r="A1331" t="s">
        <v>6802</v>
      </c>
      <c r="B1331" s="3">
        <v>46296</v>
      </c>
      <c r="C1331" t="s">
        <v>228</v>
      </c>
      <c r="D1331" t="s">
        <v>218</v>
      </c>
      <c r="E1331">
        <v>27</v>
      </c>
      <c r="F1331" t="s">
        <v>2</v>
      </c>
      <c r="G1331" t="s">
        <v>4222</v>
      </c>
      <c r="H1331" t="s">
        <v>6803</v>
      </c>
      <c r="I1331" t="s">
        <v>67</v>
      </c>
      <c r="J1331" t="s">
        <v>2503</v>
      </c>
    </row>
    <row r="1332" spans="1:10" x14ac:dyDescent="0.25">
      <c r="A1332" t="s">
        <v>6804</v>
      </c>
      <c r="B1332" s="3">
        <v>46296</v>
      </c>
      <c r="C1332" t="s">
        <v>192</v>
      </c>
      <c r="D1332" t="s">
        <v>1</v>
      </c>
      <c r="E1332">
        <v>25</v>
      </c>
      <c r="F1332" t="s">
        <v>2</v>
      </c>
      <c r="G1332" t="s">
        <v>4222</v>
      </c>
      <c r="H1332" t="s">
        <v>6805</v>
      </c>
      <c r="I1332" t="s">
        <v>193</v>
      </c>
      <c r="J1332" t="s">
        <v>2503</v>
      </c>
    </row>
    <row r="1333" spans="1:10" x14ac:dyDescent="0.25">
      <c r="A1333" t="s">
        <v>6806</v>
      </c>
      <c r="B1333" s="3">
        <v>46296</v>
      </c>
      <c r="C1333" t="s">
        <v>434</v>
      </c>
      <c r="D1333" t="s">
        <v>360</v>
      </c>
      <c r="E1333">
        <v>22</v>
      </c>
      <c r="F1333" t="s">
        <v>358</v>
      </c>
      <c r="G1333" t="s">
        <v>4222</v>
      </c>
      <c r="H1333" t="s">
        <v>6807</v>
      </c>
      <c r="I1333" t="s">
        <v>69</v>
      </c>
      <c r="J1333" t="s">
        <v>2509</v>
      </c>
    </row>
    <row r="1334" spans="1:10" x14ac:dyDescent="0.25">
      <c r="A1334" t="s">
        <v>6808</v>
      </c>
      <c r="B1334" s="3">
        <v>46296</v>
      </c>
      <c r="C1334" t="s">
        <v>482</v>
      </c>
      <c r="D1334" t="s">
        <v>467</v>
      </c>
      <c r="E1334">
        <v>2</v>
      </c>
      <c r="F1334" t="s">
        <v>469</v>
      </c>
      <c r="G1334" t="s">
        <v>4231</v>
      </c>
      <c r="H1334" t="s">
        <v>6809</v>
      </c>
      <c r="I1334" t="s">
        <v>77</v>
      </c>
      <c r="J1334" t="s">
        <v>2500</v>
      </c>
    </row>
    <row r="1335" spans="1:10" x14ac:dyDescent="0.25">
      <c r="A1335" t="s">
        <v>6810</v>
      </c>
      <c r="B1335" s="3">
        <v>46296</v>
      </c>
      <c r="C1335" t="s">
        <v>641</v>
      </c>
      <c r="D1335" t="s">
        <v>589</v>
      </c>
      <c r="E1335">
        <v>2</v>
      </c>
      <c r="F1335" t="s">
        <v>469</v>
      </c>
      <c r="G1335" t="s">
        <v>4228</v>
      </c>
      <c r="H1335" t="s">
        <v>6811</v>
      </c>
      <c r="I1335" t="s">
        <v>124</v>
      </c>
      <c r="J1335" t="s">
        <v>2500</v>
      </c>
    </row>
    <row r="1336" spans="1:10" x14ac:dyDescent="0.25">
      <c r="A1336" t="s">
        <v>6812</v>
      </c>
      <c r="B1336" s="3">
        <v>46296</v>
      </c>
      <c r="C1336" t="s">
        <v>452</v>
      </c>
      <c r="D1336" t="s">
        <v>344</v>
      </c>
      <c r="E1336">
        <v>55</v>
      </c>
      <c r="F1336" t="s">
        <v>346</v>
      </c>
      <c r="G1336" t="s">
        <v>4228</v>
      </c>
      <c r="H1336" t="s">
        <v>6813</v>
      </c>
      <c r="I1336" t="s">
        <v>250</v>
      </c>
      <c r="J1336" t="s">
        <v>2509</v>
      </c>
    </row>
    <row r="1337" spans="1:10" x14ac:dyDescent="0.25">
      <c r="A1337" t="s">
        <v>6814</v>
      </c>
      <c r="B1337" s="3">
        <v>46296</v>
      </c>
      <c r="C1337" t="s">
        <v>593</v>
      </c>
      <c r="D1337" t="s">
        <v>594</v>
      </c>
      <c r="E1337">
        <v>14</v>
      </c>
      <c r="F1337" t="s">
        <v>595</v>
      </c>
      <c r="G1337" t="s">
        <v>4228</v>
      </c>
      <c r="H1337" t="s">
        <v>6815</v>
      </c>
      <c r="I1337" t="s">
        <v>149</v>
      </c>
      <c r="J1337" t="s">
        <v>2503</v>
      </c>
    </row>
    <row r="1338" spans="1:10" x14ac:dyDescent="0.25">
      <c r="A1338" t="s">
        <v>6816</v>
      </c>
      <c r="B1338" s="3">
        <v>46296</v>
      </c>
      <c r="C1338" t="s">
        <v>84</v>
      </c>
      <c r="D1338" t="s">
        <v>1</v>
      </c>
      <c r="E1338">
        <v>45</v>
      </c>
      <c r="F1338" t="s">
        <v>2</v>
      </c>
      <c r="G1338" t="s">
        <v>4228</v>
      </c>
      <c r="H1338" t="s">
        <v>6817</v>
      </c>
      <c r="I1338" t="s">
        <v>87</v>
      </c>
      <c r="J1338" t="s">
        <v>2513</v>
      </c>
    </row>
    <row r="1339" spans="1:10" x14ac:dyDescent="0.25">
      <c r="A1339" t="s">
        <v>6818</v>
      </c>
      <c r="B1339" s="3">
        <v>46296</v>
      </c>
      <c r="C1339" t="s">
        <v>384</v>
      </c>
      <c r="D1339" t="s">
        <v>366</v>
      </c>
      <c r="E1339">
        <v>53</v>
      </c>
      <c r="F1339" t="s">
        <v>2</v>
      </c>
      <c r="G1339" t="s">
        <v>4222</v>
      </c>
      <c r="H1339" t="s">
        <v>6819</v>
      </c>
      <c r="I1339" t="s">
        <v>104</v>
      </c>
      <c r="J1339" t="s">
        <v>2509</v>
      </c>
    </row>
    <row r="1340" spans="1:10" x14ac:dyDescent="0.25">
      <c r="A1340" t="s">
        <v>6820</v>
      </c>
      <c r="B1340" s="3">
        <v>46296</v>
      </c>
      <c r="C1340" t="s">
        <v>90</v>
      </c>
      <c r="D1340" t="s">
        <v>15</v>
      </c>
      <c r="E1340">
        <v>10</v>
      </c>
      <c r="F1340" t="s">
        <v>2</v>
      </c>
      <c r="G1340" t="s">
        <v>4234</v>
      </c>
      <c r="H1340" t="s">
        <v>6821</v>
      </c>
      <c r="I1340" t="s">
        <v>73</v>
      </c>
      <c r="J1340" t="s">
        <v>2503</v>
      </c>
    </row>
    <row r="1341" spans="1:10" x14ac:dyDescent="0.25">
      <c r="A1341" t="s">
        <v>6822</v>
      </c>
      <c r="B1341" s="3">
        <v>46296</v>
      </c>
      <c r="C1341" t="s">
        <v>586</v>
      </c>
      <c r="D1341" t="s">
        <v>587</v>
      </c>
      <c r="E1341">
        <v>18</v>
      </c>
      <c r="F1341" t="s">
        <v>2</v>
      </c>
      <c r="G1341" t="s">
        <v>4225</v>
      </c>
      <c r="H1341" t="s">
        <v>6823</v>
      </c>
      <c r="I1341" t="s">
        <v>166</v>
      </c>
      <c r="J1341" t="s">
        <v>2513</v>
      </c>
    </row>
    <row r="1342" spans="1:10" x14ac:dyDescent="0.25">
      <c r="A1342" t="s">
        <v>6824</v>
      </c>
      <c r="B1342" s="3">
        <v>46296</v>
      </c>
      <c r="C1342" t="s">
        <v>127</v>
      </c>
      <c r="D1342" t="s">
        <v>26</v>
      </c>
      <c r="E1342">
        <v>40</v>
      </c>
      <c r="F1342" t="s">
        <v>2</v>
      </c>
      <c r="G1342" t="s">
        <v>4225</v>
      </c>
      <c r="H1342" t="s">
        <v>6825</v>
      </c>
      <c r="I1342" t="s">
        <v>100</v>
      </c>
      <c r="J1342" t="s">
        <v>2509</v>
      </c>
    </row>
    <row r="1343" spans="1:10" x14ac:dyDescent="0.25">
      <c r="A1343" t="s">
        <v>6826</v>
      </c>
      <c r="B1343" s="3">
        <v>46296</v>
      </c>
      <c r="C1343" t="s">
        <v>453</v>
      </c>
      <c r="D1343" t="s">
        <v>354</v>
      </c>
      <c r="E1343">
        <v>5</v>
      </c>
      <c r="F1343" t="s">
        <v>355</v>
      </c>
      <c r="G1343" t="s">
        <v>4222</v>
      </c>
      <c r="H1343" t="s">
        <v>6827</v>
      </c>
      <c r="I1343" t="s">
        <v>124</v>
      </c>
      <c r="J1343" t="s">
        <v>2503</v>
      </c>
    </row>
    <row r="1344" spans="1:10" x14ac:dyDescent="0.25">
      <c r="A1344" t="s">
        <v>6828</v>
      </c>
      <c r="B1344" s="3">
        <v>46296</v>
      </c>
      <c r="C1344" t="s">
        <v>255</v>
      </c>
      <c r="D1344" t="s">
        <v>234</v>
      </c>
      <c r="E1344">
        <v>36</v>
      </c>
      <c r="F1344" t="s">
        <v>2</v>
      </c>
      <c r="G1344" t="s">
        <v>4225</v>
      </c>
      <c r="H1344" t="s">
        <v>6829</v>
      </c>
      <c r="I1344" t="s">
        <v>38</v>
      </c>
      <c r="J1344" t="s">
        <v>2509</v>
      </c>
    </row>
    <row r="1345" spans="1:10" x14ac:dyDescent="0.25">
      <c r="A1345" t="s">
        <v>6830</v>
      </c>
      <c r="B1345" s="3">
        <v>46296</v>
      </c>
      <c r="C1345" t="s">
        <v>212</v>
      </c>
      <c r="D1345" t="s">
        <v>213</v>
      </c>
      <c r="E1345">
        <v>32</v>
      </c>
      <c r="F1345" t="s">
        <v>2</v>
      </c>
      <c r="G1345" t="s">
        <v>4234</v>
      </c>
      <c r="H1345" t="s">
        <v>6831</v>
      </c>
      <c r="I1345" t="s">
        <v>129</v>
      </c>
      <c r="J1345" t="s">
        <v>2509</v>
      </c>
    </row>
    <row r="1346" spans="1:10" x14ac:dyDescent="0.25">
      <c r="A1346" t="s">
        <v>6832</v>
      </c>
      <c r="B1346" s="3">
        <v>46297</v>
      </c>
      <c r="C1346" t="s">
        <v>424</v>
      </c>
      <c r="D1346" t="s">
        <v>349</v>
      </c>
      <c r="E1346">
        <v>25</v>
      </c>
      <c r="F1346" t="s">
        <v>2</v>
      </c>
      <c r="G1346" t="s">
        <v>4231</v>
      </c>
      <c r="H1346" t="s">
        <v>6833</v>
      </c>
      <c r="I1346" t="s">
        <v>152</v>
      </c>
      <c r="J1346" t="s">
        <v>2509</v>
      </c>
    </row>
    <row r="1347" spans="1:10" x14ac:dyDescent="0.25">
      <c r="A1347" t="s">
        <v>6834</v>
      </c>
      <c r="B1347" s="3">
        <v>46297</v>
      </c>
      <c r="C1347" t="s">
        <v>375</v>
      </c>
      <c r="D1347" t="s">
        <v>364</v>
      </c>
      <c r="E1347">
        <v>31</v>
      </c>
      <c r="F1347" t="s">
        <v>358</v>
      </c>
      <c r="G1347" t="s">
        <v>4234</v>
      </c>
      <c r="H1347" t="s">
        <v>6835</v>
      </c>
      <c r="I1347" t="s">
        <v>110</v>
      </c>
      <c r="J1347" t="s">
        <v>2513</v>
      </c>
    </row>
    <row r="1348" spans="1:10" x14ac:dyDescent="0.25">
      <c r="A1348" t="s">
        <v>6836</v>
      </c>
      <c r="B1348" s="3">
        <v>46297</v>
      </c>
      <c r="C1348" t="s">
        <v>400</v>
      </c>
      <c r="D1348" t="s">
        <v>349</v>
      </c>
      <c r="E1348">
        <v>35</v>
      </c>
      <c r="F1348" t="s">
        <v>2</v>
      </c>
      <c r="G1348" t="s">
        <v>4231</v>
      </c>
      <c r="H1348" t="s">
        <v>6837</v>
      </c>
      <c r="I1348" t="s">
        <v>171</v>
      </c>
      <c r="J1348" t="s">
        <v>2509</v>
      </c>
    </row>
    <row r="1349" spans="1:10" x14ac:dyDescent="0.25">
      <c r="A1349" t="s">
        <v>6838</v>
      </c>
      <c r="B1349" s="3">
        <v>46297</v>
      </c>
      <c r="C1349" t="s">
        <v>28</v>
      </c>
      <c r="D1349" t="s">
        <v>29</v>
      </c>
      <c r="E1349">
        <v>54</v>
      </c>
      <c r="F1349" t="s">
        <v>2</v>
      </c>
      <c r="G1349" t="s">
        <v>4222</v>
      </c>
      <c r="H1349" t="s">
        <v>6839</v>
      </c>
      <c r="I1349" t="s">
        <v>30</v>
      </c>
      <c r="J1349" t="s">
        <v>2513</v>
      </c>
    </row>
    <row r="1350" spans="1:10" x14ac:dyDescent="0.25">
      <c r="A1350" t="s">
        <v>6840</v>
      </c>
      <c r="B1350" s="3">
        <v>46297</v>
      </c>
      <c r="C1350" t="s">
        <v>637</v>
      </c>
      <c r="D1350" t="s">
        <v>629</v>
      </c>
      <c r="E1350">
        <v>30</v>
      </c>
      <c r="F1350" t="s">
        <v>355</v>
      </c>
      <c r="G1350" t="s">
        <v>4228</v>
      </c>
      <c r="H1350" t="s">
        <v>6841</v>
      </c>
      <c r="I1350" t="s">
        <v>19</v>
      </c>
      <c r="J1350" t="s">
        <v>2503</v>
      </c>
    </row>
    <row r="1351" spans="1:10" x14ac:dyDescent="0.25">
      <c r="A1351" t="s">
        <v>6842</v>
      </c>
      <c r="B1351" s="3">
        <v>46297</v>
      </c>
      <c r="C1351" t="s">
        <v>337</v>
      </c>
      <c r="D1351" t="s">
        <v>240</v>
      </c>
      <c r="E1351">
        <v>1</v>
      </c>
      <c r="F1351" t="s">
        <v>2</v>
      </c>
      <c r="G1351" t="s">
        <v>4222</v>
      </c>
      <c r="H1351" t="s">
        <v>6843</v>
      </c>
      <c r="I1351" t="s">
        <v>142</v>
      </c>
      <c r="J1351" t="s">
        <v>2503</v>
      </c>
    </row>
    <row r="1352" spans="1:10" x14ac:dyDescent="0.25">
      <c r="A1352" t="s">
        <v>6844</v>
      </c>
      <c r="B1352" s="3">
        <v>46297</v>
      </c>
      <c r="C1352" t="s">
        <v>527</v>
      </c>
      <c r="D1352" t="s">
        <v>467</v>
      </c>
      <c r="E1352">
        <v>3</v>
      </c>
      <c r="F1352" t="s">
        <v>469</v>
      </c>
      <c r="G1352" t="s">
        <v>4225</v>
      </c>
      <c r="H1352" t="s">
        <v>6845</v>
      </c>
      <c r="I1352" t="s">
        <v>289</v>
      </c>
      <c r="J1352" t="s">
        <v>2503</v>
      </c>
    </row>
    <row r="1353" spans="1:10" x14ac:dyDescent="0.25">
      <c r="A1353" t="s">
        <v>6846</v>
      </c>
      <c r="B1353" s="3">
        <v>46297</v>
      </c>
      <c r="C1353" t="s">
        <v>433</v>
      </c>
      <c r="D1353" t="s">
        <v>354</v>
      </c>
      <c r="E1353">
        <v>44</v>
      </c>
      <c r="F1353" t="s">
        <v>355</v>
      </c>
      <c r="G1353" t="s">
        <v>4225</v>
      </c>
      <c r="H1353" t="s">
        <v>6847</v>
      </c>
      <c r="I1353" t="s">
        <v>203</v>
      </c>
      <c r="J1353" t="s">
        <v>2509</v>
      </c>
    </row>
    <row r="1354" spans="1:10" x14ac:dyDescent="0.25">
      <c r="A1354" t="s">
        <v>6848</v>
      </c>
      <c r="B1354" s="3">
        <v>46297</v>
      </c>
      <c r="C1354" t="s">
        <v>125</v>
      </c>
      <c r="D1354" t="s">
        <v>15</v>
      </c>
      <c r="E1354">
        <v>34</v>
      </c>
      <c r="F1354" t="s">
        <v>2</v>
      </c>
      <c r="G1354" t="s">
        <v>4231</v>
      </c>
      <c r="H1354" t="s">
        <v>6849</v>
      </c>
      <c r="I1354" t="s">
        <v>126</v>
      </c>
      <c r="J1354" t="s">
        <v>2513</v>
      </c>
    </row>
    <row r="1355" spans="1:10" x14ac:dyDescent="0.25">
      <c r="A1355" t="s">
        <v>6850</v>
      </c>
      <c r="B1355" s="3">
        <v>46297</v>
      </c>
      <c r="C1355" t="s">
        <v>499</v>
      </c>
      <c r="D1355" t="s">
        <v>479</v>
      </c>
      <c r="E1355">
        <v>34</v>
      </c>
      <c r="F1355" t="s">
        <v>469</v>
      </c>
      <c r="G1355" t="s">
        <v>4222</v>
      </c>
      <c r="H1355" t="s">
        <v>6851</v>
      </c>
      <c r="I1355" t="s">
        <v>173</v>
      </c>
      <c r="J1355" t="s">
        <v>2500</v>
      </c>
    </row>
    <row r="1356" spans="1:10" x14ac:dyDescent="0.25">
      <c r="A1356" t="s">
        <v>6852</v>
      </c>
      <c r="B1356" s="3">
        <v>46297</v>
      </c>
      <c r="C1356" t="s">
        <v>288</v>
      </c>
      <c r="D1356" t="s">
        <v>261</v>
      </c>
      <c r="E1356">
        <v>51</v>
      </c>
      <c r="F1356" t="s">
        <v>2</v>
      </c>
      <c r="G1356" t="s">
        <v>4228</v>
      </c>
      <c r="H1356" t="s">
        <v>6853</v>
      </c>
      <c r="I1356" t="s">
        <v>289</v>
      </c>
      <c r="J1356" t="s">
        <v>2500</v>
      </c>
    </row>
    <row r="1357" spans="1:10" x14ac:dyDescent="0.25">
      <c r="A1357" t="s">
        <v>6854</v>
      </c>
      <c r="B1357" s="3">
        <v>46297</v>
      </c>
      <c r="C1357" t="s">
        <v>511</v>
      </c>
      <c r="D1357" t="s">
        <v>502</v>
      </c>
      <c r="E1357">
        <v>47</v>
      </c>
      <c r="F1357" t="s">
        <v>469</v>
      </c>
      <c r="G1357" t="s">
        <v>4222</v>
      </c>
      <c r="H1357" t="s">
        <v>6855</v>
      </c>
      <c r="I1357" t="s">
        <v>512</v>
      </c>
      <c r="J1357" t="s">
        <v>2500</v>
      </c>
    </row>
    <row r="1358" spans="1:10" x14ac:dyDescent="0.25">
      <c r="A1358" t="s">
        <v>6856</v>
      </c>
      <c r="B1358" s="3">
        <v>46297</v>
      </c>
      <c r="C1358" t="s">
        <v>374</v>
      </c>
      <c r="D1358" t="s">
        <v>366</v>
      </c>
      <c r="E1358">
        <v>49</v>
      </c>
      <c r="F1358" t="s">
        <v>2</v>
      </c>
      <c r="G1358" t="s">
        <v>4234</v>
      </c>
      <c r="H1358" t="s">
        <v>6857</v>
      </c>
      <c r="I1358" t="s">
        <v>161</v>
      </c>
      <c r="J1358" t="s">
        <v>2509</v>
      </c>
    </row>
    <row r="1359" spans="1:10" x14ac:dyDescent="0.25">
      <c r="A1359" t="s">
        <v>6858</v>
      </c>
      <c r="B1359" s="3">
        <v>46297</v>
      </c>
      <c r="C1359" t="s">
        <v>633</v>
      </c>
      <c r="D1359" t="s">
        <v>587</v>
      </c>
      <c r="E1359">
        <v>16</v>
      </c>
      <c r="F1359" t="s">
        <v>2</v>
      </c>
      <c r="G1359" t="s">
        <v>4225</v>
      </c>
      <c r="H1359" t="s">
        <v>6859</v>
      </c>
      <c r="I1359" t="s">
        <v>171</v>
      </c>
      <c r="J1359" t="s">
        <v>2513</v>
      </c>
    </row>
    <row r="1360" spans="1:10" x14ac:dyDescent="0.25">
      <c r="A1360" t="s">
        <v>6860</v>
      </c>
      <c r="B1360" s="3">
        <v>46297</v>
      </c>
      <c r="C1360" t="s">
        <v>262</v>
      </c>
      <c r="D1360" t="s">
        <v>223</v>
      </c>
      <c r="E1360">
        <v>11</v>
      </c>
      <c r="F1360" t="s">
        <v>2</v>
      </c>
      <c r="G1360" t="s">
        <v>4234</v>
      </c>
      <c r="H1360" t="s">
        <v>6861</v>
      </c>
      <c r="I1360" t="s">
        <v>259</v>
      </c>
      <c r="J1360" t="s">
        <v>2503</v>
      </c>
    </row>
    <row r="1361" spans="1:10" x14ac:dyDescent="0.25">
      <c r="A1361" t="s">
        <v>6862</v>
      </c>
      <c r="B1361" s="3">
        <v>46297</v>
      </c>
      <c r="C1361" t="s">
        <v>625</v>
      </c>
      <c r="D1361" t="s">
        <v>594</v>
      </c>
      <c r="E1361">
        <v>8</v>
      </c>
      <c r="F1361" t="s">
        <v>595</v>
      </c>
      <c r="G1361" t="s">
        <v>4225</v>
      </c>
      <c r="H1361" t="s">
        <v>6863</v>
      </c>
      <c r="I1361" t="s">
        <v>19</v>
      </c>
      <c r="J1361" t="s">
        <v>2513</v>
      </c>
    </row>
    <row r="1362" spans="1:10" x14ac:dyDescent="0.25">
      <c r="A1362" t="s">
        <v>6864</v>
      </c>
      <c r="B1362" s="3">
        <v>46297</v>
      </c>
      <c r="C1362" t="s">
        <v>613</v>
      </c>
      <c r="D1362" t="s">
        <v>597</v>
      </c>
      <c r="E1362">
        <v>7</v>
      </c>
      <c r="F1362" t="s">
        <v>355</v>
      </c>
      <c r="G1362" t="s">
        <v>4228</v>
      </c>
      <c r="H1362" t="s">
        <v>6865</v>
      </c>
      <c r="I1362" t="s">
        <v>221</v>
      </c>
      <c r="J1362" t="s">
        <v>2500</v>
      </c>
    </row>
    <row r="1363" spans="1:10" x14ac:dyDescent="0.25">
      <c r="A1363" t="s">
        <v>6866</v>
      </c>
      <c r="B1363" s="3">
        <v>46297</v>
      </c>
      <c r="C1363" t="s">
        <v>35</v>
      </c>
      <c r="D1363" t="s">
        <v>29</v>
      </c>
      <c r="E1363">
        <v>48</v>
      </c>
      <c r="F1363" t="s">
        <v>2</v>
      </c>
      <c r="G1363" t="s">
        <v>4225</v>
      </c>
      <c r="H1363" t="s">
        <v>6867</v>
      </c>
      <c r="I1363" t="s">
        <v>38</v>
      </c>
      <c r="J1363" t="s">
        <v>2503</v>
      </c>
    </row>
    <row r="1364" spans="1:10" x14ac:dyDescent="0.25">
      <c r="A1364" t="s">
        <v>6868</v>
      </c>
      <c r="B1364" s="3">
        <v>46297</v>
      </c>
      <c r="C1364" t="s">
        <v>421</v>
      </c>
      <c r="D1364" t="s">
        <v>360</v>
      </c>
      <c r="E1364">
        <v>14</v>
      </c>
      <c r="F1364" t="s">
        <v>358</v>
      </c>
      <c r="G1364" t="s">
        <v>4231</v>
      </c>
      <c r="H1364" t="s">
        <v>6869</v>
      </c>
      <c r="I1364" t="s">
        <v>144</v>
      </c>
      <c r="J1364" t="s">
        <v>2509</v>
      </c>
    </row>
    <row r="1365" spans="1:10" x14ac:dyDescent="0.25">
      <c r="A1365" t="s">
        <v>6870</v>
      </c>
      <c r="B1365" s="3">
        <v>46297</v>
      </c>
      <c r="C1365" t="s">
        <v>222</v>
      </c>
      <c r="D1365" t="s">
        <v>223</v>
      </c>
      <c r="E1365">
        <v>38</v>
      </c>
      <c r="F1365" t="s">
        <v>2</v>
      </c>
      <c r="G1365" t="s">
        <v>4234</v>
      </c>
      <c r="H1365" t="s">
        <v>6871</v>
      </c>
      <c r="I1365" t="s">
        <v>189</v>
      </c>
      <c r="J1365" t="s">
        <v>2513</v>
      </c>
    </row>
    <row r="1366" spans="1:10" x14ac:dyDescent="0.25">
      <c r="A1366" t="s">
        <v>6872</v>
      </c>
      <c r="B1366" s="3">
        <v>46297</v>
      </c>
      <c r="C1366" t="s">
        <v>180</v>
      </c>
      <c r="D1366" t="s">
        <v>15</v>
      </c>
      <c r="E1366">
        <v>5</v>
      </c>
      <c r="F1366" t="s">
        <v>2</v>
      </c>
      <c r="G1366" t="s">
        <v>4234</v>
      </c>
      <c r="H1366" t="s">
        <v>6873</v>
      </c>
      <c r="I1366" t="s">
        <v>181</v>
      </c>
      <c r="J1366" t="s">
        <v>2503</v>
      </c>
    </row>
    <row r="1367" spans="1:10" x14ac:dyDescent="0.25">
      <c r="A1367" t="s">
        <v>6874</v>
      </c>
      <c r="B1367" s="3">
        <v>46297</v>
      </c>
      <c r="C1367" t="s">
        <v>204</v>
      </c>
      <c r="D1367" t="s">
        <v>15</v>
      </c>
      <c r="E1367">
        <v>39</v>
      </c>
      <c r="F1367" t="s">
        <v>2</v>
      </c>
      <c r="G1367" t="s">
        <v>4225</v>
      </c>
      <c r="H1367" t="s">
        <v>6875</v>
      </c>
      <c r="I1367" t="s">
        <v>52</v>
      </c>
      <c r="J1367" t="s">
        <v>2509</v>
      </c>
    </row>
    <row r="1368" spans="1:10" x14ac:dyDescent="0.25">
      <c r="A1368" t="s">
        <v>6876</v>
      </c>
      <c r="B1368" s="3">
        <v>46297</v>
      </c>
      <c r="C1368" t="s">
        <v>496</v>
      </c>
      <c r="D1368" t="s">
        <v>490</v>
      </c>
      <c r="E1368">
        <v>41</v>
      </c>
      <c r="F1368" t="s">
        <v>355</v>
      </c>
      <c r="G1368" t="s">
        <v>4234</v>
      </c>
      <c r="H1368" t="s">
        <v>6877</v>
      </c>
      <c r="I1368" t="s">
        <v>42</v>
      </c>
      <c r="J1368" t="s">
        <v>2513</v>
      </c>
    </row>
    <row r="1369" spans="1:10" x14ac:dyDescent="0.25">
      <c r="A1369" t="s">
        <v>6878</v>
      </c>
      <c r="B1369" s="3">
        <v>46297</v>
      </c>
      <c r="C1369" t="s">
        <v>160</v>
      </c>
      <c r="D1369" t="s">
        <v>47</v>
      </c>
      <c r="E1369">
        <v>14</v>
      </c>
      <c r="F1369" t="s">
        <v>2</v>
      </c>
      <c r="G1369" t="s">
        <v>4222</v>
      </c>
      <c r="H1369" t="s">
        <v>6879</v>
      </c>
      <c r="I1369" t="s">
        <v>161</v>
      </c>
      <c r="J1369" t="s">
        <v>2513</v>
      </c>
    </row>
    <row r="1370" spans="1:10" x14ac:dyDescent="0.25">
      <c r="A1370" t="s">
        <v>6880</v>
      </c>
      <c r="B1370" s="3">
        <v>46297</v>
      </c>
      <c r="C1370" t="s">
        <v>407</v>
      </c>
      <c r="D1370" t="s">
        <v>344</v>
      </c>
      <c r="E1370">
        <v>50</v>
      </c>
      <c r="F1370" t="s">
        <v>346</v>
      </c>
      <c r="G1370" t="s">
        <v>4222</v>
      </c>
      <c r="H1370" t="s">
        <v>6881</v>
      </c>
      <c r="I1370" t="s">
        <v>30</v>
      </c>
      <c r="J1370" t="s">
        <v>2513</v>
      </c>
    </row>
    <row r="1371" spans="1:10" x14ac:dyDescent="0.25">
      <c r="A1371" t="s">
        <v>6882</v>
      </c>
      <c r="B1371" s="3">
        <v>46297</v>
      </c>
      <c r="C1371" t="s">
        <v>84</v>
      </c>
      <c r="D1371" t="s">
        <v>1</v>
      </c>
      <c r="E1371">
        <v>7</v>
      </c>
      <c r="F1371" t="s">
        <v>2</v>
      </c>
      <c r="G1371" t="s">
        <v>4225</v>
      </c>
      <c r="H1371" t="s">
        <v>6883</v>
      </c>
      <c r="I1371" t="s">
        <v>87</v>
      </c>
      <c r="J1371" t="s">
        <v>2513</v>
      </c>
    </row>
    <row r="1372" spans="1:10" x14ac:dyDescent="0.25">
      <c r="A1372" t="s">
        <v>6884</v>
      </c>
      <c r="B1372" s="3">
        <v>46297</v>
      </c>
      <c r="C1372" t="s">
        <v>687</v>
      </c>
      <c r="D1372" t="s">
        <v>612</v>
      </c>
      <c r="E1372">
        <v>43</v>
      </c>
      <c r="F1372" t="s">
        <v>2</v>
      </c>
      <c r="G1372" t="s">
        <v>4225</v>
      </c>
      <c r="H1372" t="s">
        <v>6885</v>
      </c>
      <c r="I1372" t="s">
        <v>59</v>
      </c>
      <c r="J1372" t="s">
        <v>2503</v>
      </c>
    </row>
    <row r="1373" spans="1:10" x14ac:dyDescent="0.25">
      <c r="A1373" t="s">
        <v>6886</v>
      </c>
      <c r="B1373" s="3">
        <v>46297</v>
      </c>
      <c r="C1373" t="s">
        <v>258</v>
      </c>
      <c r="D1373" t="s">
        <v>210</v>
      </c>
      <c r="E1373">
        <v>20</v>
      </c>
      <c r="F1373" t="s">
        <v>2</v>
      </c>
      <c r="G1373" t="s">
        <v>4225</v>
      </c>
      <c r="H1373" t="s">
        <v>6887</v>
      </c>
      <c r="I1373" t="s">
        <v>259</v>
      </c>
      <c r="J1373" t="s">
        <v>2503</v>
      </c>
    </row>
    <row r="1374" spans="1:10" x14ac:dyDescent="0.25">
      <c r="A1374" t="s">
        <v>6888</v>
      </c>
      <c r="B1374" s="3">
        <v>46297</v>
      </c>
      <c r="C1374" t="s">
        <v>120</v>
      </c>
      <c r="D1374" t="s">
        <v>54</v>
      </c>
      <c r="E1374">
        <v>27</v>
      </c>
      <c r="F1374" t="s">
        <v>2</v>
      </c>
      <c r="G1374" t="s">
        <v>4231</v>
      </c>
      <c r="H1374" t="s">
        <v>6889</v>
      </c>
      <c r="I1374" t="s">
        <v>121</v>
      </c>
      <c r="J1374" t="s">
        <v>2513</v>
      </c>
    </row>
    <row r="1375" spans="1:10" x14ac:dyDescent="0.25">
      <c r="A1375" t="s">
        <v>6890</v>
      </c>
      <c r="B1375" s="3">
        <v>46297</v>
      </c>
      <c r="C1375" t="s">
        <v>377</v>
      </c>
      <c r="D1375" t="s">
        <v>378</v>
      </c>
      <c r="E1375">
        <v>27</v>
      </c>
      <c r="F1375" t="s">
        <v>2</v>
      </c>
      <c r="G1375" t="s">
        <v>4222</v>
      </c>
      <c r="H1375" t="s">
        <v>6891</v>
      </c>
      <c r="I1375" t="s">
        <v>50</v>
      </c>
      <c r="J1375" t="s">
        <v>2509</v>
      </c>
    </row>
    <row r="1376" spans="1:10" x14ac:dyDescent="0.25">
      <c r="A1376" t="s">
        <v>6892</v>
      </c>
      <c r="B1376" s="3">
        <v>46297</v>
      </c>
      <c r="C1376" t="s">
        <v>329</v>
      </c>
      <c r="D1376" t="s">
        <v>227</v>
      </c>
      <c r="E1376">
        <v>47</v>
      </c>
      <c r="F1376" t="s">
        <v>2</v>
      </c>
      <c r="G1376" t="s">
        <v>4234</v>
      </c>
      <c r="H1376" t="s">
        <v>6893</v>
      </c>
      <c r="I1376" t="s">
        <v>330</v>
      </c>
      <c r="J1376" t="s">
        <v>2509</v>
      </c>
    </row>
    <row r="1377" spans="1:10" x14ac:dyDescent="0.25">
      <c r="A1377" t="s">
        <v>6894</v>
      </c>
      <c r="B1377" s="3">
        <v>46297</v>
      </c>
      <c r="C1377" t="s">
        <v>53</v>
      </c>
      <c r="D1377" t="s">
        <v>54</v>
      </c>
      <c r="E1377">
        <v>54</v>
      </c>
      <c r="F1377" t="s">
        <v>2</v>
      </c>
      <c r="G1377" t="s">
        <v>4222</v>
      </c>
      <c r="H1377" t="s">
        <v>6895</v>
      </c>
      <c r="I1377" t="s">
        <v>57</v>
      </c>
      <c r="J1377" t="s">
        <v>2503</v>
      </c>
    </row>
    <row r="1378" spans="1:10" x14ac:dyDescent="0.25">
      <c r="A1378" t="s">
        <v>6896</v>
      </c>
      <c r="B1378" s="3">
        <v>46297</v>
      </c>
      <c r="C1378" t="s">
        <v>114</v>
      </c>
      <c r="D1378" t="s">
        <v>21</v>
      </c>
      <c r="E1378">
        <v>20</v>
      </c>
      <c r="F1378" t="s">
        <v>2</v>
      </c>
      <c r="G1378" t="s">
        <v>4228</v>
      </c>
      <c r="H1378" t="s">
        <v>6897</v>
      </c>
      <c r="I1378" t="s">
        <v>42</v>
      </c>
      <c r="J1378" t="s">
        <v>2500</v>
      </c>
    </row>
    <row r="1379" spans="1:10" x14ac:dyDescent="0.25">
      <c r="A1379" t="s">
        <v>6898</v>
      </c>
      <c r="B1379" s="3">
        <v>46297</v>
      </c>
      <c r="C1379" t="s">
        <v>68</v>
      </c>
      <c r="D1379" t="s">
        <v>29</v>
      </c>
      <c r="E1379">
        <v>14</v>
      </c>
      <c r="F1379" t="s">
        <v>2</v>
      </c>
      <c r="G1379" t="s">
        <v>4228</v>
      </c>
      <c r="H1379" t="s">
        <v>6899</v>
      </c>
      <c r="I1379" t="s">
        <v>69</v>
      </c>
      <c r="J1379" t="s">
        <v>2503</v>
      </c>
    </row>
    <row r="1380" spans="1:10" x14ac:dyDescent="0.25">
      <c r="A1380" t="s">
        <v>6900</v>
      </c>
      <c r="B1380" s="3">
        <v>46298</v>
      </c>
      <c r="C1380" t="s">
        <v>679</v>
      </c>
      <c r="D1380" t="s">
        <v>597</v>
      </c>
      <c r="E1380">
        <v>12</v>
      </c>
      <c r="F1380" t="s">
        <v>355</v>
      </c>
      <c r="G1380" t="s">
        <v>4228</v>
      </c>
      <c r="H1380" t="s">
        <v>6901</v>
      </c>
      <c r="I1380" t="s">
        <v>368</v>
      </c>
      <c r="J1380" t="s">
        <v>2500</v>
      </c>
    </row>
    <row r="1381" spans="1:10" x14ac:dyDescent="0.25">
      <c r="A1381" t="s">
        <v>6902</v>
      </c>
      <c r="B1381" s="3">
        <v>46298</v>
      </c>
      <c r="C1381" t="s">
        <v>453</v>
      </c>
      <c r="D1381" t="s">
        <v>354</v>
      </c>
      <c r="E1381">
        <v>37</v>
      </c>
      <c r="F1381" t="s">
        <v>355</v>
      </c>
      <c r="G1381" t="s">
        <v>4231</v>
      </c>
      <c r="H1381" t="s">
        <v>6903</v>
      </c>
      <c r="I1381" t="s">
        <v>124</v>
      </c>
      <c r="J1381" t="s">
        <v>2500</v>
      </c>
    </row>
    <row r="1382" spans="1:10" x14ac:dyDescent="0.25">
      <c r="A1382" t="s">
        <v>6904</v>
      </c>
      <c r="B1382" s="3">
        <v>46298</v>
      </c>
      <c r="C1382" t="s">
        <v>448</v>
      </c>
      <c r="D1382" t="s">
        <v>360</v>
      </c>
      <c r="E1382">
        <v>7</v>
      </c>
      <c r="F1382" t="s">
        <v>358</v>
      </c>
      <c r="G1382" t="s">
        <v>4225</v>
      </c>
      <c r="H1382" t="s">
        <v>6905</v>
      </c>
      <c r="I1382" t="s">
        <v>24</v>
      </c>
      <c r="J1382" t="s">
        <v>2500</v>
      </c>
    </row>
    <row r="1383" spans="1:10" x14ac:dyDescent="0.25">
      <c r="A1383" t="s">
        <v>6906</v>
      </c>
      <c r="B1383" s="3">
        <v>46298</v>
      </c>
      <c r="C1383" t="s">
        <v>538</v>
      </c>
      <c r="D1383" t="s">
        <v>490</v>
      </c>
      <c r="E1383">
        <v>36</v>
      </c>
      <c r="F1383" t="s">
        <v>355</v>
      </c>
      <c r="G1383" t="s">
        <v>4228</v>
      </c>
      <c r="H1383" t="s">
        <v>6907</v>
      </c>
      <c r="I1383" t="s">
        <v>327</v>
      </c>
      <c r="J1383" t="s">
        <v>2513</v>
      </c>
    </row>
    <row r="1384" spans="1:10" x14ac:dyDescent="0.25">
      <c r="A1384" t="s">
        <v>6908</v>
      </c>
      <c r="B1384" s="3">
        <v>46298</v>
      </c>
      <c r="C1384" t="s">
        <v>295</v>
      </c>
      <c r="D1384" t="s">
        <v>210</v>
      </c>
      <c r="E1384">
        <v>7</v>
      </c>
      <c r="F1384" t="s">
        <v>2</v>
      </c>
      <c r="G1384" t="s">
        <v>4225</v>
      </c>
      <c r="H1384" t="s">
        <v>6909</v>
      </c>
      <c r="I1384" t="s">
        <v>140</v>
      </c>
      <c r="J1384" t="s">
        <v>2503</v>
      </c>
    </row>
    <row r="1385" spans="1:10" x14ac:dyDescent="0.25">
      <c r="A1385" t="s">
        <v>6910</v>
      </c>
      <c r="B1385" s="3">
        <v>46298</v>
      </c>
      <c r="C1385" t="s">
        <v>688</v>
      </c>
      <c r="D1385" t="s">
        <v>589</v>
      </c>
      <c r="E1385">
        <v>12</v>
      </c>
      <c r="F1385" t="s">
        <v>469</v>
      </c>
      <c r="G1385" t="s">
        <v>4225</v>
      </c>
      <c r="H1385" t="s">
        <v>6911</v>
      </c>
      <c r="I1385" t="s">
        <v>133</v>
      </c>
      <c r="J1385" t="s">
        <v>2513</v>
      </c>
    </row>
    <row r="1386" spans="1:10" x14ac:dyDescent="0.25">
      <c r="A1386" t="s">
        <v>6912</v>
      </c>
      <c r="B1386" s="3">
        <v>46298</v>
      </c>
      <c r="C1386" t="s">
        <v>46</v>
      </c>
      <c r="D1386" t="s">
        <v>47</v>
      </c>
      <c r="E1386">
        <v>47</v>
      </c>
      <c r="F1386" t="s">
        <v>2</v>
      </c>
      <c r="G1386" t="s">
        <v>4228</v>
      </c>
      <c r="H1386" t="s">
        <v>6913</v>
      </c>
      <c r="I1386" t="s">
        <v>50</v>
      </c>
      <c r="J1386" t="s">
        <v>2509</v>
      </c>
    </row>
    <row r="1387" spans="1:10" x14ac:dyDescent="0.25">
      <c r="A1387" t="s">
        <v>6914</v>
      </c>
      <c r="B1387" s="3">
        <v>46298</v>
      </c>
      <c r="C1387" t="s">
        <v>669</v>
      </c>
      <c r="D1387" t="s">
        <v>594</v>
      </c>
      <c r="E1387">
        <v>25</v>
      </c>
      <c r="F1387" t="s">
        <v>595</v>
      </c>
      <c r="G1387" t="s">
        <v>4231</v>
      </c>
      <c r="H1387" t="s">
        <v>6915</v>
      </c>
      <c r="I1387" t="s">
        <v>410</v>
      </c>
      <c r="J1387" t="s">
        <v>2500</v>
      </c>
    </row>
    <row r="1388" spans="1:10" x14ac:dyDescent="0.25">
      <c r="A1388" t="s">
        <v>6916</v>
      </c>
      <c r="B1388" s="3">
        <v>46298</v>
      </c>
      <c r="C1388" t="s">
        <v>671</v>
      </c>
      <c r="D1388" t="s">
        <v>629</v>
      </c>
      <c r="E1388">
        <v>29</v>
      </c>
      <c r="F1388" t="s">
        <v>355</v>
      </c>
      <c r="G1388" t="s">
        <v>4222</v>
      </c>
      <c r="H1388" t="s">
        <v>6917</v>
      </c>
      <c r="I1388" t="s">
        <v>89</v>
      </c>
      <c r="J1388" t="s">
        <v>2513</v>
      </c>
    </row>
    <row r="1389" spans="1:10" x14ac:dyDescent="0.25">
      <c r="A1389" t="s">
        <v>6918</v>
      </c>
      <c r="B1389" s="3">
        <v>46298</v>
      </c>
      <c r="C1389" t="s">
        <v>506</v>
      </c>
      <c r="D1389" t="s">
        <v>471</v>
      </c>
      <c r="E1389">
        <v>22</v>
      </c>
      <c r="F1389" t="s">
        <v>355</v>
      </c>
      <c r="G1389" t="s">
        <v>4225</v>
      </c>
      <c r="H1389" t="s">
        <v>6919</v>
      </c>
      <c r="I1389" t="s">
        <v>34</v>
      </c>
      <c r="J1389" t="s">
        <v>2503</v>
      </c>
    </row>
    <row r="1390" spans="1:10" x14ac:dyDescent="0.25">
      <c r="A1390" t="s">
        <v>6920</v>
      </c>
      <c r="B1390" s="3">
        <v>46298</v>
      </c>
      <c r="C1390" t="s">
        <v>546</v>
      </c>
      <c r="D1390" t="s">
        <v>490</v>
      </c>
      <c r="E1390">
        <v>41</v>
      </c>
      <c r="F1390" t="s">
        <v>355</v>
      </c>
      <c r="G1390" t="s">
        <v>4225</v>
      </c>
      <c r="H1390" t="s">
        <v>6921</v>
      </c>
      <c r="I1390" t="s">
        <v>57</v>
      </c>
      <c r="J1390" t="s">
        <v>2500</v>
      </c>
    </row>
    <row r="1391" spans="1:10" x14ac:dyDescent="0.25">
      <c r="A1391" t="s">
        <v>6922</v>
      </c>
      <c r="B1391" s="3">
        <v>46298</v>
      </c>
      <c r="C1391" t="s">
        <v>428</v>
      </c>
      <c r="D1391" t="s">
        <v>357</v>
      </c>
      <c r="E1391">
        <v>33</v>
      </c>
      <c r="F1391" t="s">
        <v>358</v>
      </c>
      <c r="G1391" t="s">
        <v>4231</v>
      </c>
      <c r="H1391" t="s">
        <v>6923</v>
      </c>
      <c r="I1391" t="s">
        <v>38</v>
      </c>
      <c r="J1391" t="s">
        <v>2503</v>
      </c>
    </row>
    <row r="1392" spans="1:10" x14ac:dyDescent="0.25">
      <c r="A1392" t="s">
        <v>6924</v>
      </c>
      <c r="B1392" s="3">
        <v>46298</v>
      </c>
      <c r="C1392" t="s">
        <v>661</v>
      </c>
      <c r="D1392" t="s">
        <v>587</v>
      </c>
      <c r="E1392">
        <v>47</v>
      </c>
      <c r="F1392" t="s">
        <v>2</v>
      </c>
      <c r="G1392" t="s">
        <v>4234</v>
      </c>
      <c r="H1392" t="s">
        <v>6925</v>
      </c>
      <c r="I1392" t="s">
        <v>87</v>
      </c>
      <c r="J1392" t="s">
        <v>2509</v>
      </c>
    </row>
    <row r="1393" spans="1:10" x14ac:dyDescent="0.25">
      <c r="A1393" t="s">
        <v>6926</v>
      </c>
      <c r="B1393" s="3">
        <v>46298</v>
      </c>
      <c r="C1393" t="s">
        <v>492</v>
      </c>
      <c r="D1393" t="s">
        <v>467</v>
      </c>
      <c r="E1393">
        <v>27</v>
      </c>
      <c r="F1393" t="s">
        <v>469</v>
      </c>
      <c r="G1393" t="s">
        <v>4234</v>
      </c>
      <c r="H1393" t="s">
        <v>6927</v>
      </c>
      <c r="I1393" t="s">
        <v>102</v>
      </c>
      <c r="J1393" t="s">
        <v>2503</v>
      </c>
    </row>
    <row r="1394" spans="1:10" x14ac:dyDescent="0.25">
      <c r="A1394" t="s">
        <v>6928</v>
      </c>
      <c r="B1394" s="3">
        <v>46298</v>
      </c>
      <c r="C1394" t="s">
        <v>243</v>
      </c>
      <c r="D1394" t="s">
        <v>213</v>
      </c>
      <c r="E1394">
        <v>34</v>
      </c>
      <c r="F1394" t="s">
        <v>2</v>
      </c>
      <c r="G1394" t="s">
        <v>4231</v>
      </c>
      <c r="H1394" t="s">
        <v>6929</v>
      </c>
      <c r="I1394" t="s">
        <v>177</v>
      </c>
      <c r="J1394" t="s">
        <v>2509</v>
      </c>
    </row>
    <row r="1395" spans="1:10" x14ac:dyDescent="0.25">
      <c r="A1395" t="s">
        <v>6930</v>
      </c>
      <c r="B1395" s="3">
        <v>46298</v>
      </c>
      <c r="C1395" t="s">
        <v>99</v>
      </c>
      <c r="D1395" t="s">
        <v>26</v>
      </c>
      <c r="E1395">
        <v>51</v>
      </c>
      <c r="F1395" t="s">
        <v>2</v>
      </c>
      <c r="G1395" t="s">
        <v>4222</v>
      </c>
      <c r="H1395" t="s">
        <v>6931</v>
      </c>
      <c r="I1395" t="s">
        <v>100</v>
      </c>
      <c r="J1395" t="s">
        <v>2503</v>
      </c>
    </row>
    <row r="1396" spans="1:10" x14ac:dyDescent="0.25">
      <c r="A1396" t="s">
        <v>6932</v>
      </c>
      <c r="B1396" s="3">
        <v>46298</v>
      </c>
      <c r="C1396" t="s">
        <v>205</v>
      </c>
      <c r="D1396" t="s">
        <v>54</v>
      </c>
      <c r="E1396">
        <v>52</v>
      </c>
      <c r="F1396" t="s">
        <v>2</v>
      </c>
      <c r="G1396" t="s">
        <v>4231</v>
      </c>
      <c r="H1396" t="s">
        <v>6933</v>
      </c>
      <c r="I1396" t="s">
        <v>206</v>
      </c>
      <c r="J1396" t="s">
        <v>2509</v>
      </c>
    </row>
    <row r="1397" spans="1:10" x14ac:dyDescent="0.25">
      <c r="A1397" t="s">
        <v>6934</v>
      </c>
      <c r="B1397" s="3">
        <v>46298</v>
      </c>
      <c r="C1397" t="s">
        <v>532</v>
      </c>
      <c r="D1397" t="s">
        <v>488</v>
      </c>
      <c r="E1397">
        <v>10</v>
      </c>
      <c r="F1397" t="s">
        <v>469</v>
      </c>
      <c r="G1397" t="s">
        <v>4234</v>
      </c>
      <c r="H1397" t="s">
        <v>6935</v>
      </c>
      <c r="I1397" t="s">
        <v>106</v>
      </c>
      <c r="J1397" t="s">
        <v>2509</v>
      </c>
    </row>
    <row r="1398" spans="1:10" x14ac:dyDescent="0.25">
      <c r="A1398" t="s">
        <v>6936</v>
      </c>
      <c r="B1398" s="3">
        <v>46298</v>
      </c>
      <c r="C1398" t="s">
        <v>521</v>
      </c>
      <c r="D1398" t="s">
        <v>479</v>
      </c>
      <c r="E1398">
        <v>11</v>
      </c>
      <c r="F1398" t="s">
        <v>469</v>
      </c>
      <c r="G1398" t="s">
        <v>4234</v>
      </c>
      <c r="H1398" t="s">
        <v>6937</v>
      </c>
      <c r="I1398" t="s">
        <v>289</v>
      </c>
      <c r="J1398" t="s">
        <v>2500</v>
      </c>
    </row>
    <row r="1399" spans="1:10" x14ac:dyDescent="0.25">
      <c r="A1399" t="s">
        <v>6938</v>
      </c>
      <c r="B1399" s="3">
        <v>46298</v>
      </c>
      <c r="C1399" t="s">
        <v>532</v>
      </c>
      <c r="D1399" t="s">
        <v>488</v>
      </c>
      <c r="E1399">
        <v>27</v>
      </c>
      <c r="F1399" t="s">
        <v>469</v>
      </c>
      <c r="G1399" t="s">
        <v>4234</v>
      </c>
      <c r="H1399" t="s">
        <v>6939</v>
      </c>
      <c r="I1399" t="s">
        <v>106</v>
      </c>
      <c r="J1399" t="s">
        <v>2503</v>
      </c>
    </row>
    <row r="1400" spans="1:10" x14ac:dyDescent="0.25">
      <c r="A1400" t="s">
        <v>6940</v>
      </c>
      <c r="B1400" s="3">
        <v>46298</v>
      </c>
      <c r="C1400" t="s">
        <v>299</v>
      </c>
      <c r="D1400" t="s">
        <v>216</v>
      </c>
      <c r="E1400">
        <v>31</v>
      </c>
      <c r="F1400" t="s">
        <v>2</v>
      </c>
      <c r="G1400" t="s">
        <v>4225</v>
      </c>
      <c r="H1400" t="s">
        <v>6941</v>
      </c>
      <c r="I1400" t="s">
        <v>155</v>
      </c>
      <c r="J1400" t="s">
        <v>2513</v>
      </c>
    </row>
    <row r="1401" spans="1:10" x14ac:dyDescent="0.25">
      <c r="A1401" t="s">
        <v>6942</v>
      </c>
      <c r="B1401" s="3">
        <v>46298</v>
      </c>
      <c r="C1401" t="s">
        <v>323</v>
      </c>
      <c r="D1401" t="s">
        <v>240</v>
      </c>
      <c r="E1401">
        <v>20</v>
      </c>
      <c r="F1401" t="s">
        <v>2</v>
      </c>
      <c r="G1401" t="s">
        <v>4228</v>
      </c>
      <c r="H1401" t="s">
        <v>6943</v>
      </c>
      <c r="I1401" t="s">
        <v>324</v>
      </c>
      <c r="J1401" t="s">
        <v>2509</v>
      </c>
    </row>
    <row r="1402" spans="1:10" x14ac:dyDescent="0.25">
      <c r="A1402" t="s">
        <v>6944</v>
      </c>
      <c r="B1402" s="3">
        <v>46298</v>
      </c>
      <c r="C1402" t="s">
        <v>60</v>
      </c>
      <c r="D1402" t="s">
        <v>44</v>
      </c>
      <c r="E1402">
        <v>48</v>
      </c>
      <c r="F1402" t="s">
        <v>2</v>
      </c>
      <c r="G1402" t="s">
        <v>4234</v>
      </c>
      <c r="H1402" t="s">
        <v>6945</v>
      </c>
      <c r="I1402" t="s">
        <v>27</v>
      </c>
      <c r="J1402" t="s">
        <v>2500</v>
      </c>
    </row>
    <row r="1403" spans="1:10" x14ac:dyDescent="0.25">
      <c r="A1403" t="s">
        <v>6946</v>
      </c>
      <c r="B1403" s="3">
        <v>46298</v>
      </c>
      <c r="C1403" t="s">
        <v>184</v>
      </c>
      <c r="D1403" t="s">
        <v>15</v>
      </c>
      <c r="E1403">
        <v>11</v>
      </c>
      <c r="F1403" t="s">
        <v>2</v>
      </c>
      <c r="G1403" t="s">
        <v>4228</v>
      </c>
      <c r="H1403" t="s">
        <v>6947</v>
      </c>
      <c r="I1403" t="s">
        <v>185</v>
      </c>
      <c r="J1403" t="s">
        <v>2513</v>
      </c>
    </row>
    <row r="1404" spans="1:10" x14ac:dyDescent="0.25">
      <c r="A1404" t="s">
        <v>6948</v>
      </c>
      <c r="B1404" s="3">
        <v>46298</v>
      </c>
      <c r="C1404" t="s">
        <v>519</v>
      </c>
      <c r="D1404" t="s">
        <v>488</v>
      </c>
      <c r="E1404">
        <v>50</v>
      </c>
      <c r="F1404" t="s">
        <v>469</v>
      </c>
      <c r="G1404" t="s">
        <v>4234</v>
      </c>
      <c r="H1404" t="s">
        <v>6949</v>
      </c>
      <c r="I1404" t="s">
        <v>126</v>
      </c>
      <c r="J1404" t="s">
        <v>2503</v>
      </c>
    </row>
    <row r="1405" spans="1:10" x14ac:dyDescent="0.25">
      <c r="A1405" t="s">
        <v>6950</v>
      </c>
      <c r="B1405" s="3">
        <v>46298</v>
      </c>
      <c r="C1405" t="s">
        <v>634</v>
      </c>
      <c r="D1405" t="s">
        <v>597</v>
      </c>
      <c r="E1405">
        <v>8</v>
      </c>
      <c r="F1405" t="s">
        <v>355</v>
      </c>
      <c r="G1405" t="s">
        <v>4222</v>
      </c>
      <c r="H1405" t="s">
        <v>6951</v>
      </c>
      <c r="I1405" t="s">
        <v>265</v>
      </c>
      <c r="J1405" t="s">
        <v>2500</v>
      </c>
    </row>
    <row r="1406" spans="1:10" x14ac:dyDescent="0.25">
      <c r="A1406" t="s">
        <v>6952</v>
      </c>
      <c r="B1406" s="3">
        <v>46298</v>
      </c>
      <c r="C1406" t="s">
        <v>145</v>
      </c>
      <c r="D1406" t="s">
        <v>26</v>
      </c>
      <c r="E1406">
        <v>21</v>
      </c>
      <c r="F1406" t="s">
        <v>2</v>
      </c>
      <c r="G1406" t="s">
        <v>4225</v>
      </c>
      <c r="H1406" t="s">
        <v>6953</v>
      </c>
      <c r="I1406" t="s">
        <v>59</v>
      </c>
      <c r="J1406" t="s">
        <v>2500</v>
      </c>
    </row>
    <row r="1407" spans="1:10" x14ac:dyDescent="0.25">
      <c r="A1407" t="s">
        <v>6954</v>
      </c>
      <c r="B1407" s="3">
        <v>46298</v>
      </c>
      <c r="C1407" t="s">
        <v>493</v>
      </c>
      <c r="D1407" t="s">
        <v>484</v>
      </c>
      <c r="E1407">
        <v>35</v>
      </c>
      <c r="F1407" t="s">
        <v>469</v>
      </c>
      <c r="G1407" t="s">
        <v>4234</v>
      </c>
      <c r="H1407" t="s">
        <v>6955</v>
      </c>
      <c r="I1407" t="s">
        <v>327</v>
      </c>
      <c r="J1407" t="s">
        <v>2503</v>
      </c>
    </row>
    <row r="1408" spans="1:10" x14ac:dyDescent="0.25">
      <c r="A1408" t="s">
        <v>6956</v>
      </c>
      <c r="B1408" s="3">
        <v>46298</v>
      </c>
      <c r="C1408" t="s">
        <v>598</v>
      </c>
      <c r="D1408" t="s">
        <v>599</v>
      </c>
      <c r="E1408">
        <v>24</v>
      </c>
      <c r="F1408" t="s">
        <v>2</v>
      </c>
      <c r="G1408" t="s">
        <v>4225</v>
      </c>
      <c r="H1408" t="s">
        <v>6957</v>
      </c>
      <c r="I1408" t="s">
        <v>27</v>
      </c>
      <c r="J1408" t="s">
        <v>2500</v>
      </c>
    </row>
    <row r="1409" spans="1:10" x14ac:dyDescent="0.25">
      <c r="A1409" t="s">
        <v>6958</v>
      </c>
      <c r="B1409" s="3">
        <v>46298</v>
      </c>
      <c r="C1409" t="s">
        <v>596</v>
      </c>
      <c r="D1409" t="s">
        <v>597</v>
      </c>
      <c r="E1409">
        <v>55</v>
      </c>
      <c r="F1409" t="s">
        <v>355</v>
      </c>
      <c r="G1409" t="s">
        <v>4222</v>
      </c>
      <c r="H1409" t="s">
        <v>6959</v>
      </c>
      <c r="I1409" t="s">
        <v>142</v>
      </c>
      <c r="J1409" t="s">
        <v>2513</v>
      </c>
    </row>
    <row r="1410" spans="1:10" x14ac:dyDescent="0.25">
      <c r="A1410" t="s">
        <v>6960</v>
      </c>
      <c r="B1410" s="3">
        <v>46298</v>
      </c>
      <c r="C1410" t="s">
        <v>430</v>
      </c>
      <c r="D1410" t="s">
        <v>349</v>
      </c>
      <c r="E1410">
        <v>48</v>
      </c>
      <c r="F1410" t="s">
        <v>2</v>
      </c>
      <c r="G1410" t="s">
        <v>4234</v>
      </c>
      <c r="H1410" t="s">
        <v>6961</v>
      </c>
      <c r="I1410" t="s">
        <v>64</v>
      </c>
      <c r="J1410" t="s">
        <v>2503</v>
      </c>
    </row>
    <row r="1411" spans="1:10" x14ac:dyDescent="0.25">
      <c r="A1411" t="s">
        <v>6962</v>
      </c>
      <c r="B1411" s="3">
        <v>46298</v>
      </c>
      <c r="C1411" t="s">
        <v>304</v>
      </c>
      <c r="D1411" t="s">
        <v>227</v>
      </c>
      <c r="E1411">
        <v>10</v>
      </c>
      <c r="F1411" t="s">
        <v>2</v>
      </c>
      <c r="G1411" t="s">
        <v>4231</v>
      </c>
      <c r="H1411" t="s">
        <v>6963</v>
      </c>
      <c r="I1411" t="s">
        <v>305</v>
      </c>
      <c r="J1411" t="s">
        <v>2513</v>
      </c>
    </row>
    <row r="1412" spans="1:10" x14ac:dyDescent="0.25">
      <c r="A1412" t="s">
        <v>6964</v>
      </c>
      <c r="B1412" s="3">
        <v>46298</v>
      </c>
      <c r="C1412" t="s">
        <v>416</v>
      </c>
      <c r="D1412" t="s">
        <v>344</v>
      </c>
      <c r="E1412">
        <v>15</v>
      </c>
      <c r="F1412" t="s">
        <v>346</v>
      </c>
      <c r="G1412" t="s">
        <v>4228</v>
      </c>
      <c r="H1412" t="s">
        <v>6965</v>
      </c>
      <c r="I1412" t="s">
        <v>102</v>
      </c>
      <c r="J1412" t="s">
        <v>2509</v>
      </c>
    </row>
    <row r="1413" spans="1:10" x14ac:dyDescent="0.25">
      <c r="A1413" t="s">
        <v>6966</v>
      </c>
      <c r="B1413" s="3">
        <v>46298</v>
      </c>
      <c r="C1413" t="s">
        <v>313</v>
      </c>
      <c r="D1413" t="s">
        <v>225</v>
      </c>
      <c r="E1413">
        <v>53</v>
      </c>
      <c r="F1413" t="s">
        <v>2</v>
      </c>
      <c r="G1413" t="s">
        <v>4222</v>
      </c>
      <c r="H1413" t="s">
        <v>6967</v>
      </c>
      <c r="I1413" t="s">
        <v>314</v>
      </c>
      <c r="J1413" t="s">
        <v>2500</v>
      </c>
    </row>
    <row r="1414" spans="1:10" x14ac:dyDescent="0.25">
      <c r="A1414" t="s">
        <v>6968</v>
      </c>
      <c r="B1414" s="3">
        <v>46298</v>
      </c>
      <c r="C1414" t="s">
        <v>685</v>
      </c>
      <c r="D1414" t="s">
        <v>597</v>
      </c>
      <c r="E1414">
        <v>33</v>
      </c>
      <c r="F1414" t="s">
        <v>355</v>
      </c>
      <c r="G1414" t="s">
        <v>4228</v>
      </c>
      <c r="H1414" t="s">
        <v>6969</v>
      </c>
      <c r="I1414" t="s">
        <v>166</v>
      </c>
      <c r="J1414" t="s">
        <v>2509</v>
      </c>
    </row>
    <row r="1415" spans="1:10" x14ac:dyDescent="0.25">
      <c r="A1415" t="s">
        <v>6970</v>
      </c>
      <c r="B1415" s="3">
        <v>46298</v>
      </c>
      <c r="C1415" t="s">
        <v>131</v>
      </c>
      <c r="D1415" t="s">
        <v>15</v>
      </c>
      <c r="E1415">
        <v>46</v>
      </c>
      <c r="F1415" t="s">
        <v>2</v>
      </c>
      <c r="G1415" t="s">
        <v>4225</v>
      </c>
      <c r="H1415" t="s">
        <v>6971</v>
      </c>
      <c r="I1415" t="s">
        <v>113</v>
      </c>
      <c r="J1415" t="s">
        <v>2503</v>
      </c>
    </row>
    <row r="1416" spans="1:10" x14ac:dyDescent="0.25">
      <c r="A1416" t="s">
        <v>6972</v>
      </c>
      <c r="B1416" s="3">
        <v>46298</v>
      </c>
      <c r="C1416" t="s">
        <v>60</v>
      </c>
      <c r="D1416" t="s">
        <v>44</v>
      </c>
      <c r="E1416">
        <v>14</v>
      </c>
      <c r="F1416" t="s">
        <v>2</v>
      </c>
      <c r="G1416" t="s">
        <v>4231</v>
      </c>
      <c r="H1416" t="s">
        <v>6973</v>
      </c>
      <c r="I1416" t="s">
        <v>27</v>
      </c>
      <c r="J1416" t="s">
        <v>2500</v>
      </c>
    </row>
    <row r="1417" spans="1:10" x14ac:dyDescent="0.25">
      <c r="A1417" t="s">
        <v>6974</v>
      </c>
      <c r="B1417" s="3">
        <v>46298</v>
      </c>
      <c r="C1417" t="s">
        <v>418</v>
      </c>
      <c r="D1417" t="s">
        <v>349</v>
      </c>
      <c r="E1417">
        <v>4</v>
      </c>
      <c r="F1417" t="s">
        <v>2</v>
      </c>
      <c r="G1417" t="s">
        <v>4225</v>
      </c>
      <c r="H1417" t="s">
        <v>6975</v>
      </c>
      <c r="I1417" t="s">
        <v>250</v>
      </c>
      <c r="J1417" t="s">
        <v>2513</v>
      </c>
    </row>
    <row r="1418" spans="1:10" x14ac:dyDescent="0.25">
      <c r="A1418" t="s">
        <v>6976</v>
      </c>
      <c r="B1418" s="3">
        <v>46298</v>
      </c>
      <c r="C1418" t="s">
        <v>621</v>
      </c>
      <c r="D1418" t="s">
        <v>582</v>
      </c>
      <c r="E1418">
        <v>16</v>
      </c>
      <c r="F1418" t="s">
        <v>2</v>
      </c>
      <c r="G1418" t="s">
        <v>4225</v>
      </c>
      <c r="H1418" t="s">
        <v>6977</v>
      </c>
      <c r="I1418" t="s">
        <v>312</v>
      </c>
      <c r="J1418" t="s">
        <v>2513</v>
      </c>
    </row>
    <row r="1419" spans="1:10" x14ac:dyDescent="0.25">
      <c r="A1419" t="s">
        <v>6978</v>
      </c>
      <c r="B1419" s="3">
        <v>46298</v>
      </c>
      <c r="C1419" t="s">
        <v>88</v>
      </c>
      <c r="D1419" t="s">
        <v>26</v>
      </c>
      <c r="E1419">
        <v>40</v>
      </c>
      <c r="F1419" t="s">
        <v>2</v>
      </c>
      <c r="G1419" t="s">
        <v>4228</v>
      </c>
      <c r="H1419" t="s">
        <v>6979</v>
      </c>
      <c r="I1419" t="s">
        <v>89</v>
      </c>
      <c r="J1419" t="s">
        <v>2500</v>
      </c>
    </row>
    <row r="1420" spans="1:10" x14ac:dyDescent="0.25">
      <c r="A1420" t="s">
        <v>6980</v>
      </c>
      <c r="B1420" s="3">
        <v>46298</v>
      </c>
      <c r="C1420" t="s">
        <v>191</v>
      </c>
      <c r="D1420" t="s">
        <v>163</v>
      </c>
      <c r="E1420">
        <v>35</v>
      </c>
      <c r="F1420" t="s">
        <v>2</v>
      </c>
      <c r="G1420" t="s">
        <v>4228</v>
      </c>
      <c r="H1420" t="s">
        <v>6981</v>
      </c>
      <c r="I1420" t="s">
        <v>95</v>
      </c>
      <c r="J1420" t="s">
        <v>2509</v>
      </c>
    </row>
    <row r="1421" spans="1:10" x14ac:dyDescent="0.25">
      <c r="A1421" t="s">
        <v>6982</v>
      </c>
      <c r="B1421" s="3">
        <v>46298</v>
      </c>
      <c r="C1421" t="s">
        <v>405</v>
      </c>
      <c r="D1421" t="s">
        <v>344</v>
      </c>
      <c r="E1421">
        <v>5</v>
      </c>
      <c r="F1421" t="s">
        <v>346</v>
      </c>
      <c r="G1421" t="s">
        <v>4231</v>
      </c>
      <c r="H1421" t="s">
        <v>6983</v>
      </c>
      <c r="I1421" t="s">
        <v>121</v>
      </c>
      <c r="J1421" t="s">
        <v>2513</v>
      </c>
    </row>
    <row r="1422" spans="1:10" x14ac:dyDescent="0.25">
      <c r="A1422" t="s">
        <v>6984</v>
      </c>
      <c r="B1422" s="3">
        <v>46298</v>
      </c>
      <c r="C1422" t="s">
        <v>391</v>
      </c>
      <c r="D1422" t="s">
        <v>357</v>
      </c>
      <c r="E1422">
        <v>20</v>
      </c>
      <c r="F1422" t="s">
        <v>358</v>
      </c>
      <c r="G1422" t="s">
        <v>4234</v>
      </c>
      <c r="H1422" t="s">
        <v>6985</v>
      </c>
      <c r="I1422" t="s">
        <v>221</v>
      </c>
      <c r="J1422" t="s">
        <v>2509</v>
      </c>
    </row>
    <row r="1423" spans="1:10" x14ac:dyDescent="0.25">
      <c r="A1423" t="s">
        <v>6986</v>
      </c>
      <c r="B1423" s="3">
        <v>46298</v>
      </c>
      <c r="C1423" t="s">
        <v>642</v>
      </c>
      <c r="D1423" t="s">
        <v>585</v>
      </c>
      <c r="E1423">
        <v>37</v>
      </c>
      <c r="F1423" t="s">
        <v>355</v>
      </c>
      <c r="G1423" t="s">
        <v>4228</v>
      </c>
      <c r="H1423" t="s">
        <v>6987</v>
      </c>
      <c r="I1423" t="s">
        <v>79</v>
      </c>
      <c r="J1423" t="s">
        <v>2503</v>
      </c>
    </row>
    <row r="1424" spans="1:10" x14ac:dyDescent="0.25">
      <c r="A1424" t="s">
        <v>6988</v>
      </c>
      <c r="B1424" s="3">
        <v>46298</v>
      </c>
      <c r="C1424" t="s">
        <v>611</v>
      </c>
      <c r="D1424" t="s">
        <v>612</v>
      </c>
      <c r="E1424">
        <v>36</v>
      </c>
      <c r="F1424" t="s">
        <v>2</v>
      </c>
      <c r="G1424" t="s">
        <v>4225</v>
      </c>
      <c r="H1424" t="s">
        <v>6989</v>
      </c>
      <c r="I1424" t="s">
        <v>305</v>
      </c>
      <c r="J1424" t="s">
        <v>2509</v>
      </c>
    </row>
    <row r="1425" spans="1:10" x14ac:dyDescent="0.25">
      <c r="A1425" t="s">
        <v>6990</v>
      </c>
      <c r="B1425" s="3">
        <v>46298</v>
      </c>
      <c r="C1425" t="s">
        <v>308</v>
      </c>
      <c r="D1425" t="s">
        <v>227</v>
      </c>
      <c r="E1425">
        <v>38</v>
      </c>
      <c r="F1425" t="s">
        <v>2</v>
      </c>
      <c r="G1425" t="s">
        <v>4222</v>
      </c>
      <c r="H1425" t="s">
        <v>6991</v>
      </c>
      <c r="I1425" t="s">
        <v>259</v>
      </c>
      <c r="J1425" t="s">
        <v>2500</v>
      </c>
    </row>
    <row r="1426" spans="1:10" x14ac:dyDescent="0.25">
      <c r="A1426" t="s">
        <v>6992</v>
      </c>
      <c r="B1426" s="3">
        <v>46298</v>
      </c>
      <c r="C1426" t="s">
        <v>329</v>
      </c>
      <c r="D1426" t="s">
        <v>227</v>
      </c>
      <c r="E1426">
        <v>55</v>
      </c>
      <c r="F1426" t="s">
        <v>2</v>
      </c>
      <c r="G1426" t="s">
        <v>4225</v>
      </c>
      <c r="H1426" t="s">
        <v>6993</v>
      </c>
      <c r="I1426" t="s">
        <v>330</v>
      </c>
      <c r="J1426" t="s">
        <v>2503</v>
      </c>
    </row>
    <row r="1427" spans="1:10" x14ac:dyDescent="0.25">
      <c r="A1427" t="s">
        <v>6994</v>
      </c>
      <c r="B1427" s="3">
        <v>46298</v>
      </c>
      <c r="C1427" t="s">
        <v>270</v>
      </c>
      <c r="D1427" t="s">
        <v>213</v>
      </c>
      <c r="E1427">
        <v>43</v>
      </c>
      <c r="F1427" t="s">
        <v>2</v>
      </c>
      <c r="G1427" t="s">
        <v>4222</v>
      </c>
      <c r="H1427" t="s">
        <v>6995</v>
      </c>
      <c r="I1427" t="s">
        <v>64</v>
      </c>
      <c r="J1427" t="s">
        <v>2513</v>
      </c>
    </row>
    <row r="1428" spans="1:10" x14ac:dyDescent="0.25">
      <c r="A1428" t="s">
        <v>6996</v>
      </c>
      <c r="B1428" s="3">
        <v>46298</v>
      </c>
      <c r="C1428" t="s">
        <v>606</v>
      </c>
      <c r="D1428" t="s">
        <v>602</v>
      </c>
      <c r="E1428">
        <v>4</v>
      </c>
      <c r="F1428" t="s">
        <v>2</v>
      </c>
      <c r="G1428" t="s">
        <v>4222</v>
      </c>
      <c r="H1428" t="s">
        <v>6997</v>
      </c>
      <c r="I1428" t="s">
        <v>314</v>
      </c>
      <c r="J1428" t="s">
        <v>2500</v>
      </c>
    </row>
    <row r="1429" spans="1:10" x14ac:dyDescent="0.25">
      <c r="A1429" t="s">
        <v>6998</v>
      </c>
      <c r="B1429" s="3">
        <v>46299</v>
      </c>
      <c r="C1429" t="s">
        <v>402</v>
      </c>
      <c r="D1429" t="s">
        <v>344</v>
      </c>
      <c r="E1429">
        <v>44</v>
      </c>
      <c r="F1429" t="s">
        <v>346</v>
      </c>
      <c r="G1429" t="s">
        <v>4225</v>
      </c>
      <c r="H1429" t="s">
        <v>6999</v>
      </c>
      <c r="I1429" t="s">
        <v>27</v>
      </c>
      <c r="J1429" t="s">
        <v>2503</v>
      </c>
    </row>
    <row r="1430" spans="1:10" x14ac:dyDescent="0.25">
      <c r="A1430" t="s">
        <v>7000</v>
      </c>
      <c r="B1430" s="3">
        <v>46299</v>
      </c>
      <c r="C1430" t="s">
        <v>462</v>
      </c>
      <c r="D1430" t="s">
        <v>349</v>
      </c>
      <c r="E1430">
        <v>12</v>
      </c>
      <c r="F1430" t="s">
        <v>2</v>
      </c>
      <c r="G1430" t="s">
        <v>4222</v>
      </c>
      <c r="H1430" t="s">
        <v>7001</v>
      </c>
      <c r="I1430" t="s">
        <v>310</v>
      </c>
      <c r="J1430" t="s">
        <v>2513</v>
      </c>
    </row>
    <row r="1431" spans="1:10" x14ac:dyDescent="0.25">
      <c r="A1431" t="s">
        <v>7002</v>
      </c>
      <c r="B1431" s="3">
        <v>46299</v>
      </c>
      <c r="C1431" t="s">
        <v>311</v>
      </c>
      <c r="D1431" t="s">
        <v>227</v>
      </c>
      <c r="E1431">
        <v>35</v>
      </c>
      <c r="F1431" t="s">
        <v>2</v>
      </c>
      <c r="G1431" t="s">
        <v>4222</v>
      </c>
      <c r="H1431" t="s">
        <v>7003</v>
      </c>
      <c r="I1431" t="s">
        <v>312</v>
      </c>
      <c r="J1431" t="s">
        <v>2503</v>
      </c>
    </row>
    <row r="1432" spans="1:10" x14ac:dyDescent="0.25">
      <c r="A1432" t="s">
        <v>7004</v>
      </c>
      <c r="B1432" s="3">
        <v>46299</v>
      </c>
      <c r="C1432" t="s">
        <v>413</v>
      </c>
      <c r="D1432" t="s">
        <v>360</v>
      </c>
      <c r="E1432">
        <v>50</v>
      </c>
      <c r="F1432" t="s">
        <v>358</v>
      </c>
      <c r="G1432" t="s">
        <v>4222</v>
      </c>
      <c r="H1432" t="s">
        <v>7005</v>
      </c>
      <c r="I1432" t="s">
        <v>368</v>
      </c>
      <c r="J1432" t="s">
        <v>2513</v>
      </c>
    </row>
    <row r="1433" spans="1:10" x14ac:dyDescent="0.25">
      <c r="A1433" t="s">
        <v>7006</v>
      </c>
      <c r="B1433" s="3">
        <v>46299</v>
      </c>
      <c r="C1433" t="s">
        <v>475</v>
      </c>
      <c r="D1433" t="s">
        <v>476</v>
      </c>
      <c r="E1433">
        <v>36</v>
      </c>
      <c r="F1433" t="s">
        <v>477</v>
      </c>
      <c r="G1433" t="s">
        <v>4222</v>
      </c>
      <c r="H1433" t="s">
        <v>7007</v>
      </c>
      <c r="I1433" t="s">
        <v>129</v>
      </c>
      <c r="J1433" t="s">
        <v>2509</v>
      </c>
    </row>
    <row r="1434" spans="1:10" x14ac:dyDescent="0.25">
      <c r="A1434" t="s">
        <v>7008</v>
      </c>
      <c r="B1434" s="3">
        <v>46299</v>
      </c>
      <c r="C1434" t="s">
        <v>621</v>
      </c>
      <c r="D1434" t="s">
        <v>582</v>
      </c>
      <c r="E1434">
        <v>21</v>
      </c>
      <c r="F1434" t="s">
        <v>2</v>
      </c>
      <c r="G1434" t="s">
        <v>4231</v>
      </c>
      <c r="H1434" t="s">
        <v>7009</v>
      </c>
      <c r="I1434" t="s">
        <v>312</v>
      </c>
      <c r="J1434" t="s">
        <v>2513</v>
      </c>
    </row>
    <row r="1435" spans="1:10" x14ac:dyDescent="0.25">
      <c r="A1435" t="s">
        <v>7010</v>
      </c>
      <c r="B1435" s="3">
        <v>46299</v>
      </c>
      <c r="C1435" t="s">
        <v>46</v>
      </c>
      <c r="D1435" t="s">
        <v>47</v>
      </c>
      <c r="E1435">
        <v>49</v>
      </c>
      <c r="F1435" t="s">
        <v>2</v>
      </c>
      <c r="G1435" t="s">
        <v>4231</v>
      </c>
      <c r="H1435" t="s">
        <v>7011</v>
      </c>
      <c r="I1435" t="s">
        <v>50</v>
      </c>
      <c r="J1435" t="s">
        <v>2513</v>
      </c>
    </row>
    <row r="1436" spans="1:10" x14ac:dyDescent="0.25">
      <c r="A1436" t="s">
        <v>7012</v>
      </c>
      <c r="B1436" s="3">
        <v>46299</v>
      </c>
      <c r="C1436" t="s">
        <v>323</v>
      </c>
      <c r="D1436" t="s">
        <v>240</v>
      </c>
      <c r="E1436">
        <v>7</v>
      </c>
      <c r="F1436" t="s">
        <v>2</v>
      </c>
      <c r="G1436" t="s">
        <v>4234</v>
      </c>
      <c r="H1436" t="s">
        <v>7013</v>
      </c>
      <c r="I1436" t="s">
        <v>324</v>
      </c>
      <c r="J1436" t="s">
        <v>2513</v>
      </c>
    </row>
    <row r="1437" spans="1:10" x14ac:dyDescent="0.25">
      <c r="A1437" t="s">
        <v>7014</v>
      </c>
      <c r="B1437" s="3">
        <v>46299</v>
      </c>
      <c r="C1437" t="s">
        <v>217</v>
      </c>
      <c r="D1437" t="s">
        <v>218</v>
      </c>
      <c r="E1437">
        <v>17</v>
      </c>
      <c r="F1437" t="s">
        <v>2</v>
      </c>
      <c r="G1437" t="s">
        <v>4234</v>
      </c>
      <c r="H1437" t="s">
        <v>7015</v>
      </c>
      <c r="I1437" t="s">
        <v>219</v>
      </c>
      <c r="J1437" t="s">
        <v>2503</v>
      </c>
    </row>
    <row r="1438" spans="1:10" x14ac:dyDescent="0.25">
      <c r="A1438" t="s">
        <v>7016</v>
      </c>
      <c r="B1438" s="3">
        <v>46299</v>
      </c>
      <c r="C1438" t="s">
        <v>458</v>
      </c>
      <c r="D1438" t="s">
        <v>360</v>
      </c>
      <c r="E1438">
        <v>3</v>
      </c>
      <c r="F1438" t="s">
        <v>358</v>
      </c>
      <c r="G1438" t="s">
        <v>4225</v>
      </c>
      <c r="H1438" t="s">
        <v>7017</v>
      </c>
      <c r="I1438" t="s">
        <v>42</v>
      </c>
      <c r="J1438" t="s">
        <v>2500</v>
      </c>
    </row>
    <row r="1439" spans="1:10" x14ac:dyDescent="0.25">
      <c r="A1439" t="s">
        <v>7018</v>
      </c>
      <c r="B1439" s="3">
        <v>46299</v>
      </c>
      <c r="C1439" t="s">
        <v>472</v>
      </c>
      <c r="D1439" t="s">
        <v>467</v>
      </c>
      <c r="E1439">
        <v>11</v>
      </c>
      <c r="F1439" t="s">
        <v>469</v>
      </c>
      <c r="G1439" t="s">
        <v>4222</v>
      </c>
      <c r="H1439" t="s">
        <v>7019</v>
      </c>
      <c r="I1439" t="s">
        <v>119</v>
      </c>
      <c r="J1439" t="s">
        <v>2513</v>
      </c>
    </row>
    <row r="1440" spans="1:10" x14ac:dyDescent="0.25">
      <c r="A1440" t="s">
        <v>7020</v>
      </c>
      <c r="B1440" s="3">
        <v>46299</v>
      </c>
      <c r="C1440" t="s">
        <v>498</v>
      </c>
      <c r="D1440" t="s">
        <v>488</v>
      </c>
      <c r="E1440">
        <v>32</v>
      </c>
      <c r="F1440" t="s">
        <v>469</v>
      </c>
      <c r="G1440" t="s">
        <v>4234</v>
      </c>
      <c r="H1440" t="s">
        <v>7021</v>
      </c>
      <c r="I1440" t="s">
        <v>52</v>
      </c>
      <c r="J1440" t="s">
        <v>2509</v>
      </c>
    </row>
    <row r="1441" spans="1:10" x14ac:dyDescent="0.25">
      <c r="A1441" t="s">
        <v>7022</v>
      </c>
      <c r="B1441" s="3">
        <v>46299</v>
      </c>
      <c r="C1441" t="s">
        <v>200</v>
      </c>
      <c r="D1441" t="s">
        <v>66</v>
      </c>
      <c r="E1441">
        <v>38</v>
      </c>
      <c r="F1441" t="s">
        <v>2</v>
      </c>
      <c r="G1441" t="s">
        <v>4225</v>
      </c>
      <c r="H1441" t="s">
        <v>7023</v>
      </c>
      <c r="I1441" t="s">
        <v>201</v>
      </c>
      <c r="J1441" t="s">
        <v>2503</v>
      </c>
    </row>
    <row r="1442" spans="1:10" x14ac:dyDescent="0.25">
      <c r="A1442" t="s">
        <v>7024</v>
      </c>
      <c r="B1442" s="3">
        <v>46299</v>
      </c>
      <c r="C1442" t="s">
        <v>325</v>
      </c>
      <c r="D1442" t="s">
        <v>227</v>
      </c>
      <c r="E1442">
        <v>13</v>
      </c>
      <c r="F1442" t="s">
        <v>2</v>
      </c>
      <c r="G1442" t="s">
        <v>4222</v>
      </c>
      <c r="H1442" t="s">
        <v>7025</v>
      </c>
      <c r="I1442" t="s">
        <v>34</v>
      </c>
      <c r="J1442" t="s">
        <v>2503</v>
      </c>
    </row>
    <row r="1443" spans="1:10" x14ac:dyDescent="0.25">
      <c r="A1443" t="s">
        <v>7026</v>
      </c>
      <c r="B1443" s="3">
        <v>46299</v>
      </c>
      <c r="C1443" t="s">
        <v>669</v>
      </c>
      <c r="D1443" t="s">
        <v>594</v>
      </c>
      <c r="E1443">
        <v>39</v>
      </c>
      <c r="F1443" t="s">
        <v>595</v>
      </c>
      <c r="G1443" t="s">
        <v>4231</v>
      </c>
      <c r="H1443" t="s">
        <v>7027</v>
      </c>
      <c r="I1443" t="s">
        <v>410</v>
      </c>
      <c r="J1443" t="s">
        <v>2503</v>
      </c>
    </row>
    <row r="1444" spans="1:10" x14ac:dyDescent="0.25">
      <c r="A1444" t="s">
        <v>7028</v>
      </c>
      <c r="B1444" s="3">
        <v>46299</v>
      </c>
      <c r="C1444" t="s">
        <v>14</v>
      </c>
      <c r="D1444" t="s">
        <v>15</v>
      </c>
      <c r="E1444">
        <v>1</v>
      </c>
      <c r="F1444" t="s">
        <v>2</v>
      </c>
      <c r="G1444" t="s">
        <v>4222</v>
      </c>
      <c r="H1444" t="s">
        <v>6891</v>
      </c>
      <c r="I1444" t="s">
        <v>19</v>
      </c>
      <c r="J1444" t="s">
        <v>2509</v>
      </c>
    </row>
    <row r="1445" spans="1:10" x14ac:dyDescent="0.25">
      <c r="A1445" t="s">
        <v>7029</v>
      </c>
      <c r="B1445" s="3">
        <v>46299</v>
      </c>
      <c r="C1445" t="s">
        <v>156</v>
      </c>
      <c r="D1445" t="s">
        <v>15</v>
      </c>
      <c r="E1445">
        <v>35</v>
      </c>
      <c r="F1445" t="s">
        <v>2</v>
      </c>
      <c r="G1445" t="s">
        <v>4225</v>
      </c>
      <c r="H1445" t="s">
        <v>7030</v>
      </c>
      <c r="I1445" t="s">
        <v>98</v>
      </c>
      <c r="J1445" t="s">
        <v>2503</v>
      </c>
    </row>
    <row r="1446" spans="1:10" x14ac:dyDescent="0.25">
      <c r="A1446" t="s">
        <v>7031</v>
      </c>
      <c r="B1446" s="3">
        <v>46299</v>
      </c>
      <c r="C1446" t="s">
        <v>243</v>
      </c>
      <c r="D1446" t="s">
        <v>213</v>
      </c>
      <c r="E1446">
        <v>32</v>
      </c>
      <c r="F1446" t="s">
        <v>2</v>
      </c>
      <c r="G1446" t="s">
        <v>4234</v>
      </c>
      <c r="H1446" t="s">
        <v>7032</v>
      </c>
      <c r="I1446" t="s">
        <v>177</v>
      </c>
      <c r="J1446" t="s">
        <v>2509</v>
      </c>
    </row>
    <row r="1447" spans="1:10" x14ac:dyDescent="0.25">
      <c r="A1447" t="s">
        <v>7033</v>
      </c>
      <c r="B1447" s="3">
        <v>46299</v>
      </c>
      <c r="C1447" t="s">
        <v>498</v>
      </c>
      <c r="D1447" t="s">
        <v>488</v>
      </c>
      <c r="E1447">
        <v>13</v>
      </c>
      <c r="F1447" t="s">
        <v>469</v>
      </c>
      <c r="G1447" t="s">
        <v>4225</v>
      </c>
      <c r="H1447" t="s">
        <v>7034</v>
      </c>
      <c r="I1447" t="s">
        <v>52</v>
      </c>
      <c r="J1447" t="s">
        <v>2509</v>
      </c>
    </row>
    <row r="1448" spans="1:10" x14ac:dyDescent="0.25">
      <c r="A1448" t="s">
        <v>7035</v>
      </c>
      <c r="B1448" s="3">
        <v>46299</v>
      </c>
      <c r="C1448" t="s">
        <v>628</v>
      </c>
      <c r="D1448" t="s">
        <v>629</v>
      </c>
      <c r="E1448">
        <v>40</v>
      </c>
      <c r="F1448" t="s">
        <v>355</v>
      </c>
      <c r="G1448" t="s">
        <v>4231</v>
      </c>
      <c r="H1448" t="s">
        <v>7036</v>
      </c>
      <c r="I1448" t="s">
        <v>397</v>
      </c>
      <c r="J1448" t="s">
        <v>2509</v>
      </c>
    </row>
    <row r="1449" spans="1:10" x14ac:dyDescent="0.25">
      <c r="A1449" t="s">
        <v>7037</v>
      </c>
      <c r="B1449" s="3">
        <v>46299</v>
      </c>
      <c r="C1449" t="s">
        <v>519</v>
      </c>
      <c r="D1449" t="s">
        <v>488</v>
      </c>
      <c r="E1449">
        <v>19</v>
      </c>
      <c r="F1449" t="s">
        <v>469</v>
      </c>
      <c r="G1449" t="s">
        <v>4228</v>
      </c>
      <c r="H1449" t="s">
        <v>7038</v>
      </c>
      <c r="I1449" t="s">
        <v>126</v>
      </c>
      <c r="J1449" t="s">
        <v>2503</v>
      </c>
    </row>
    <row r="1450" spans="1:10" x14ac:dyDescent="0.25">
      <c r="A1450" t="s">
        <v>7039</v>
      </c>
      <c r="B1450" s="3">
        <v>46299</v>
      </c>
      <c r="C1450" t="s">
        <v>650</v>
      </c>
      <c r="D1450" t="s">
        <v>587</v>
      </c>
      <c r="E1450">
        <v>39</v>
      </c>
      <c r="F1450" t="s">
        <v>2</v>
      </c>
      <c r="G1450" t="s">
        <v>4231</v>
      </c>
      <c r="H1450" t="s">
        <v>7040</v>
      </c>
      <c r="I1450" t="s">
        <v>289</v>
      </c>
      <c r="J1450" t="s">
        <v>2500</v>
      </c>
    </row>
    <row r="1451" spans="1:10" x14ac:dyDescent="0.25">
      <c r="A1451" t="s">
        <v>7041</v>
      </c>
      <c r="B1451" s="3">
        <v>46299</v>
      </c>
      <c r="C1451" t="s">
        <v>116</v>
      </c>
      <c r="D1451" t="s">
        <v>54</v>
      </c>
      <c r="E1451">
        <v>17</v>
      </c>
      <c r="F1451" t="s">
        <v>2</v>
      </c>
      <c r="G1451" t="s">
        <v>4225</v>
      </c>
      <c r="H1451" t="s">
        <v>7042</v>
      </c>
      <c r="I1451" t="s">
        <v>117</v>
      </c>
      <c r="J1451" t="s">
        <v>2503</v>
      </c>
    </row>
    <row r="1452" spans="1:10" x14ac:dyDescent="0.25">
      <c r="A1452" t="s">
        <v>7043</v>
      </c>
      <c r="B1452" s="3">
        <v>46299</v>
      </c>
      <c r="C1452" t="s">
        <v>550</v>
      </c>
      <c r="D1452" t="s">
        <v>481</v>
      </c>
      <c r="E1452">
        <v>14</v>
      </c>
      <c r="F1452" t="s">
        <v>2</v>
      </c>
      <c r="G1452" t="s">
        <v>4234</v>
      </c>
      <c r="H1452" t="s">
        <v>7044</v>
      </c>
      <c r="I1452" t="s">
        <v>59</v>
      </c>
      <c r="J1452" t="s">
        <v>2513</v>
      </c>
    </row>
    <row r="1453" spans="1:10" x14ac:dyDescent="0.25">
      <c r="A1453" t="s">
        <v>7045</v>
      </c>
      <c r="B1453" s="3">
        <v>46299</v>
      </c>
      <c r="C1453" t="s">
        <v>648</v>
      </c>
      <c r="D1453" t="s">
        <v>585</v>
      </c>
      <c r="E1453">
        <v>19</v>
      </c>
      <c r="F1453" t="s">
        <v>355</v>
      </c>
      <c r="G1453" t="s">
        <v>4234</v>
      </c>
      <c r="H1453" t="s">
        <v>7046</v>
      </c>
      <c r="I1453" t="s">
        <v>203</v>
      </c>
      <c r="J1453" t="s">
        <v>2503</v>
      </c>
    </row>
    <row r="1454" spans="1:10" x14ac:dyDescent="0.25">
      <c r="A1454" t="s">
        <v>7047</v>
      </c>
      <c r="B1454" s="3">
        <v>46299</v>
      </c>
      <c r="C1454" t="s">
        <v>648</v>
      </c>
      <c r="D1454" t="s">
        <v>585</v>
      </c>
      <c r="E1454">
        <v>30</v>
      </c>
      <c r="F1454" t="s">
        <v>355</v>
      </c>
      <c r="G1454" t="s">
        <v>4231</v>
      </c>
      <c r="H1454" t="s">
        <v>7048</v>
      </c>
      <c r="I1454" t="s">
        <v>203</v>
      </c>
      <c r="J1454" t="s">
        <v>2509</v>
      </c>
    </row>
    <row r="1455" spans="1:10" x14ac:dyDescent="0.25">
      <c r="A1455" t="s">
        <v>7049</v>
      </c>
      <c r="B1455" s="3">
        <v>46299</v>
      </c>
      <c r="C1455" t="s">
        <v>453</v>
      </c>
      <c r="D1455" t="s">
        <v>354</v>
      </c>
      <c r="E1455">
        <v>31</v>
      </c>
      <c r="F1455" t="s">
        <v>355</v>
      </c>
      <c r="G1455" t="s">
        <v>4234</v>
      </c>
      <c r="H1455" t="s">
        <v>7050</v>
      </c>
      <c r="I1455" t="s">
        <v>124</v>
      </c>
      <c r="J1455" t="s">
        <v>2513</v>
      </c>
    </row>
    <row r="1456" spans="1:10" x14ac:dyDescent="0.25">
      <c r="A1456" t="s">
        <v>7051</v>
      </c>
      <c r="B1456" s="3">
        <v>46299</v>
      </c>
      <c r="C1456" t="s">
        <v>653</v>
      </c>
      <c r="D1456" t="s">
        <v>585</v>
      </c>
      <c r="E1456">
        <v>9</v>
      </c>
      <c r="F1456" t="s">
        <v>355</v>
      </c>
      <c r="G1456" t="s">
        <v>4231</v>
      </c>
      <c r="H1456" t="s">
        <v>7052</v>
      </c>
      <c r="I1456" t="s">
        <v>250</v>
      </c>
      <c r="J1456" t="s">
        <v>2503</v>
      </c>
    </row>
    <row r="1457" spans="1:10" x14ac:dyDescent="0.25">
      <c r="A1457" t="s">
        <v>7053</v>
      </c>
      <c r="B1457" s="3">
        <v>46299</v>
      </c>
      <c r="C1457" t="s">
        <v>224</v>
      </c>
      <c r="D1457" t="s">
        <v>225</v>
      </c>
      <c r="E1457">
        <v>33</v>
      </c>
      <c r="F1457" t="s">
        <v>2</v>
      </c>
      <c r="G1457" t="s">
        <v>4228</v>
      </c>
      <c r="H1457" t="s">
        <v>7054</v>
      </c>
      <c r="I1457" t="s">
        <v>106</v>
      </c>
      <c r="J1457" t="s">
        <v>2500</v>
      </c>
    </row>
    <row r="1458" spans="1:10" x14ac:dyDescent="0.25">
      <c r="A1458" t="s">
        <v>7055</v>
      </c>
      <c r="B1458" s="3">
        <v>46299</v>
      </c>
      <c r="C1458" t="s">
        <v>578</v>
      </c>
      <c r="D1458" t="s">
        <v>502</v>
      </c>
      <c r="E1458">
        <v>7</v>
      </c>
      <c r="F1458" t="s">
        <v>469</v>
      </c>
      <c r="G1458" t="s">
        <v>4234</v>
      </c>
      <c r="H1458" t="s">
        <v>7056</v>
      </c>
      <c r="I1458" t="s">
        <v>42</v>
      </c>
      <c r="J1458" t="s">
        <v>2513</v>
      </c>
    </row>
    <row r="1459" spans="1:10" x14ac:dyDescent="0.25">
      <c r="A1459" t="s">
        <v>7057</v>
      </c>
      <c r="B1459" s="3">
        <v>46299</v>
      </c>
      <c r="C1459" t="s">
        <v>373</v>
      </c>
      <c r="D1459" t="s">
        <v>364</v>
      </c>
      <c r="E1459">
        <v>3</v>
      </c>
      <c r="F1459" t="s">
        <v>358</v>
      </c>
      <c r="G1459" t="s">
        <v>4231</v>
      </c>
      <c r="H1459" t="s">
        <v>7058</v>
      </c>
      <c r="I1459" t="s">
        <v>206</v>
      </c>
      <c r="J1459" t="s">
        <v>2500</v>
      </c>
    </row>
    <row r="1460" spans="1:10" x14ac:dyDescent="0.25">
      <c r="A1460" t="s">
        <v>7059</v>
      </c>
      <c r="B1460" s="3">
        <v>46299</v>
      </c>
      <c r="C1460" t="s">
        <v>118</v>
      </c>
      <c r="D1460" t="s">
        <v>66</v>
      </c>
      <c r="E1460">
        <v>32</v>
      </c>
      <c r="F1460" t="s">
        <v>2</v>
      </c>
      <c r="G1460" t="s">
        <v>4225</v>
      </c>
      <c r="H1460" t="s">
        <v>7060</v>
      </c>
      <c r="I1460" t="s">
        <v>119</v>
      </c>
      <c r="J1460" t="s">
        <v>2500</v>
      </c>
    </row>
    <row r="1461" spans="1:10" x14ac:dyDescent="0.25">
      <c r="A1461" t="s">
        <v>7061</v>
      </c>
      <c r="B1461" s="3">
        <v>46299</v>
      </c>
      <c r="C1461" t="s">
        <v>415</v>
      </c>
      <c r="D1461" t="s">
        <v>382</v>
      </c>
      <c r="E1461">
        <v>53</v>
      </c>
      <c r="F1461" t="s">
        <v>383</v>
      </c>
      <c r="G1461" t="s">
        <v>4228</v>
      </c>
      <c r="H1461" t="s">
        <v>7062</v>
      </c>
      <c r="I1461" t="s">
        <v>152</v>
      </c>
      <c r="J1461" t="s">
        <v>2513</v>
      </c>
    </row>
    <row r="1462" spans="1:10" x14ac:dyDescent="0.25">
      <c r="A1462" t="s">
        <v>7063</v>
      </c>
      <c r="B1462" s="3">
        <v>46299</v>
      </c>
      <c r="C1462" t="s">
        <v>249</v>
      </c>
      <c r="D1462" t="s">
        <v>216</v>
      </c>
      <c r="E1462">
        <v>16</v>
      </c>
      <c r="F1462" t="s">
        <v>2</v>
      </c>
      <c r="G1462" t="s">
        <v>4231</v>
      </c>
      <c r="H1462" t="s">
        <v>7064</v>
      </c>
      <c r="I1462" t="s">
        <v>250</v>
      </c>
      <c r="J1462" t="s">
        <v>2503</v>
      </c>
    </row>
    <row r="1463" spans="1:10" x14ac:dyDescent="0.25">
      <c r="A1463" t="s">
        <v>7065</v>
      </c>
      <c r="B1463" s="3">
        <v>46299</v>
      </c>
      <c r="C1463" t="s">
        <v>154</v>
      </c>
      <c r="D1463" t="s">
        <v>26</v>
      </c>
      <c r="E1463">
        <v>3</v>
      </c>
      <c r="F1463" t="s">
        <v>2</v>
      </c>
      <c r="G1463" t="s">
        <v>4225</v>
      </c>
      <c r="H1463" t="s">
        <v>7066</v>
      </c>
      <c r="I1463" t="s">
        <v>155</v>
      </c>
      <c r="J1463" t="s">
        <v>2500</v>
      </c>
    </row>
    <row r="1464" spans="1:10" x14ac:dyDescent="0.25">
      <c r="A1464" t="s">
        <v>7067</v>
      </c>
      <c r="B1464" s="3">
        <v>46299</v>
      </c>
      <c r="C1464" t="s">
        <v>640</v>
      </c>
      <c r="D1464" t="s">
        <v>629</v>
      </c>
      <c r="E1464">
        <v>47</v>
      </c>
      <c r="F1464" t="s">
        <v>355</v>
      </c>
      <c r="G1464" t="s">
        <v>4228</v>
      </c>
      <c r="H1464" t="s">
        <v>7068</v>
      </c>
      <c r="I1464" t="s">
        <v>79</v>
      </c>
      <c r="J1464" t="s">
        <v>2509</v>
      </c>
    </row>
    <row r="1465" spans="1:10" x14ac:dyDescent="0.25">
      <c r="A1465" t="s">
        <v>7069</v>
      </c>
      <c r="B1465" s="3">
        <v>46299</v>
      </c>
      <c r="C1465" t="s">
        <v>625</v>
      </c>
      <c r="D1465" t="s">
        <v>594</v>
      </c>
      <c r="E1465">
        <v>52</v>
      </c>
      <c r="F1465" t="s">
        <v>595</v>
      </c>
      <c r="G1465" t="s">
        <v>4222</v>
      </c>
      <c r="H1465" t="s">
        <v>7070</v>
      </c>
      <c r="I1465" t="s">
        <v>19</v>
      </c>
      <c r="J1465" t="s">
        <v>2509</v>
      </c>
    </row>
    <row r="1466" spans="1:10" x14ac:dyDescent="0.25">
      <c r="A1466" t="s">
        <v>7071</v>
      </c>
      <c r="B1466" s="3">
        <v>46299</v>
      </c>
      <c r="C1466" t="s">
        <v>418</v>
      </c>
      <c r="D1466" t="s">
        <v>349</v>
      </c>
      <c r="E1466">
        <v>18</v>
      </c>
      <c r="F1466" t="s">
        <v>2</v>
      </c>
      <c r="G1466" t="s">
        <v>4228</v>
      </c>
      <c r="H1466" t="s">
        <v>7072</v>
      </c>
      <c r="I1466" t="s">
        <v>250</v>
      </c>
      <c r="J1466" t="s">
        <v>2503</v>
      </c>
    </row>
    <row r="1467" spans="1:10" x14ac:dyDescent="0.25">
      <c r="A1467" t="s">
        <v>7073</v>
      </c>
      <c r="B1467" s="3">
        <v>46299</v>
      </c>
      <c r="C1467" t="s">
        <v>581</v>
      </c>
      <c r="D1467" t="s">
        <v>582</v>
      </c>
      <c r="E1467">
        <v>20</v>
      </c>
      <c r="F1467" t="s">
        <v>2</v>
      </c>
      <c r="G1467" t="s">
        <v>4222</v>
      </c>
      <c r="H1467" t="s">
        <v>7074</v>
      </c>
      <c r="I1467" t="s">
        <v>512</v>
      </c>
      <c r="J1467" t="s">
        <v>2509</v>
      </c>
    </row>
    <row r="1468" spans="1:10" x14ac:dyDescent="0.25">
      <c r="A1468" t="s">
        <v>7075</v>
      </c>
      <c r="B1468" s="3">
        <v>46299</v>
      </c>
      <c r="C1468" t="s">
        <v>72</v>
      </c>
      <c r="D1468" t="s">
        <v>29</v>
      </c>
      <c r="E1468">
        <v>14</v>
      </c>
      <c r="F1468" t="s">
        <v>2</v>
      </c>
      <c r="G1468" t="s">
        <v>4225</v>
      </c>
      <c r="H1468" t="s">
        <v>7076</v>
      </c>
      <c r="I1468" t="s">
        <v>73</v>
      </c>
      <c r="J1468" t="s">
        <v>2500</v>
      </c>
    </row>
    <row r="1469" spans="1:10" x14ac:dyDescent="0.25">
      <c r="A1469" t="s">
        <v>7077</v>
      </c>
      <c r="B1469" s="3">
        <v>46299</v>
      </c>
      <c r="C1469" t="s">
        <v>381</v>
      </c>
      <c r="D1469" t="s">
        <v>382</v>
      </c>
      <c r="E1469">
        <v>22</v>
      </c>
      <c r="F1469" t="s">
        <v>383</v>
      </c>
      <c r="G1469" t="s">
        <v>4228</v>
      </c>
      <c r="H1469" t="s">
        <v>7078</v>
      </c>
      <c r="I1469" t="s">
        <v>106</v>
      </c>
      <c r="J1469" t="s">
        <v>2509</v>
      </c>
    </row>
    <row r="1470" spans="1:10" x14ac:dyDescent="0.25">
      <c r="A1470" t="s">
        <v>7079</v>
      </c>
      <c r="B1470" s="3">
        <v>46299</v>
      </c>
      <c r="C1470" t="s">
        <v>678</v>
      </c>
      <c r="D1470" t="s">
        <v>612</v>
      </c>
      <c r="E1470">
        <v>48</v>
      </c>
      <c r="F1470" t="s">
        <v>2</v>
      </c>
      <c r="G1470" t="s">
        <v>4222</v>
      </c>
      <c r="H1470" t="s">
        <v>7080</v>
      </c>
      <c r="I1470" t="s">
        <v>242</v>
      </c>
      <c r="J1470" t="s">
        <v>2513</v>
      </c>
    </row>
    <row r="1471" spans="1:10" x14ac:dyDescent="0.25">
      <c r="A1471" t="s">
        <v>7081</v>
      </c>
      <c r="B1471" s="3">
        <v>46299</v>
      </c>
      <c r="C1471" t="s">
        <v>648</v>
      </c>
      <c r="D1471" t="s">
        <v>585</v>
      </c>
      <c r="E1471">
        <v>38</v>
      </c>
      <c r="F1471" t="s">
        <v>355</v>
      </c>
      <c r="G1471" t="s">
        <v>4231</v>
      </c>
      <c r="H1471" t="s">
        <v>7082</v>
      </c>
      <c r="I1471" t="s">
        <v>203</v>
      </c>
      <c r="J1471" t="s">
        <v>2509</v>
      </c>
    </row>
    <row r="1472" spans="1:10" x14ac:dyDescent="0.25">
      <c r="A1472" t="s">
        <v>7083</v>
      </c>
      <c r="B1472" s="3">
        <v>46299</v>
      </c>
      <c r="C1472" t="s">
        <v>198</v>
      </c>
      <c r="D1472" t="s">
        <v>1</v>
      </c>
      <c r="E1472">
        <v>26</v>
      </c>
      <c r="F1472" t="s">
        <v>2</v>
      </c>
      <c r="G1472" t="s">
        <v>4225</v>
      </c>
      <c r="H1472" t="s">
        <v>7084</v>
      </c>
      <c r="I1472" t="s">
        <v>140</v>
      </c>
      <c r="J1472" t="s">
        <v>2513</v>
      </c>
    </row>
    <row r="1473" spans="1:10" x14ac:dyDescent="0.25">
      <c r="A1473" t="s">
        <v>7085</v>
      </c>
      <c r="B1473" s="3">
        <v>46299</v>
      </c>
      <c r="C1473" t="s">
        <v>465</v>
      </c>
      <c r="D1473" t="s">
        <v>357</v>
      </c>
      <c r="E1473">
        <v>1</v>
      </c>
      <c r="F1473" t="s">
        <v>358</v>
      </c>
      <c r="G1473" t="s">
        <v>4228</v>
      </c>
      <c r="H1473" t="s">
        <v>7086</v>
      </c>
      <c r="I1473" t="s">
        <v>221</v>
      </c>
      <c r="J1473" t="s">
        <v>2503</v>
      </c>
    </row>
    <row r="1474" spans="1:10" x14ac:dyDescent="0.25">
      <c r="A1474" t="s">
        <v>7087</v>
      </c>
      <c r="B1474" s="3">
        <v>46300</v>
      </c>
      <c r="C1474" t="s">
        <v>590</v>
      </c>
      <c r="D1474" t="s">
        <v>585</v>
      </c>
      <c r="E1474">
        <v>32</v>
      </c>
      <c r="F1474" t="s">
        <v>355</v>
      </c>
      <c r="G1474" t="s">
        <v>4228</v>
      </c>
      <c r="H1474" t="s">
        <v>7088</v>
      </c>
      <c r="I1474" t="s">
        <v>246</v>
      </c>
      <c r="J1474" t="s">
        <v>2500</v>
      </c>
    </row>
    <row r="1475" spans="1:10" x14ac:dyDescent="0.25">
      <c r="A1475" t="s">
        <v>7089</v>
      </c>
      <c r="B1475" s="3">
        <v>46300</v>
      </c>
      <c r="C1475" t="s">
        <v>308</v>
      </c>
      <c r="D1475" t="s">
        <v>227</v>
      </c>
      <c r="E1475">
        <v>53</v>
      </c>
      <c r="F1475" t="s">
        <v>2</v>
      </c>
      <c r="G1475" t="s">
        <v>4228</v>
      </c>
      <c r="H1475" t="s">
        <v>7090</v>
      </c>
      <c r="I1475" t="s">
        <v>259</v>
      </c>
      <c r="J1475" t="s">
        <v>2503</v>
      </c>
    </row>
    <row r="1476" spans="1:10" x14ac:dyDescent="0.25">
      <c r="A1476" t="s">
        <v>7091</v>
      </c>
      <c r="B1476" s="3">
        <v>46300</v>
      </c>
      <c r="C1476" t="s">
        <v>615</v>
      </c>
      <c r="D1476" t="s">
        <v>589</v>
      </c>
      <c r="E1476">
        <v>52</v>
      </c>
      <c r="F1476" t="s">
        <v>469</v>
      </c>
      <c r="G1476" t="s">
        <v>4222</v>
      </c>
      <c r="H1476" t="s">
        <v>7092</v>
      </c>
      <c r="I1476" t="s">
        <v>95</v>
      </c>
      <c r="J1476" t="s">
        <v>2500</v>
      </c>
    </row>
    <row r="1477" spans="1:10" x14ac:dyDescent="0.25">
      <c r="A1477" t="s">
        <v>7093</v>
      </c>
      <c r="B1477" s="3">
        <v>46300</v>
      </c>
      <c r="C1477" t="s">
        <v>485</v>
      </c>
      <c r="D1477" t="s">
        <v>474</v>
      </c>
      <c r="E1477">
        <v>2</v>
      </c>
      <c r="F1477" t="s">
        <v>2</v>
      </c>
      <c r="G1477" t="s">
        <v>4222</v>
      </c>
      <c r="H1477" t="s">
        <v>7094</v>
      </c>
      <c r="I1477" t="s">
        <v>171</v>
      </c>
      <c r="J1477" t="s">
        <v>2500</v>
      </c>
    </row>
    <row r="1478" spans="1:10" x14ac:dyDescent="0.25">
      <c r="A1478" t="s">
        <v>7095</v>
      </c>
      <c r="B1478" s="3">
        <v>46300</v>
      </c>
      <c r="C1478" t="s">
        <v>254</v>
      </c>
      <c r="D1478" t="s">
        <v>213</v>
      </c>
      <c r="E1478">
        <v>6</v>
      </c>
      <c r="F1478" t="s">
        <v>2</v>
      </c>
      <c r="G1478" t="s">
        <v>4222</v>
      </c>
      <c r="H1478" t="s">
        <v>7096</v>
      </c>
      <c r="I1478" t="s">
        <v>59</v>
      </c>
      <c r="J1478" t="s">
        <v>2500</v>
      </c>
    </row>
    <row r="1479" spans="1:10" x14ac:dyDescent="0.25">
      <c r="A1479" t="s">
        <v>7097</v>
      </c>
      <c r="B1479" s="3">
        <v>46300</v>
      </c>
      <c r="C1479" t="s">
        <v>353</v>
      </c>
      <c r="D1479" t="s">
        <v>354</v>
      </c>
      <c r="E1479">
        <v>4</v>
      </c>
      <c r="F1479" t="s">
        <v>355</v>
      </c>
      <c r="G1479" t="s">
        <v>4231</v>
      </c>
      <c r="H1479" t="s">
        <v>7032</v>
      </c>
      <c r="I1479" t="s">
        <v>312</v>
      </c>
      <c r="J1479" t="s">
        <v>2509</v>
      </c>
    </row>
    <row r="1480" spans="1:10" x14ac:dyDescent="0.25">
      <c r="A1480" t="s">
        <v>7098</v>
      </c>
      <c r="B1480" s="3">
        <v>46300</v>
      </c>
      <c r="C1480" t="s">
        <v>58</v>
      </c>
      <c r="D1480" t="s">
        <v>21</v>
      </c>
      <c r="E1480">
        <v>49</v>
      </c>
      <c r="F1480" t="s">
        <v>2</v>
      </c>
      <c r="G1480" t="s">
        <v>4228</v>
      </c>
      <c r="H1480" t="s">
        <v>7099</v>
      </c>
      <c r="I1480" t="s">
        <v>59</v>
      </c>
      <c r="J1480" t="s">
        <v>2509</v>
      </c>
    </row>
    <row r="1481" spans="1:10" x14ac:dyDescent="0.25">
      <c r="A1481" t="s">
        <v>7100</v>
      </c>
      <c r="B1481" s="3">
        <v>46300</v>
      </c>
      <c r="C1481" t="s">
        <v>621</v>
      </c>
      <c r="D1481" t="s">
        <v>582</v>
      </c>
      <c r="E1481">
        <v>26</v>
      </c>
      <c r="F1481" t="s">
        <v>2</v>
      </c>
      <c r="G1481" t="s">
        <v>4234</v>
      </c>
      <c r="H1481" t="s">
        <v>7101</v>
      </c>
      <c r="I1481" t="s">
        <v>312</v>
      </c>
      <c r="J1481" t="s">
        <v>2513</v>
      </c>
    </row>
    <row r="1482" spans="1:10" x14ac:dyDescent="0.25">
      <c r="A1482" t="s">
        <v>7102</v>
      </c>
      <c r="B1482" s="3">
        <v>46300</v>
      </c>
      <c r="C1482" t="s">
        <v>542</v>
      </c>
      <c r="D1482" t="s">
        <v>502</v>
      </c>
      <c r="E1482">
        <v>52</v>
      </c>
      <c r="F1482" t="s">
        <v>469</v>
      </c>
      <c r="G1482" t="s">
        <v>4222</v>
      </c>
      <c r="H1482" t="s">
        <v>7103</v>
      </c>
      <c r="I1482" t="s">
        <v>57</v>
      </c>
      <c r="J1482" t="s">
        <v>2513</v>
      </c>
    </row>
    <row r="1483" spans="1:10" x14ac:dyDescent="0.25">
      <c r="A1483" t="s">
        <v>7104</v>
      </c>
      <c r="B1483" s="3">
        <v>46300</v>
      </c>
      <c r="C1483" t="s">
        <v>620</v>
      </c>
      <c r="D1483" t="s">
        <v>587</v>
      </c>
      <c r="E1483">
        <v>39</v>
      </c>
      <c r="F1483" t="s">
        <v>2</v>
      </c>
      <c r="G1483" t="s">
        <v>4228</v>
      </c>
      <c r="H1483" t="s">
        <v>7105</v>
      </c>
      <c r="I1483" t="s">
        <v>129</v>
      </c>
      <c r="J1483" t="s">
        <v>2509</v>
      </c>
    </row>
    <row r="1484" spans="1:10" x14ac:dyDescent="0.25">
      <c r="A1484" t="s">
        <v>7106</v>
      </c>
      <c r="B1484" s="3">
        <v>46300</v>
      </c>
      <c r="C1484" t="s">
        <v>572</v>
      </c>
      <c r="D1484" t="s">
        <v>490</v>
      </c>
      <c r="E1484">
        <v>44</v>
      </c>
      <c r="F1484" t="s">
        <v>355</v>
      </c>
      <c r="G1484" t="s">
        <v>4231</v>
      </c>
      <c r="H1484" t="s">
        <v>7107</v>
      </c>
      <c r="I1484" t="s">
        <v>27</v>
      </c>
      <c r="J1484" t="s">
        <v>2500</v>
      </c>
    </row>
    <row r="1485" spans="1:10" x14ac:dyDescent="0.25">
      <c r="A1485" t="s">
        <v>7108</v>
      </c>
      <c r="B1485" s="3">
        <v>46300</v>
      </c>
      <c r="C1485" t="s">
        <v>253</v>
      </c>
      <c r="D1485" t="s">
        <v>216</v>
      </c>
      <c r="E1485">
        <v>14</v>
      </c>
      <c r="F1485" t="s">
        <v>2</v>
      </c>
      <c r="G1485" t="s">
        <v>4225</v>
      </c>
      <c r="H1485" t="s">
        <v>7109</v>
      </c>
      <c r="I1485" t="s">
        <v>71</v>
      </c>
      <c r="J1485" t="s">
        <v>2513</v>
      </c>
    </row>
    <row r="1486" spans="1:10" x14ac:dyDescent="0.25">
      <c r="A1486" t="s">
        <v>7110</v>
      </c>
      <c r="B1486" s="3">
        <v>46300</v>
      </c>
      <c r="C1486" t="s">
        <v>622</v>
      </c>
      <c r="D1486" t="s">
        <v>585</v>
      </c>
      <c r="E1486">
        <v>12</v>
      </c>
      <c r="F1486" t="s">
        <v>355</v>
      </c>
      <c r="G1486" t="s">
        <v>4228</v>
      </c>
      <c r="H1486" t="s">
        <v>7111</v>
      </c>
      <c r="I1486" t="s">
        <v>71</v>
      </c>
      <c r="J1486" t="s">
        <v>2503</v>
      </c>
    </row>
    <row r="1487" spans="1:10" x14ac:dyDescent="0.25">
      <c r="A1487" t="s">
        <v>7112</v>
      </c>
      <c r="B1487" s="3">
        <v>46300</v>
      </c>
      <c r="C1487" t="s">
        <v>200</v>
      </c>
      <c r="D1487" t="s">
        <v>66</v>
      </c>
      <c r="E1487">
        <v>49</v>
      </c>
      <c r="F1487" t="s">
        <v>2</v>
      </c>
      <c r="G1487" t="s">
        <v>4228</v>
      </c>
      <c r="H1487" t="s">
        <v>7113</v>
      </c>
      <c r="I1487" t="s">
        <v>201</v>
      </c>
      <c r="J1487" t="s">
        <v>2513</v>
      </c>
    </row>
    <row r="1488" spans="1:10" x14ac:dyDescent="0.25">
      <c r="A1488" t="s">
        <v>7114</v>
      </c>
      <c r="B1488" s="3">
        <v>46300</v>
      </c>
      <c r="C1488" t="s">
        <v>584</v>
      </c>
      <c r="D1488" t="s">
        <v>585</v>
      </c>
      <c r="E1488">
        <v>2</v>
      </c>
      <c r="F1488" t="s">
        <v>355</v>
      </c>
      <c r="G1488" t="s">
        <v>4234</v>
      </c>
      <c r="H1488" t="s">
        <v>7115</v>
      </c>
      <c r="I1488" t="s">
        <v>129</v>
      </c>
      <c r="J1488" t="s">
        <v>2500</v>
      </c>
    </row>
    <row r="1489" spans="1:10" x14ac:dyDescent="0.25">
      <c r="A1489" t="s">
        <v>7116</v>
      </c>
      <c r="B1489" s="3">
        <v>46300</v>
      </c>
      <c r="C1489" t="s">
        <v>534</v>
      </c>
      <c r="D1489" t="s">
        <v>488</v>
      </c>
      <c r="E1489">
        <v>53</v>
      </c>
      <c r="F1489" t="s">
        <v>469</v>
      </c>
      <c r="G1489" t="s">
        <v>4234</v>
      </c>
      <c r="H1489" t="s">
        <v>7117</v>
      </c>
      <c r="I1489" t="s">
        <v>89</v>
      </c>
      <c r="J1489" t="s">
        <v>2503</v>
      </c>
    </row>
    <row r="1490" spans="1:10" x14ac:dyDescent="0.25">
      <c r="A1490" t="s">
        <v>7118</v>
      </c>
      <c r="B1490" s="3">
        <v>46300</v>
      </c>
      <c r="C1490" t="s">
        <v>146</v>
      </c>
      <c r="D1490" t="s">
        <v>1</v>
      </c>
      <c r="E1490">
        <v>40</v>
      </c>
      <c r="F1490" t="s">
        <v>2</v>
      </c>
      <c r="G1490" t="s">
        <v>4225</v>
      </c>
      <c r="H1490" t="s">
        <v>7119</v>
      </c>
      <c r="I1490" t="s">
        <v>147</v>
      </c>
      <c r="J1490" t="s">
        <v>2509</v>
      </c>
    </row>
    <row r="1491" spans="1:10" x14ac:dyDescent="0.25">
      <c r="A1491" t="s">
        <v>7120</v>
      </c>
      <c r="B1491" s="3">
        <v>46300</v>
      </c>
      <c r="C1491" t="s">
        <v>60</v>
      </c>
      <c r="D1491" t="s">
        <v>44</v>
      </c>
      <c r="E1491">
        <v>11</v>
      </c>
      <c r="F1491" t="s">
        <v>2</v>
      </c>
      <c r="G1491" t="s">
        <v>4225</v>
      </c>
      <c r="H1491" t="s">
        <v>7121</v>
      </c>
      <c r="I1491" t="s">
        <v>27</v>
      </c>
      <c r="J1491" t="s">
        <v>2500</v>
      </c>
    </row>
    <row r="1492" spans="1:10" x14ac:dyDescent="0.25">
      <c r="A1492" t="s">
        <v>7122</v>
      </c>
      <c r="B1492" s="3">
        <v>46300</v>
      </c>
      <c r="C1492" t="s">
        <v>560</v>
      </c>
      <c r="D1492" t="s">
        <v>467</v>
      </c>
      <c r="E1492">
        <v>39</v>
      </c>
      <c r="F1492" t="s">
        <v>469</v>
      </c>
      <c r="G1492" t="s">
        <v>4234</v>
      </c>
      <c r="H1492" t="s">
        <v>7123</v>
      </c>
      <c r="I1492" t="s">
        <v>119</v>
      </c>
      <c r="J1492" t="s">
        <v>2509</v>
      </c>
    </row>
    <row r="1493" spans="1:10" x14ac:dyDescent="0.25">
      <c r="A1493" t="s">
        <v>7124</v>
      </c>
      <c r="B1493" s="3">
        <v>46300</v>
      </c>
      <c r="C1493" t="s">
        <v>401</v>
      </c>
      <c r="D1493" t="s">
        <v>382</v>
      </c>
      <c r="E1493">
        <v>7</v>
      </c>
      <c r="F1493" t="s">
        <v>383</v>
      </c>
      <c r="G1493" t="s">
        <v>4234</v>
      </c>
      <c r="H1493" t="s">
        <v>7125</v>
      </c>
      <c r="I1493" t="s">
        <v>19</v>
      </c>
      <c r="J1493" t="s">
        <v>2509</v>
      </c>
    </row>
    <row r="1494" spans="1:10" x14ac:dyDescent="0.25">
      <c r="A1494" t="s">
        <v>7126</v>
      </c>
      <c r="B1494" s="3">
        <v>46300</v>
      </c>
      <c r="C1494" t="s">
        <v>339</v>
      </c>
      <c r="D1494" t="s">
        <v>223</v>
      </c>
      <c r="E1494">
        <v>10</v>
      </c>
      <c r="F1494" t="s">
        <v>2</v>
      </c>
      <c r="G1494" t="s">
        <v>4231</v>
      </c>
      <c r="H1494" t="s">
        <v>7127</v>
      </c>
      <c r="I1494" t="s">
        <v>34</v>
      </c>
      <c r="J1494" t="s">
        <v>2509</v>
      </c>
    </row>
    <row r="1495" spans="1:10" x14ac:dyDescent="0.25">
      <c r="A1495" t="s">
        <v>7128</v>
      </c>
      <c r="B1495" s="3">
        <v>46300</v>
      </c>
      <c r="C1495" t="s">
        <v>461</v>
      </c>
      <c r="D1495" t="s">
        <v>344</v>
      </c>
      <c r="E1495">
        <v>42</v>
      </c>
      <c r="F1495" t="s">
        <v>346</v>
      </c>
      <c r="G1495" t="s">
        <v>4234</v>
      </c>
      <c r="H1495" t="s">
        <v>6817</v>
      </c>
      <c r="I1495" t="s">
        <v>219</v>
      </c>
      <c r="J1495" t="s">
        <v>2503</v>
      </c>
    </row>
    <row r="1496" spans="1:10" x14ac:dyDescent="0.25">
      <c r="A1496" t="s">
        <v>7129</v>
      </c>
      <c r="B1496" s="3">
        <v>46300</v>
      </c>
      <c r="C1496" t="s">
        <v>172</v>
      </c>
      <c r="D1496" t="s">
        <v>26</v>
      </c>
      <c r="E1496">
        <v>26</v>
      </c>
      <c r="F1496" t="s">
        <v>2</v>
      </c>
      <c r="G1496" t="s">
        <v>4225</v>
      </c>
      <c r="H1496" t="s">
        <v>7130</v>
      </c>
      <c r="I1496" t="s">
        <v>173</v>
      </c>
      <c r="J1496" t="s">
        <v>2500</v>
      </c>
    </row>
    <row r="1497" spans="1:10" x14ac:dyDescent="0.25">
      <c r="A1497" t="s">
        <v>7131</v>
      </c>
      <c r="B1497" s="3">
        <v>46300</v>
      </c>
      <c r="C1497" t="s">
        <v>567</v>
      </c>
      <c r="D1497" t="s">
        <v>502</v>
      </c>
      <c r="E1497">
        <v>42</v>
      </c>
      <c r="F1497" t="s">
        <v>469</v>
      </c>
      <c r="G1497" t="s">
        <v>4234</v>
      </c>
      <c r="H1497" t="s">
        <v>7132</v>
      </c>
      <c r="I1497" t="s">
        <v>152</v>
      </c>
      <c r="J1497" t="s">
        <v>2503</v>
      </c>
    </row>
    <row r="1498" spans="1:10" x14ac:dyDescent="0.25">
      <c r="A1498" t="s">
        <v>7133</v>
      </c>
      <c r="B1498" s="3">
        <v>46300</v>
      </c>
      <c r="C1498" t="s">
        <v>598</v>
      </c>
      <c r="D1498" t="s">
        <v>599</v>
      </c>
      <c r="E1498">
        <v>24</v>
      </c>
      <c r="F1498" t="s">
        <v>2</v>
      </c>
      <c r="G1498" t="s">
        <v>4231</v>
      </c>
      <c r="H1498" t="s">
        <v>7134</v>
      </c>
      <c r="I1498" t="s">
        <v>27</v>
      </c>
      <c r="J1498" t="s">
        <v>2513</v>
      </c>
    </row>
    <row r="1499" spans="1:10" x14ac:dyDescent="0.25">
      <c r="A1499" t="s">
        <v>7135</v>
      </c>
      <c r="B1499" s="3">
        <v>46300</v>
      </c>
      <c r="C1499" t="s">
        <v>544</v>
      </c>
      <c r="D1499" t="s">
        <v>488</v>
      </c>
      <c r="E1499">
        <v>36</v>
      </c>
      <c r="F1499" t="s">
        <v>469</v>
      </c>
      <c r="G1499" t="s">
        <v>4228</v>
      </c>
      <c r="H1499" t="s">
        <v>7136</v>
      </c>
      <c r="I1499" t="s">
        <v>219</v>
      </c>
      <c r="J1499" t="s">
        <v>2509</v>
      </c>
    </row>
    <row r="1500" spans="1:10" x14ac:dyDescent="0.25">
      <c r="A1500" t="s">
        <v>7137</v>
      </c>
      <c r="B1500" s="3">
        <v>46300</v>
      </c>
      <c r="C1500" t="s">
        <v>443</v>
      </c>
      <c r="D1500" t="s">
        <v>382</v>
      </c>
      <c r="E1500">
        <v>47</v>
      </c>
      <c r="F1500" t="s">
        <v>383</v>
      </c>
      <c r="G1500" t="s">
        <v>4222</v>
      </c>
      <c r="H1500" t="s">
        <v>7138</v>
      </c>
      <c r="I1500" t="s">
        <v>330</v>
      </c>
      <c r="J1500" t="s">
        <v>2509</v>
      </c>
    </row>
    <row r="1501" spans="1:10" x14ac:dyDescent="0.25">
      <c r="A1501" t="s">
        <v>7139</v>
      </c>
      <c r="B1501" s="3">
        <v>46300</v>
      </c>
      <c r="C1501" t="s">
        <v>138</v>
      </c>
      <c r="D1501" t="s">
        <v>44</v>
      </c>
      <c r="E1501">
        <v>19</v>
      </c>
      <c r="F1501" t="s">
        <v>2</v>
      </c>
      <c r="G1501" t="s">
        <v>4234</v>
      </c>
      <c r="H1501" t="s">
        <v>7140</v>
      </c>
      <c r="I1501" t="s">
        <v>98</v>
      </c>
      <c r="J1501" t="s">
        <v>2509</v>
      </c>
    </row>
    <row r="1502" spans="1:10" x14ac:dyDescent="0.25">
      <c r="A1502" t="s">
        <v>7141</v>
      </c>
      <c r="B1502" s="3">
        <v>46300</v>
      </c>
      <c r="C1502" t="s">
        <v>264</v>
      </c>
      <c r="D1502" t="s">
        <v>240</v>
      </c>
      <c r="E1502">
        <v>26</v>
      </c>
      <c r="F1502" t="s">
        <v>2</v>
      </c>
      <c r="G1502" t="s">
        <v>4231</v>
      </c>
      <c r="H1502" t="s">
        <v>7142</v>
      </c>
      <c r="I1502" t="s">
        <v>265</v>
      </c>
      <c r="J1502" t="s">
        <v>2513</v>
      </c>
    </row>
    <row r="1503" spans="1:10" x14ac:dyDescent="0.25">
      <c r="A1503" t="s">
        <v>7143</v>
      </c>
      <c r="B1503" s="3">
        <v>46300</v>
      </c>
      <c r="C1503" t="s">
        <v>269</v>
      </c>
      <c r="D1503" t="s">
        <v>210</v>
      </c>
      <c r="E1503">
        <v>35</v>
      </c>
      <c r="F1503" t="s">
        <v>2</v>
      </c>
      <c r="G1503" t="s">
        <v>4234</v>
      </c>
      <c r="H1503" t="s">
        <v>7144</v>
      </c>
      <c r="I1503" t="s">
        <v>117</v>
      </c>
      <c r="J1503" t="s">
        <v>2513</v>
      </c>
    </row>
    <row r="1504" spans="1:10" x14ac:dyDescent="0.25">
      <c r="A1504" t="s">
        <v>7145</v>
      </c>
      <c r="B1504" s="3">
        <v>46300</v>
      </c>
      <c r="C1504" t="s">
        <v>575</v>
      </c>
      <c r="D1504" t="s">
        <v>467</v>
      </c>
      <c r="E1504">
        <v>40</v>
      </c>
      <c r="F1504" t="s">
        <v>469</v>
      </c>
      <c r="G1504" t="s">
        <v>4225</v>
      </c>
      <c r="H1504" t="s">
        <v>7146</v>
      </c>
      <c r="I1504" t="s">
        <v>108</v>
      </c>
      <c r="J1504" t="s">
        <v>2509</v>
      </c>
    </row>
    <row r="1505" spans="1:10" x14ac:dyDescent="0.25">
      <c r="A1505" t="s">
        <v>7147</v>
      </c>
      <c r="B1505" s="3">
        <v>46300</v>
      </c>
      <c r="C1505" t="s">
        <v>237</v>
      </c>
      <c r="D1505" t="s">
        <v>234</v>
      </c>
      <c r="E1505">
        <v>51</v>
      </c>
      <c r="F1505" t="s">
        <v>2</v>
      </c>
      <c r="G1505" t="s">
        <v>4228</v>
      </c>
      <c r="H1505" t="s">
        <v>7148</v>
      </c>
      <c r="I1505" t="s">
        <v>193</v>
      </c>
      <c r="J1505" t="s">
        <v>2513</v>
      </c>
    </row>
    <row r="1506" spans="1:10" x14ac:dyDescent="0.25">
      <c r="A1506" t="s">
        <v>7149</v>
      </c>
      <c r="B1506" s="3">
        <v>46300</v>
      </c>
      <c r="C1506" t="s">
        <v>511</v>
      </c>
      <c r="D1506" t="s">
        <v>502</v>
      </c>
      <c r="E1506">
        <v>27</v>
      </c>
      <c r="F1506" t="s">
        <v>469</v>
      </c>
      <c r="G1506" t="s">
        <v>4228</v>
      </c>
      <c r="H1506" t="s">
        <v>7150</v>
      </c>
      <c r="I1506" t="s">
        <v>512</v>
      </c>
      <c r="J1506" t="s">
        <v>2513</v>
      </c>
    </row>
    <row r="1507" spans="1:10" x14ac:dyDescent="0.25">
      <c r="A1507" t="s">
        <v>7151</v>
      </c>
      <c r="B1507" s="3">
        <v>46300</v>
      </c>
      <c r="C1507" t="s">
        <v>258</v>
      </c>
      <c r="D1507" t="s">
        <v>210</v>
      </c>
      <c r="E1507">
        <v>3</v>
      </c>
      <c r="F1507" t="s">
        <v>2</v>
      </c>
      <c r="G1507" t="s">
        <v>4225</v>
      </c>
      <c r="H1507" t="s">
        <v>7152</v>
      </c>
      <c r="I1507" t="s">
        <v>259</v>
      </c>
      <c r="J1507" t="s">
        <v>2503</v>
      </c>
    </row>
    <row r="1508" spans="1:10" x14ac:dyDescent="0.25">
      <c r="A1508" t="s">
        <v>7153</v>
      </c>
      <c r="B1508" s="3">
        <v>46300</v>
      </c>
      <c r="C1508" t="s">
        <v>554</v>
      </c>
      <c r="D1508" t="s">
        <v>502</v>
      </c>
      <c r="E1508">
        <v>33</v>
      </c>
      <c r="F1508" t="s">
        <v>469</v>
      </c>
      <c r="G1508" t="s">
        <v>4231</v>
      </c>
      <c r="H1508" t="s">
        <v>7154</v>
      </c>
      <c r="I1508" t="s">
        <v>265</v>
      </c>
      <c r="J1508" t="s">
        <v>2500</v>
      </c>
    </row>
    <row r="1509" spans="1:10" x14ac:dyDescent="0.25">
      <c r="A1509" t="s">
        <v>7155</v>
      </c>
      <c r="B1509" s="3">
        <v>46300</v>
      </c>
      <c r="C1509" t="s">
        <v>624</v>
      </c>
      <c r="D1509" t="s">
        <v>602</v>
      </c>
      <c r="E1509">
        <v>24</v>
      </c>
      <c r="F1509" t="s">
        <v>2</v>
      </c>
      <c r="G1509" t="s">
        <v>4222</v>
      </c>
      <c r="H1509" t="s">
        <v>7156</v>
      </c>
      <c r="I1509" t="s">
        <v>181</v>
      </c>
      <c r="J1509" t="s">
        <v>2509</v>
      </c>
    </row>
    <row r="1510" spans="1:10" x14ac:dyDescent="0.25">
      <c r="A1510" t="s">
        <v>7157</v>
      </c>
      <c r="B1510" s="3">
        <v>46300</v>
      </c>
      <c r="C1510" t="s">
        <v>631</v>
      </c>
      <c r="D1510" t="s">
        <v>582</v>
      </c>
      <c r="E1510">
        <v>29</v>
      </c>
      <c r="F1510" t="s">
        <v>2</v>
      </c>
      <c r="G1510" t="s">
        <v>4234</v>
      </c>
      <c r="H1510" t="s">
        <v>7158</v>
      </c>
      <c r="I1510" t="s">
        <v>110</v>
      </c>
      <c r="J1510" t="s">
        <v>2503</v>
      </c>
    </row>
    <row r="1511" spans="1:10" x14ac:dyDescent="0.25">
      <c r="A1511" t="s">
        <v>7159</v>
      </c>
      <c r="B1511" s="3">
        <v>46300</v>
      </c>
      <c r="C1511" t="s">
        <v>418</v>
      </c>
      <c r="D1511" t="s">
        <v>349</v>
      </c>
      <c r="E1511">
        <v>3</v>
      </c>
      <c r="F1511" t="s">
        <v>2</v>
      </c>
      <c r="G1511" t="s">
        <v>4231</v>
      </c>
      <c r="H1511" t="s">
        <v>7160</v>
      </c>
      <c r="I1511" t="s">
        <v>250</v>
      </c>
      <c r="J1511" t="s">
        <v>2500</v>
      </c>
    </row>
    <row r="1512" spans="1:10" x14ac:dyDescent="0.25">
      <c r="A1512" t="s">
        <v>7161</v>
      </c>
      <c r="B1512" s="3">
        <v>46300</v>
      </c>
      <c r="C1512" t="s">
        <v>70</v>
      </c>
      <c r="D1512" t="s">
        <v>1</v>
      </c>
      <c r="E1512">
        <v>49</v>
      </c>
      <c r="F1512" t="s">
        <v>2</v>
      </c>
      <c r="G1512" t="s">
        <v>4228</v>
      </c>
      <c r="H1512" t="s">
        <v>7162</v>
      </c>
      <c r="I1512" t="s">
        <v>71</v>
      </c>
      <c r="J1512" t="s">
        <v>2503</v>
      </c>
    </row>
    <row r="1513" spans="1:10" x14ac:dyDescent="0.25">
      <c r="A1513" t="s">
        <v>7163</v>
      </c>
      <c r="B1513" s="3">
        <v>46300</v>
      </c>
      <c r="C1513" t="s">
        <v>318</v>
      </c>
      <c r="D1513" t="s">
        <v>240</v>
      </c>
      <c r="E1513">
        <v>34</v>
      </c>
      <c r="F1513" t="s">
        <v>2</v>
      </c>
      <c r="G1513" t="s">
        <v>4228</v>
      </c>
      <c r="H1513" t="s">
        <v>7164</v>
      </c>
      <c r="I1513" t="s">
        <v>24</v>
      </c>
      <c r="J1513" t="s">
        <v>2509</v>
      </c>
    </row>
    <row r="1514" spans="1:10" x14ac:dyDescent="0.25">
      <c r="A1514" t="s">
        <v>7165</v>
      </c>
      <c r="B1514" s="3">
        <v>46300</v>
      </c>
      <c r="C1514" t="s">
        <v>392</v>
      </c>
      <c r="D1514" t="s">
        <v>349</v>
      </c>
      <c r="E1514">
        <v>24</v>
      </c>
      <c r="F1514" t="s">
        <v>2</v>
      </c>
      <c r="G1514" t="s">
        <v>4234</v>
      </c>
      <c r="H1514" t="s">
        <v>7166</v>
      </c>
      <c r="I1514" t="s">
        <v>24</v>
      </c>
      <c r="J1514" t="s">
        <v>2503</v>
      </c>
    </row>
    <row r="1515" spans="1:10" x14ac:dyDescent="0.25">
      <c r="A1515" t="s">
        <v>7167</v>
      </c>
      <c r="B1515" s="3">
        <v>46300</v>
      </c>
      <c r="C1515" t="s">
        <v>451</v>
      </c>
      <c r="D1515" t="s">
        <v>351</v>
      </c>
      <c r="E1515">
        <v>42</v>
      </c>
      <c r="F1515" t="s">
        <v>2</v>
      </c>
      <c r="G1515" t="s">
        <v>4234</v>
      </c>
      <c r="H1515" t="s">
        <v>7168</v>
      </c>
      <c r="I1515" t="s">
        <v>185</v>
      </c>
      <c r="J1515" t="s">
        <v>2513</v>
      </c>
    </row>
    <row r="1516" spans="1:10" x14ac:dyDescent="0.25">
      <c r="A1516" t="s">
        <v>7169</v>
      </c>
      <c r="B1516" s="3">
        <v>46300</v>
      </c>
      <c r="C1516" t="s">
        <v>518</v>
      </c>
      <c r="D1516" t="s">
        <v>467</v>
      </c>
      <c r="E1516">
        <v>30</v>
      </c>
      <c r="F1516" t="s">
        <v>469</v>
      </c>
      <c r="G1516" t="s">
        <v>4222</v>
      </c>
      <c r="H1516" t="s">
        <v>7170</v>
      </c>
      <c r="I1516" t="s">
        <v>98</v>
      </c>
      <c r="J1516" t="s">
        <v>2509</v>
      </c>
    </row>
    <row r="1517" spans="1:10" x14ac:dyDescent="0.25">
      <c r="A1517" t="s">
        <v>7171</v>
      </c>
      <c r="B1517" s="3">
        <v>46300</v>
      </c>
      <c r="C1517" t="s">
        <v>396</v>
      </c>
      <c r="D1517" t="s">
        <v>357</v>
      </c>
      <c r="E1517">
        <v>37</v>
      </c>
      <c r="F1517" t="s">
        <v>358</v>
      </c>
      <c r="G1517" t="s">
        <v>4225</v>
      </c>
      <c r="H1517" t="s">
        <v>7172</v>
      </c>
      <c r="I1517" t="s">
        <v>397</v>
      </c>
      <c r="J1517" t="s">
        <v>2500</v>
      </c>
    </row>
    <row r="1518" spans="1:10" x14ac:dyDescent="0.25">
      <c r="A1518" t="s">
        <v>7173</v>
      </c>
      <c r="B1518" s="3">
        <v>46300</v>
      </c>
      <c r="C1518" t="s">
        <v>88</v>
      </c>
      <c r="D1518" t="s">
        <v>26</v>
      </c>
      <c r="E1518">
        <v>25</v>
      </c>
      <c r="F1518" t="s">
        <v>2</v>
      </c>
      <c r="G1518" t="s">
        <v>4231</v>
      </c>
      <c r="H1518" t="s">
        <v>7174</v>
      </c>
      <c r="I1518" t="s">
        <v>89</v>
      </c>
      <c r="J1518" t="s">
        <v>2513</v>
      </c>
    </row>
    <row r="1519" spans="1:10" x14ac:dyDescent="0.25">
      <c r="A1519" t="s">
        <v>7175</v>
      </c>
      <c r="B1519" s="3">
        <v>46300</v>
      </c>
      <c r="C1519" t="s">
        <v>504</v>
      </c>
      <c r="D1519" t="s">
        <v>474</v>
      </c>
      <c r="E1519">
        <v>7</v>
      </c>
      <c r="F1519" t="s">
        <v>2</v>
      </c>
      <c r="G1519" t="s">
        <v>4225</v>
      </c>
      <c r="H1519" t="s">
        <v>7176</v>
      </c>
      <c r="I1519" t="s">
        <v>274</v>
      </c>
      <c r="J1519" t="s">
        <v>2500</v>
      </c>
    </row>
    <row r="1520" spans="1:10" x14ac:dyDescent="0.25">
      <c r="A1520" t="s">
        <v>7177</v>
      </c>
      <c r="B1520" s="3">
        <v>46300</v>
      </c>
      <c r="C1520" t="s">
        <v>581</v>
      </c>
      <c r="D1520" t="s">
        <v>582</v>
      </c>
      <c r="E1520">
        <v>54</v>
      </c>
      <c r="F1520" t="s">
        <v>2</v>
      </c>
      <c r="G1520" t="s">
        <v>4222</v>
      </c>
      <c r="H1520" t="s">
        <v>7178</v>
      </c>
      <c r="I1520" t="s">
        <v>512</v>
      </c>
      <c r="J1520" t="s">
        <v>2503</v>
      </c>
    </row>
    <row r="1521" spans="1:10" x14ac:dyDescent="0.25">
      <c r="A1521" t="s">
        <v>7179</v>
      </c>
      <c r="B1521" s="3">
        <v>46300</v>
      </c>
      <c r="C1521" t="s">
        <v>207</v>
      </c>
      <c r="D1521" t="s">
        <v>29</v>
      </c>
      <c r="E1521">
        <v>26</v>
      </c>
      <c r="F1521" t="s">
        <v>2</v>
      </c>
      <c r="G1521" t="s">
        <v>4234</v>
      </c>
      <c r="H1521" t="s">
        <v>7180</v>
      </c>
      <c r="I1521" t="s">
        <v>208</v>
      </c>
      <c r="J1521" t="s">
        <v>2500</v>
      </c>
    </row>
    <row r="1522" spans="1:10" x14ac:dyDescent="0.25">
      <c r="A1522" t="s">
        <v>7181</v>
      </c>
      <c r="B1522" s="3">
        <v>46300</v>
      </c>
      <c r="C1522" t="s">
        <v>252</v>
      </c>
      <c r="D1522" t="s">
        <v>216</v>
      </c>
      <c r="E1522">
        <v>9</v>
      </c>
      <c r="F1522" t="s">
        <v>2</v>
      </c>
      <c r="G1522" t="s">
        <v>4231</v>
      </c>
      <c r="H1522" t="s">
        <v>7152</v>
      </c>
      <c r="I1522" t="s">
        <v>52</v>
      </c>
      <c r="J1522" t="s">
        <v>2503</v>
      </c>
    </row>
    <row r="1523" spans="1:10" x14ac:dyDescent="0.25">
      <c r="A1523" t="s">
        <v>7182</v>
      </c>
      <c r="B1523" s="3">
        <v>46300</v>
      </c>
      <c r="C1523" t="s">
        <v>122</v>
      </c>
      <c r="D1523" t="s">
        <v>54</v>
      </c>
      <c r="E1523">
        <v>7</v>
      </c>
      <c r="F1523" t="s">
        <v>2</v>
      </c>
      <c r="G1523" t="s">
        <v>4234</v>
      </c>
      <c r="H1523" t="s">
        <v>7183</v>
      </c>
      <c r="I1523" t="s">
        <v>98</v>
      </c>
      <c r="J1523" t="s">
        <v>2509</v>
      </c>
    </row>
    <row r="1524" spans="1:10" x14ac:dyDescent="0.25">
      <c r="A1524" t="s">
        <v>7184</v>
      </c>
      <c r="B1524" s="3">
        <v>46301</v>
      </c>
      <c r="C1524" t="s">
        <v>264</v>
      </c>
      <c r="D1524" t="s">
        <v>240</v>
      </c>
      <c r="E1524">
        <v>24</v>
      </c>
      <c r="F1524" t="s">
        <v>2</v>
      </c>
      <c r="G1524" t="s">
        <v>4231</v>
      </c>
      <c r="H1524" t="s">
        <v>7185</v>
      </c>
      <c r="I1524" t="s">
        <v>265</v>
      </c>
      <c r="J1524" t="s">
        <v>2513</v>
      </c>
    </row>
    <row r="1525" spans="1:10" x14ac:dyDescent="0.25">
      <c r="A1525" t="s">
        <v>7186</v>
      </c>
      <c r="B1525" s="3">
        <v>46301</v>
      </c>
      <c r="C1525" t="s">
        <v>372</v>
      </c>
      <c r="D1525" t="s">
        <v>360</v>
      </c>
      <c r="E1525">
        <v>30</v>
      </c>
      <c r="F1525" t="s">
        <v>358</v>
      </c>
      <c r="G1525" t="s">
        <v>4225</v>
      </c>
      <c r="H1525" t="s">
        <v>7187</v>
      </c>
      <c r="I1525" t="s">
        <v>126</v>
      </c>
      <c r="J1525" t="s">
        <v>2503</v>
      </c>
    </row>
    <row r="1526" spans="1:10" x14ac:dyDescent="0.25">
      <c r="A1526" t="s">
        <v>7188</v>
      </c>
      <c r="B1526" s="3">
        <v>46301</v>
      </c>
      <c r="C1526" t="s">
        <v>559</v>
      </c>
      <c r="D1526" t="s">
        <v>502</v>
      </c>
      <c r="E1526">
        <v>14</v>
      </c>
      <c r="F1526" t="s">
        <v>469</v>
      </c>
      <c r="G1526" t="s">
        <v>4222</v>
      </c>
      <c r="H1526" t="s">
        <v>7189</v>
      </c>
      <c r="I1526" t="s">
        <v>324</v>
      </c>
      <c r="J1526" t="s">
        <v>2513</v>
      </c>
    </row>
    <row r="1527" spans="1:10" x14ac:dyDescent="0.25">
      <c r="A1527" t="s">
        <v>7190</v>
      </c>
      <c r="B1527" s="3">
        <v>46301</v>
      </c>
      <c r="C1527" t="s">
        <v>338</v>
      </c>
      <c r="D1527" t="s">
        <v>213</v>
      </c>
      <c r="E1527">
        <v>34</v>
      </c>
      <c r="F1527" t="s">
        <v>2</v>
      </c>
      <c r="G1527" t="s">
        <v>4222</v>
      </c>
      <c r="H1527" t="s">
        <v>7191</v>
      </c>
      <c r="I1527" t="s">
        <v>34</v>
      </c>
      <c r="J1527" t="s">
        <v>2503</v>
      </c>
    </row>
    <row r="1528" spans="1:10" x14ac:dyDescent="0.25">
      <c r="A1528" t="s">
        <v>7192</v>
      </c>
      <c r="B1528" s="3">
        <v>46301</v>
      </c>
      <c r="C1528" t="s">
        <v>443</v>
      </c>
      <c r="D1528" t="s">
        <v>382</v>
      </c>
      <c r="E1528">
        <v>6</v>
      </c>
      <c r="F1528" t="s">
        <v>383</v>
      </c>
      <c r="G1528" t="s">
        <v>4231</v>
      </c>
      <c r="H1528" t="s">
        <v>7193</v>
      </c>
      <c r="I1528" t="s">
        <v>330</v>
      </c>
      <c r="J1528" t="s">
        <v>2509</v>
      </c>
    </row>
    <row r="1529" spans="1:10" x14ac:dyDescent="0.25">
      <c r="A1529" t="s">
        <v>7194</v>
      </c>
      <c r="B1529" s="3">
        <v>46301</v>
      </c>
      <c r="C1529" t="s">
        <v>657</v>
      </c>
      <c r="D1529" t="s">
        <v>585</v>
      </c>
      <c r="E1529">
        <v>43</v>
      </c>
      <c r="F1529" t="s">
        <v>355</v>
      </c>
      <c r="G1529" t="s">
        <v>4228</v>
      </c>
      <c r="H1529" t="s">
        <v>7195</v>
      </c>
      <c r="I1529" t="s">
        <v>250</v>
      </c>
      <c r="J1529" t="s">
        <v>2509</v>
      </c>
    </row>
    <row r="1530" spans="1:10" x14ac:dyDescent="0.25">
      <c r="A1530" t="s">
        <v>7196</v>
      </c>
      <c r="B1530" s="3">
        <v>46301</v>
      </c>
      <c r="C1530" t="s">
        <v>509</v>
      </c>
      <c r="D1530" t="s">
        <v>471</v>
      </c>
      <c r="E1530">
        <v>15</v>
      </c>
      <c r="F1530" t="s">
        <v>355</v>
      </c>
      <c r="G1530" t="s">
        <v>4231</v>
      </c>
      <c r="H1530" t="s">
        <v>7197</v>
      </c>
      <c r="I1530" t="s">
        <v>287</v>
      </c>
      <c r="J1530" t="s">
        <v>2500</v>
      </c>
    </row>
    <row r="1531" spans="1:10" x14ac:dyDescent="0.25">
      <c r="A1531" t="s">
        <v>7198</v>
      </c>
      <c r="B1531" s="3">
        <v>46301</v>
      </c>
      <c r="C1531" t="s">
        <v>606</v>
      </c>
      <c r="D1531" t="s">
        <v>602</v>
      </c>
      <c r="E1531">
        <v>5</v>
      </c>
      <c r="F1531" t="s">
        <v>2</v>
      </c>
      <c r="G1531" t="s">
        <v>4228</v>
      </c>
      <c r="H1531" t="s">
        <v>7199</v>
      </c>
      <c r="I1531" t="s">
        <v>314</v>
      </c>
      <c r="J1531" t="s">
        <v>2509</v>
      </c>
    </row>
    <row r="1532" spans="1:10" x14ac:dyDescent="0.25">
      <c r="A1532" t="s">
        <v>7200</v>
      </c>
      <c r="B1532" s="3">
        <v>46301</v>
      </c>
      <c r="C1532" t="s">
        <v>128</v>
      </c>
      <c r="D1532" t="s">
        <v>47</v>
      </c>
      <c r="E1532">
        <v>18</v>
      </c>
      <c r="F1532" t="s">
        <v>2</v>
      </c>
      <c r="G1532" t="s">
        <v>4228</v>
      </c>
      <c r="H1532" t="s">
        <v>7201</v>
      </c>
      <c r="I1532" t="s">
        <v>129</v>
      </c>
      <c r="J1532" t="s">
        <v>2513</v>
      </c>
    </row>
    <row r="1533" spans="1:10" x14ac:dyDescent="0.25">
      <c r="A1533" t="s">
        <v>7202</v>
      </c>
      <c r="B1533" s="3">
        <v>46301</v>
      </c>
      <c r="C1533" t="s">
        <v>600</v>
      </c>
      <c r="D1533" t="s">
        <v>589</v>
      </c>
      <c r="E1533">
        <v>11</v>
      </c>
      <c r="F1533" t="s">
        <v>469</v>
      </c>
      <c r="G1533" t="s">
        <v>4234</v>
      </c>
      <c r="H1533" t="s">
        <v>7203</v>
      </c>
      <c r="I1533" t="s">
        <v>119</v>
      </c>
      <c r="J1533" t="s">
        <v>2509</v>
      </c>
    </row>
    <row r="1534" spans="1:10" x14ac:dyDescent="0.25">
      <c r="A1534" t="s">
        <v>7204</v>
      </c>
      <c r="B1534" s="3">
        <v>46301</v>
      </c>
      <c r="C1534" t="s">
        <v>631</v>
      </c>
      <c r="D1534" t="s">
        <v>582</v>
      </c>
      <c r="E1534">
        <v>20</v>
      </c>
      <c r="F1534" t="s">
        <v>2</v>
      </c>
      <c r="G1534" t="s">
        <v>4222</v>
      </c>
      <c r="H1534" t="s">
        <v>7205</v>
      </c>
      <c r="I1534" t="s">
        <v>110</v>
      </c>
      <c r="J1534" t="s">
        <v>2513</v>
      </c>
    </row>
    <row r="1535" spans="1:10" x14ac:dyDescent="0.25">
      <c r="A1535" t="s">
        <v>7206</v>
      </c>
      <c r="B1535" s="3">
        <v>46301</v>
      </c>
      <c r="C1535" t="s">
        <v>622</v>
      </c>
      <c r="D1535" t="s">
        <v>585</v>
      </c>
      <c r="E1535">
        <v>42</v>
      </c>
      <c r="F1535" t="s">
        <v>355</v>
      </c>
      <c r="G1535" t="s">
        <v>4222</v>
      </c>
      <c r="H1535" t="s">
        <v>7207</v>
      </c>
      <c r="I1535" t="s">
        <v>71</v>
      </c>
      <c r="J1535" t="s">
        <v>2509</v>
      </c>
    </row>
    <row r="1536" spans="1:10" x14ac:dyDescent="0.25">
      <c r="A1536" t="s">
        <v>7208</v>
      </c>
      <c r="B1536" s="3">
        <v>46301</v>
      </c>
      <c r="C1536" t="s">
        <v>671</v>
      </c>
      <c r="D1536" t="s">
        <v>629</v>
      </c>
      <c r="E1536">
        <v>38</v>
      </c>
      <c r="F1536" t="s">
        <v>355</v>
      </c>
      <c r="G1536" t="s">
        <v>4228</v>
      </c>
      <c r="H1536" t="s">
        <v>7209</v>
      </c>
      <c r="I1536" t="s">
        <v>89</v>
      </c>
      <c r="J1536" t="s">
        <v>2509</v>
      </c>
    </row>
    <row r="1537" spans="1:10" x14ac:dyDescent="0.25">
      <c r="A1537" t="s">
        <v>7210</v>
      </c>
      <c r="B1537" s="3">
        <v>46301</v>
      </c>
      <c r="C1537" t="s">
        <v>414</v>
      </c>
      <c r="D1537" t="s">
        <v>378</v>
      </c>
      <c r="E1537">
        <v>16</v>
      </c>
      <c r="F1537" t="s">
        <v>2</v>
      </c>
      <c r="G1537" t="s">
        <v>4222</v>
      </c>
      <c r="H1537" t="s">
        <v>7211</v>
      </c>
      <c r="I1537" t="s">
        <v>147</v>
      </c>
      <c r="J1537" t="s">
        <v>2513</v>
      </c>
    </row>
    <row r="1538" spans="1:10" x14ac:dyDescent="0.25">
      <c r="A1538" t="s">
        <v>7212</v>
      </c>
      <c r="B1538" s="3">
        <v>46301</v>
      </c>
      <c r="C1538" t="s">
        <v>415</v>
      </c>
      <c r="D1538" t="s">
        <v>382</v>
      </c>
      <c r="E1538">
        <v>36</v>
      </c>
      <c r="F1538" t="s">
        <v>383</v>
      </c>
      <c r="G1538" t="s">
        <v>4228</v>
      </c>
      <c r="H1538" t="s">
        <v>7213</v>
      </c>
      <c r="I1538" t="s">
        <v>152</v>
      </c>
      <c r="J1538" t="s">
        <v>2500</v>
      </c>
    </row>
    <row r="1539" spans="1:10" x14ac:dyDescent="0.25">
      <c r="A1539" t="s">
        <v>7214</v>
      </c>
      <c r="B1539" s="3">
        <v>46301</v>
      </c>
      <c r="C1539" t="s">
        <v>622</v>
      </c>
      <c r="D1539" t="s">
        <v>585</v>
      </c>
      <c r="E1539">
        <v>43</v>
      </c>
      <c r="F1539" t="s">
        <v>355</v>
      </c>
      <c r="G1539" t="s">
        <v>4222</v>
      </c>
      <c r="H1539" t="s">
        <v>7215</v>
      </c>
      <c r="I1539" t="s">
        <v>71</v>
      </c>
      <c r="J1539" t="s">
        <v>2513</v>
      </c>
    </row>
    <row r="1540" spans="1:10" x14ac:dyDescent="0.25">
      <c r="A1540" t="s">
        <v>7216</v>
      </c>
      <c r="B1540" s="3">
        <v>46301</v>
      </c>
      <c r="C1540" t="s">
        <v>154</v>
      </c>
      <c r="D1540" t="s">
        <v>26</v>
      </c>
      <c r="E1540">
        <v>16</v>
      </c>
      <c r="F1540" t="s">
        <v>2</v>
      </c>
      <c r="G1540" t="s">
        <v>4231</v>
      </c>
      <c r="H1540" t="s">
        <v>7217</v>
      </c>
      <c r="I1540" t="s">
        <v>155</v>
      </c>
      <c r="J1540" t="s">
        <v>2509</v>
      </c>
    </row>
    <row r="1541" spans="1:10" x14ac:dyDescent="0.25">
      <c r="A1541" t="s">
        <v>7218</v>
      </c>
      <c r="B1541" s="3">
        <v>46301</v>
      </c>
      <c r="C1541" t="s">
        <v>567</v>
      </c>
      <c r="D1541" t="s">
        <v>502</v>
      </c>
      <c r="E1541">
        <v>35</v>
      </c>
      <c r="F1541" t="s">
        <v>469</v>
      </c>
      <c r="G1541" t="s">
        <v>4234</v>
      </c>
      <c r="H1541" t="s">
        <v>7219</v>
      </c>
      <c r="I1541" t="s">
        <v>152</v>
      </c>
      <c r="J1541" t="s">
        <v>2500</v>
      </c>
    </row>
    <row r="1542" spans="1:10" x14ac:dyDescent="0.25">
      <c r="A1542" t="s">
        <v>7220</v>
      </c>
      <c r="B1542" s="3">
        <v>46301</v>
      </c>
      <c r="C1542" t="s">
        <v>669</v>
      </c>
      <c r="D1542" t="s">
        <v>594</v>
      </c>
      <c r="E1542">
        <v>1</v>
      </c>
      <c r="F1542" t="s">
        <v>595</v>
      </c>
      <c r="G1542" t="s">
        <v>4228</v>
      </c>
      <c r="H1542" t="s">
        <v>7221</v>
      </c>
      <c r="I1542" t="s">
        <v>410</v>
      </c>
      <c r="J1542" t="s">
        <v>2503</v>
      </c>
    </row>
    <row r="1543" spans="1:10" x14ac:dyDescent="0.25">
      <c r="A1543" t="s">
        <v>7222</v>
      </c>
      <c r="B1543" s="3">
        <v>46301</v>
      </c>
      <c r="C1543" t="s">
        <v>68</v>
      </c>
      <c r="D1543" t="s">
        <v>29</v>
      </c>
      <c r="E1543">
        <v>52</v>
      </c>
      <c r="F1543" t="s">
        <v>2</v>
      </c>
      <c r="G1543" t="s">
        <v>4234</v>
      </c>
      <c r="H1543" t="s">
        <v>7223</v>
      </c>
      <c r="I1543" t="s">
        <v>69</v>
      </c>
      <c r="J1543" t="s">
        <v>2503</v>
      </c>
    </row>
    <row r="1544" spans="1:10" x14ac:dyDescent="0.25">
      <c r="A1544" t="s">
        <v>7224</v>
      </c>
      <c r="B1544" s="3">
        <v>46301</v>
      </c>
      <c r="C1544" t="s">
        <v>84</v>
      </c>
      <c r="D1544" t="s">
        <v>1</v>
      </c>
      <c r="E1544">
        <v>4</v>
      </c>
      <c r="F1544" t="s">
        <v>2</v>
      </c>
      <c r="G1544" t="s">
        <v>4222</v>
      </c>
      <c r="H1544" t="s">
        <v>7225</v>
      </c>
      <c r="I1544" t="s">
        <v>87</v>
      </c>
      <c r="J1544" t="s">
        <v>2500</v>
      </c>
    </row>
    <row r="1545" spans="1:10" x14ac:dyDescent="0.25">
      <c r="A1545" t="s">
        <v>7226</v>
      </c>
      <c r="B1545" s="3">
        <v>46301</v>
      </c>
      <c r="C1545" t="s">
        <v>255</v>
      </c>
      <c r="D1545" t="s">
        <v>234</v>
      </c>
      <c r="E1545">
        <v>43</v>
      </c>
      <c r="F1545" t="s">
        <v>2</v>
      </c>
      <c r="G1545" t="s">
        <v>4234</v>
      </c>
      <c r="H1545" t="s">
        <v>7227</v>
      </c>
      <c r="I1545" t="s">
        <v>38</v>
      </c>
      <c r="J1545" t="s">
        <v>2503</v>
      </c>
    </row>
    <row r="1546" spans="1:10" x14ac:dyDescent="0.25">
      <c r="A1546" t="s">
        <v>7228</v>
      </c>
      <c r="B1546" s="3">
        <v>46301</v>
      </c>
      <c r="C1546" t="s">
        <v>651</v>
      </c>
      <c r="D1546" t="s">
        <v>612</v>
      </c>
      <c r="E1546">
        <v>1</v>
      </c>
      <c r="F1546" t="s">
        <v>2</v>
      </c>
      <c r="G1546" t="s">
        <v>4231</v>
      </c>
      <c r="H1546" t="s">
        <v>7229</v>
      </c>
      <c r="I1546" t="s">
        <v>294</v>
      </c>
      <c r="J1546" t="s">
        <v>2513</v>
      </c>
    </row>
    <row r="1547" spans="1:10" x14ac:dyDescent="0.25">
      <c r="A1547" t="s">
        <v>7230</v>
      </c>
      <c r="B1547" s="3">
        <v>46301</v>
      </c>
      <c r="C1547" t="s">
        <v>426</v>
      </c>
      <c r="D1547" t="s">
        <v>357</v>
      </c>
      <c r="E1547">
        <v>55</v>
      </c>
      <c r="F1547" t="s">
        <v>358</v>
      </c>
      <c r="G1547" t="s">
        <v>4222</v>
      </c>
      <c r="H1547" t="s">
        <v>7231</v>
      </c>
      <c r="I1547" t="s">
        <v>42</v>
      </c>
      <c r="J1547" t="s">
        <v>2509</v>
      </c>
    </row>
    <row r="1548" spans="1:10" x14ac:dyDescent="0.25">
      <c r="A1548" t="s">
        <v>7232</v>
      </c>
      <c r="B1548" s="3">
        <v>46301</v>
      </c>
      <c r="C1548" t="s">
        <v>570</v>
      </c>
      <c r="D1548" t="s">
        <v>484</v>
      </c>
      <c r="E1548">
        <v>42</v>
      </c>
      <c r="F1548" t="s">
        <v>469</v>
      </c>
      <c r="G1548" t="s">
        <v>4234</v>
      </c>
      <c r="H1548" t="s">
        <v>7233</v>
      </c>
      <c r="I1548" t="s">
        <v>106</v>
      </c>
      <c r="J1548" t="s">
        <v>2503</v>
      </c>
    </row>
    <row r="1549" spans="1:10" x14ac:dyDescent="0.25">
      <c r="A1549" t="s">
        <v>7234</v>
      </c>
      <c r="B1549" s="3">
        <v>46301</v>
      </c>
      <c r="C1549" t="s">
        <v>617</v>
      </c>
      <c r="D1549" t="s">
        <v>594</v>
      </c>
      <c r="E1549">
        <v>42</v>
      </c>
      <c r="F1549" t="s">
        <v>595</v>
      </c>
      <c r="G1549" t="s">
        <v>4234</v>
      </c>
      <c r="H1549" t="s">
        <v>7235</v>
      </c>
      <c r="I1549" t="s">
        <v>259</v>
      </c>
      <c r="J1549" t="s">
        <v>2513</v>
      </c>
    </row>
    <row r="1550" spans="1:10" x14ac:dyDescent="0.25">
      <c r="A1550" t="s">
        <v>7236</v>
      </c>
      <c r="B1550" s="3">
        <v>46301</v>
      </c>
      <c r="C1550" t="s">
        <v>530</v>
      </c>
      <c r="D1550" t="s">
        <v>481</v>
      </c>
      <c r="E1550">
        <v>55</v>
      </c>
      <c r="F1550" t="s">
        <v>2</v>
      </c>
      <c r="G1550" t="s">
        <v>4228</v>
      </c>
      <c r="H1550" t="s">
        <v>7237</v>
      </c>
      <c r="I1550" t="s">
        <v>124</v>
      </c>
      <c r="J1550" t="s">
        <v>2509</v>
      </c>
    </row>
    <row r="1551" spans="1:10" x14ac:dyDescent="0.25">
      <c r="A1551" t="s">
        <v>7238</v>
      </c>
      <c r="B1551" s="3">
        <v>46301</v>
      </c>
      <c r="C1551" t="s">
        <v>584</v>
      </c>
      <c r="D1551" t="s">
        <v>585</v>
      </c>
      <c r="E1551">
        <v>25</v>
      </c>
      <c r="F1551" t="s">
        <v>355</v>
      </c>
      <c r="G1551" t="s">
        <v>4231</v>
      </c>
      <c r="H1551" t="s">
        <v>7239</v>
      </c>
      <c r="I1551" t="s">
        <v>129</v>
      </c>
      <c r="J1551" t="s">
        <v>2503</v>
      </c>
    </row>
    <row r="1552" spans="1:10" x14ac:dyDescent="0.25">
      <c r="A1552" t="s">
        <v>7240</v>
      </c>
      <c r="B1552" s="3">
        <v>46301</v>
      </c>
      <c r="C1552" t="s">
        <v>194</v>
      </c>
      <c r="D1552" t="s">
        <v>47</v>
      </c>
      <c r="E1552">
        <v>14</v>
      </c>
      <c r="F1552" t="s">
        <v>2</v>
      </c>
      <c r="G1552" t="s">
        <v>4231</v>
      </c>
      <c r="H1552" t="s">
        <v>7241</v>
      </c>
      <c r="I1552" t="s">
        <v>195</v>
      </c>
      <c r="J1552" t="s">
        <v>2513</v>
      </c>
    </row>
    <row r="1553" spans="1:10" x14ac:dyDescent="0.25">
      <c r="A1553" t="s">
        <v>7242</v>
      </c>
      <c r="B1553" s="3">
        <v>46301</v>
      </c>
      <c r="C1553" t="s">
        <v>540</v>
      </c>
      <c r="D1553" t="s">
        <v>476</v>
      </c>
      <c r="E1553">
        <v>7</v>
      </c>
      <c r="F1553" t="s">
        <v>477</v>
      </c>
      <c r="G1553" t="s">
        <v>4222</v>
      </c>
      <c r="H1553" t="s">
        <v>7243</v>
      </c>
      <c r="I1553" t="s">
        <v>324</v>
      </c>
      <c r="J1553" t="s">
        <v>2513</v>
      </c>
    </row>
    <row r="1554" spans="1:10" x14ac:dyDescent="0.25">
      <c r="A1554" t="s">
        <v>7244</v>
      </c>
      <c r="B1554" s="3">
        <v>46301</v>
      </c>
      <c r="C1554" t="s">
        <v>307</v>
      </c>
      <c r="D1554" t="s">
        <v>210</v>
      </c>
      <c r="E1554">
        <v>9</v>
      </c>
      <c r="F1554" t="s">
        <v>2</v>
      </c>
      <c r="G1554" t="s">
        <v>4234</v>
      </c>
      <c r="H1554" t="s">
        <v>7245</v>
      </c>
      <c r="I1554" t="s">
        <v>57</v>
      </c>
      <c r="J1554" t="s">
        <v>2509</v>
      </c>
    </row>
    <row r="1555" spans="1:10" x14ac:dyDescent="0.25">
      <c r="A1555" t="s">
        <v>7246</v>
      </c>
      <c r="B1555" s="3">
        <v>46301</v>
      </c>
      <c r="C1555" t="s">
        <v>58</v>
      </c>
      <c r="D1555" t="s">
        <v>21</v>
      </c>
      <c r="E1555">
        <v>1</v>
      </c>
      <c r="F1555" t="s">
        <v>2</v>
      </c>
      <c r="G1555" t="s">
        <v>4231</v>
      </c>
      <c r="H1555" t="s">
        <v>7247</v>
      </c>
      <c r="I1555" t="s">
        <v>59</v>
      </c>
      <c r="J1555" t="s">
        <v>2503</v>
      </c>
    </row>
    <row r="1556" spans="1:10" x14ac:dyDescent="0.25">
      <c r="A1556" t="s">
        <v>7248</v>
      </c>
      <c r="B1556" s="3">
        <v>46301</v>
      </c>
      <c r="C1556" t="s">
        <v>618</v>
      </c>
      <c r="D1556" t="s">
        <v>587</v>
      </c>
      <c r="E1556">
        <v>10</v>
      </c>
      <c r="F1556" t="s">
        <v>2</v>
      </c>
      <c r="G1556" t="s">
        <v>4222</v>
      </c>
      <c r="H1556" t="s">
        <v>7249</v>
      </c>
      <c r="I1556" t="s">
        <v>79</v>
      </c>
      <c r="J1556" t="s">
        <v>2500</v>
      </c>
    </row>
    <row r="1557" spans="1:10" x14ac:dyDescent="0.25">
      <c r="A1557" t="s">
        <v>7250</v>
      </c>
      <c r="B1557" s="3">
        <v>46301</v>
      </c>
      <c r="C1557" t="s">
        <v>224</v>
      </c>
      <c r="D1557" t="s">
        <v>225</v>
      </c>
      <c r="E1557">
        <v>50</v>
      </c>
      <c r="F1557" t="s">
        <v>2</v>
      </c>
      <c r="G1557" t="s">
        <v>4231</v>
      </c>
      <c r="H1557" t="s">
        <v>7251</v>
      </c>
      <c r="I1557" t="s">
        <v>106</v>
      </c>
      <c r="J1557" t="s">
        <v>2509</v>
      </c>
    </row>
    <row r="1558" spans="1:10" x14ac:dyDescent="0.25">
      <c r="A1558" t="s">
        <v>7252</v>
      </c>
      <c r="B1558" s="3">
        <v>46301</v>
      </c>
      <c r="C1558" t="s">
        <v>182</v>
      </c>
      <c r="D1558" t="s">
        <v>15</v>
      </c>
      <c r="E1558">
        <v>40</v>
      </c>
      <c r="F1558" t="s">
        <v>2</v>
      </c>
      <c r="G1558" t="s">
        <v>4228</v>
      </c>
      <c r="H1558" t="s">
        <v>7253</v>
      </c>
      <c r="I1558" t="s">
        <v>183</v>
      </c>
      <c r="J1558" t="s">
        <v>2509</v>
      </c>
    </row>
    <row r="1559" spans="1:10" x14ac:dyDescent="0.25">
      <c r="A1559" t="s">
        <v>7254</v>
      </c>
      <c r="B1559" s="3">
        <v>46301</v>
      </c>
      <c r="C1559" t="s">
        <v>145</v>
      </c>
      <c r="D1559" t="s">
        <v>26</v>
      </c>
      <c r="E1559">
        <v>3</v>
      </c>
      <c r="F1559" t="s">
        <v>2</v>
      </c>
      <c r="G1559" t="s">
        <v>4234</v>
      </c>
      <c r="H1559" t="s">
        <v>7255</v>
      </c>
      <c r="I1559" t="s">
        <v>59</v>
      </c>
      <c r="J1559" t="s">
        <v>2513</v>
      </c>
    </row>
    <row r="1560" spans="1:10" x14ac:dyDescent="0.25">
      <c r="A1560" t="s">
        <v>7256</v>
      </c>
      <c r="B1560" s="3">
        <v>46301</v>
      </c>
      <c r="C1560" t="s">
        <v>523</v>
      </c>
      <c r="D1560" t="s">
        <v>481</v>
      </c>
      <c r="E1560">
        <v>45</v>
      </c>
      <c r="F1560" t="s">
        <v>2</v>
      </c>
      <c r="G1560" t="s">
        <v>4234</v>
      </c>
      <c r="H1560" t="s">
        <v>7257</v>
      </c>
      <c r="I1560" t="s">
        <v>175</v>
      </c>
      <c r="J1560" t="s">
        <v>2503</v>
      </c>
    </row>
    <row r="1561" spans="1:10" x14ac:dyDescent="0.25">
      <c r="A1561" t="s">
        <v>7258</v>
      </c>
      <c r="B1561" s="3">
        <v>46301</v>
      </c>
      <c r="C1561" t="s">
        <v>396</v>
      </c>
      <c r="D1561" t="s">
        <v>357</v>
      </c>
      <c r="E1561">
        <v>23</v>
      </c>
      <c r="F1561" t="s">
        <v>358</v>
      </c>
      <c r="G1561" t="s">
        <v>4234</v>
      </c>
      <c r="H1561" t="s">
        <v>7259</v>
      </c>
      <c r="I1561" t="s">
        <v>397</v>
      </c>
      <c r="J1561" t="s">
        <v>2503</v>
      </c>
    </row>
    <row r="1562" spans="1:10" x14ac:dyDescent="0.25">
      <c r="A1562" t="s">
        <v>7260</v>
      </c>
      <c r="B1562" s="3">
        <v>46301</v>
      </c>
      <c r="C1562" t="s">
        <v>579</v>
      </c>
      <c r="D1562" t="s">
        <v>490</v>
      </c>
      <c r="E1562">
        <v>47</v>
      </c>
      <c r="F1562" t="s">
        <v>355</v>
      </c>
      <c r="G1562" t="s">
        <v>4231</v>
      </c>
      <c r="H1562" t="s">
        <v>7261</v>
      </c>
      <c r="I1562" t="s">
        <v>93</v>
      </c>
      <c r="J1562" t="s">
        <v>2500</v>
      </c>
    </row>
    <row r="1563" spans="1:10" x14ac:dyDescent="0.25">
      <c r="A1563" t="s">
        <v>7262</v>
      </c>
      <c r="B1563" s="3">
        <v>46301</v>
      </c>
      <c r="C1563" t="s">
        <v>675</v>
      </c>
      <c r="D1563" t="s">
        <v>594</v>
      </c>
      <c r="E1563">
        <v>28</v>
      </c>
      <c r="F1563" t="s">
        <v>595</v>
      </c>
      <c r="G1563" t="s">
        <v>4225</v>
      </c>
      <c r="H1563" t="s">
        <v>7263</v>
      </c>
      <c r="I1563" t="s">
        <v>361</v>
      </c>
      <c r="J1563" t="s">
        <v>2509</v>
      </c>
    </row>
    <row r="1564" spans="1:10" x14ac:dyDescent="0.25">
      <c r="A1564" t="s">
        <v>7264</v>
      </c>
      <c r="B1564" s="3">
        <v>46301</v>
      </c>
      <c r="C1564" t="s">
        <v>269</v>
      </c>
      <c r="D1564" t="s">
        <v>210</v>
      </c>
      <c r="E1564">
        <v>23</v>
      </c>
      <c r="F1564" t="s">
        <v>2</v>
      </c>
      <c r="G1564" t="s">
        <v>4222</v>
      </c>
      <c r="H1564" t="s">
        <v>7265</v>
      </c>
      <c r="I1564" t="s">
        <v>117</v>
      </c>
      <c r="J1564" t="s">
        <v>2509</v>
      </c>
    </row>
    <row r="1565" spans="1:10" x14ac:dyDescent="0.25">
      <c r="A1565" t="s">
        <v>7266</v>
      </c>
      <c r="B1565" s="3">
        <v>46301</v>
      </c>
      <c r="C1565" t="s">
        <v>371</v>
      </c>
      <c r="D1565" t="s">
        <v>364</v>
      </c>
      <c r="E1565">
        <v>13</v>
      </c>
      <c r="F1565" t="s">
        <v>358</v>
      </c>
      <c r="G1565" t="s">
        <v>4228</v>
      </c>
      <c r="H1565" t="s">
        <v>7267</v>
      </c>
      <c r="I1565" t="s">
        <v>121</v>
      </c>
      <c r="J1565" t="s">
        <v>2509</v>
      </c>
    </row>
    <row r="1566" spans="1:10" x14ac:dyDescent="0.25">
      <c r="A1566" t="s">
        <v>7268</v>
      </c>
      <c r="B1566" s="3">
        <v>46301</v>
      </c>
      <c r="C1566" t="s">
        <v>105</v>
      </c>
      <c r="D1566" t="s">
        <v>44</v>
      </c>
      <c r="E1566">
        <v>6</v>
      </c>
      <c r="F1566" t="s">
        <v>2</v>
      </c>
      <c r="G1566" t="s">
        <v>4234</v>
      </c>
      <c r="H1566" t="s">
        <v>7269</v>
      </c>
      <c r="I1566" t="s">
        <v>106</v>
      </c>
      <c r="J1566" t="s">
        <v>2503</v>
      </c>
    </row>
    <row r="1567" spans="1:10" x14ac:dyDescent="0.25">
      <c r="A1567" t="s">
        <v>7270</v>
      </c>
      <c r="B1567" s="3">
        <v>46301</v>
      </c>
      <c r="C1567" t="s">
        <v>299</v>
      </c>
      <c r="D1567" t="s">
        <v>216</v>
      </c>
      <c r="E1567">
        <v>20</v>
      </c>
      <c r="F1567" t="s">
        <v>2</v>
      </c>
      <c r="G1567" t="s">
        <v>4228</v>
      </c>
      <c r="H1567" t="s">
        <v>7271</v>
      </c>
      <c r="I1567" t="s">
        <v>155</v>
      </c>
      <c r="J1567" t="s">
        <v>2500</v>
      </c>
    </row>
    <row r="1568" spans="1:10" x14ac:dyDescent="0.25">
      <c r="A1568" t="s">
        <v>7272</v>
      </c>
      <c r="B1568" s="3">
        <v>46301</v>
      </c>
      <c r="C1568" t="s">
        <v>528</v>
      </c>
      <c r="D1568" t="s">
        <v>479</v>
      </c>
      <c r="E1568">
        <v>29</v>
      </c>
      <c r="F1568" t="s">
        <v>469</v>
      </c>
      <c r="G1568" t="s">
        <v>4234</v>
      </c>
      <c r="H1568" t="s">
        <v>7273</v>
      </c>
      <c r="I1568" t="s">
        <v>274</v>
      </c>
      <c r="J1568" t="s">
        <v>2513</v>
      </c>
    </row>
    <row r="1569" spans="1:10" x14ac:dyDescent="0.25">
      <c r="A1569" t="s">
        <v>7274</v>
      </c>
      <c r="B1569" s="3">
        <v>46301</v>
      </c>
      <c r="C1569" t="s">
        <v>461</v>
      </c>
      <c r="D1569" t="s">
        <v>344</v>
      </c>
      <c r="E1569">
        <v>34</v>
      </c>
      <c r="F1569" t="s">
        <v>346</v>
      </c>
      <c r="G1569" t="s">
        <v>4234</v>
      </c>
      <c r="H1569" t="s">
        <v>7275</v>
      </c>
      <c r="I1569" t="s">
        <v>219</v>
      </c>
      <c r="J1569" t="s">
        <v>2513</v>
      </c>
    </row>
    <row r="1570" spans="1:10" x14ac:dyDescent="0.25">
      <c r="A1570" t="s">
        <v>7276</v>
      </c>
      <c r="B1570" s="3">
        <v>46301</v>
      </c>
      <c r="C1570" t="s">
        <v>94</v>
      </c>
      <c r="D1570" t="s">
        <v>15</v>
      </c>
      <c r="E1570">
        <v>12</v>
      </c>
      <c r="F1570" t="s">
        <v>2</v>
      </c>
      <c r="G1570" t="s">
        <v>4225</v>
      </c>
      <c r="H1570" t="s">
        <v>7277</v>
      </c>
      <c r="I1570" t="s">
        <v>95</v>
      </c>
      <c r="J1570" t="s">
        <v>2509</v>
      </c>
    </row>
    <row r="1571" spans="1:10" x14ac:dyDescent="0.25">
      <c r="A1571" t="s">
        <v>7278</v>
      </c>
      <c r="B1571" s="3">
        <v>46301</v>
      </c>
      <c r="C1571" t="s">
        <v>262</v>
      </c>
      <c r="D1571" t="s">
        <v>223</v>
      </c>
      <c r="E1571">
        <v>35</v>
      </c>
      <c r="F1571" t="s">
        <v>2</v>
      </c>
      <c r="G1571" t="s">
        <v>4222</v>
      </c>
      <c r="H1571" t="s">
        <v>7279</v>
      </c>
      <c r="I1571" t="s">
        <v>259</v>
      </c>
      <c r="J1571" t="s">
        <v>2503</v>
      </c>
    </row>
    <row r="1572" spans="1:10" x14ac:dyDescent="0.25">
      <c r="A1572" t="s">
        <v>7280</v>
      </c>
      <c r="B1572" s="3">
        <v>46301</v>
      </c>
      <c r="C1572" t="s">
        <v>369</v>
      </c>
      <c r="D1572" t="s">
        <v>351</v>
      </c>
      <c r="E1572">
        <v>36</v>
      </c>
      <c r="F1572" t="s">
        <v>2</v>
      </c>
      <c r="G1572" t="s">
        <v>4231</v>
      </c>
      <c r="H1572" t="s">
        <v>7281</v>
      </c>
      <c r="I1572" t="s">
        <v>312</v>
      </c>
      <c r="J1572" t="s">
        <v>2509</v>
      </c>
    </row>
    <row r="1573" spans="1:10" x14ac:dyDescent="0.25">
      <c r="A1573" t="s">
        <v>7282</v>
      </c>
      <c r="B1573" s="3">
        <v>46301</v>
      </c>
      <c r="C1573" t="s">
        <v>136</v>
      </c>
      <c r="D1573" t="s">
        <v>21</v>
      </c>
      <c r="E1573">
        <v>23</v>
      </c>
      <c r="F1573" t="s">
        <v>2</v>
      </c>
      <c r="G1573" t="s">
        <v>4228</v>
      </c>
      <c r="H1573" t="s">
        <v>7283</v>
      </c>
      <c r="I1573" t="s">
        <v>83</v>
      </c>
      <c r="J1573" t="s">
        <v>2509</v>
      </c>
    </row>
    <row r="1574" spans="1:10" x14ac:dyDescent="0.25">
      <c r="A1574" t="s">
        <v>7284</v>
      </c>
      <c r="B1574" s="3">
        <v>46301</v>
      </c>
      <c r="C1574" t="s">
        <v>532</v>
      </c>
      <c r="D1574" t="s">
        <v>488</v>
      </c>
      <c r="E1574">
        <v>27</v>
      </c>
      <c r="F1574" t="s">
        <v>469</v>
      </c>
      <c r="G1574" t="s">
        <v>4231</v>
      </c>
      <c r="H1574" t="s">
        <v>7285</v>
      </c>
      <c r="I1574" t="s">
        <v>106</v>
      </c>
      <c r="J1574" t="s">
        <v>2500</v>
      </c>
    </row>
    <row r="1575" spans="1:10" x14ac:dyDescent="0.25">
      <c r="A1575" t="s">
        <v>7286</v>
      </c>
      <c r="B1575" s="3">
        <v>46302</v>
      </c>
      <c r="C1575" t="s">
        <v>681</v>
      </c>
      <c r="D1575" t="s">
        <v>589</v>
      </c>
      <c r="E1575">
        <v>49</v>
      </c>
      <c r="F1575" t="s">
        <v>469</v>
      </c>
      <c r="G1575" t="s">
        <v>4234</v>
      </c>
      <c r="H1575" t="s">
        <v>7287</v>
      </c>
      <c r="I1575" t="s">
        <v>259</v>
      </c>
      <c r="J1575" t="s">
        <v>2503</v>
      </c>
    </row>
    <row r="1576" spans="1:10" x14ac:dyDescent="0.25">
      <c r="A1576" t="s">
        <v>7288</v>
      </c>
      <c r="B1576" s="3">
        <v>46302</v>
      </c>
      <c r="C1576" t="s">
        <v>238</v>
      </c>
      <c r="D1576" t="s">
        <v>216</v>
      </c>
      <c r="E1576">
        <v>54</v>
      </c>
      <c r="F1576" t="s">
        <v>2</v>
      </c>
      <c r="G1576" t="s">
        <v>4225</v>
      </c>
      <c r="H1576" t="s">
        <v>7289</v>
      </c>
      <c r="I1576" t="s">
        <v>126</v>
      </c>
      <c r="J1576" t="s">
        <v>2509</v>
      </c>
    </row>
    <row r="1577" spans="1:10" x14ac:dyDescent="0.25">
      <c r="A1577" t="s">
        <v>7290</v>
      </c>
      <c r="B1577" s="3">
        <v>46302</v>
      </c>
      <c r="C1577" t="s">
        <v>103</v>
      </c>
      <c r="D1577" t="s">
        <v>29</v>
      </c>
      <c r="E1577">
        <v>7</v>
      </c>
      <c r="F1577" t="s">
        <v>2</v>
      </c>
      <c r="G1577" t="s">
        <v>4234</v>
      </c>
      <c r="H1577" t="s">
        <v>7291</v>
      </c>
      <c r="I1577" t="s">
        <v>104</v>
      </c>
      <c r="J1577" t="s">
        <v>2503</v>
      </c>
    </row>
    <row r="1578" spans="1:10" x14ac:dyDescent="0.25">
      <c r="A1578" t="s">
        <v>7292</v>
      </c>
      <c r="B1578" s="3">
        <v>46302</v>
      </c>
      <c r="C1578" t="s">
        <v>65</v>
      </c>
      <c r="D1578" t="s">
        <v>66</v>
      </c>
      <c r="E1578">
        <v>27</v>
      </c>
      <c r="F1578" t="s">
        <v>2</v>
      </c>
      <c r="G1578" t="s">
        <v>4225</v>
      </c>
      <c r="H1578" t="s">
        <v>7293</v>
      </c>
      <c r="I1578" t="s">
        <v>67</v>
      </c>
      <c r="J1578" t="s">
        <v>2509</v>
      </c>
    </row>
    <row r="1579" spans="1:10" x14ac:dyDescent="0.25">
      <c r="A1579" t="s">
        <v>7294</v>
      </c>
      <c r="B1579" s="3">
        <v>46302</v>
      </c>
      <c r="C1579" t="s">
        <v>112</v>
      </c>
      <c r="D1579" t="s">
        <v>29</v>
      </c>
      <c r="E1579">
        <v>40</v>
      </c>
      <c r="F1579" t="s">
        <v>2</v>
      </c>
      <c r="G1579" t="s">
        <v>4222</v>
      </c>
      <c r="H1579" t="s">
        <v>7295</v>
      </c>
      <c r="I1579" t="s">
        <v>113</v>
      </c>
      <c r="J1579" t="s">
        <v>2500</v>
      </c>
    </row>
    <row r="1580" spans="1:10" x14ac:dyDescent="0.25">
      <c r="A1580" t="s">
        <v>7296</v>
      </c>
      <c r="B1580" s="3">
        <v>46302</v>
      </c>
      <c r="C1580" t="s">
        <v>165</v>
      </c>
      <c r="D1580" t="s">
        <v>15</v>
      </c>
      <c r="E1580">
        <v>21</v>
      </c>
      <c r="F1580" t="s">
        <v>2</v>
      </c>
      <c r="G1580" t="s">
        <v>4225</v>
      </c>
      <c r="H1580" t="s">
        <v>7297</v>
      </c>
      <c r="I1580" t="s">
        <v>166</v>
      </c>
      <c r="J1580" t="s">
        <v>2513</v>
      </c>
    </row>
    <row r="1581" spans="1:10" x14ac:dyDescent="0.25">
      <c r="A1581" t="s">
        <v>7298</v>
      </c>
      <c r="B1581" s="3">
        <v>46302</v>
      </c>
      <c r="C1581" t="s">
        <v>200</v>
      </c>
      <c r="D1581" t="s">
        <v>66</v>
      </c>
      <c r="E1581">
        <v>12</v>
      </c>
      <c r="F1581" t="s">
        <v>2</v>
      </c>
      <c r="G1581" t="s">
        <v>4225</v>
      </c>
      <c r="H1581" t="s">
        <v>7299</v>
      </c>
      <c r="I1581" t="s">
        <v>201</v>
      </c>
      <c r="J1581" t="s">
        <v>2513</v>
      </c>
    </row>
    <row r="1582" spans="1:10" x14ac:dyDescent="0.25">
      <c r="A1582" t="s">
        <v>7300</v>
      </c>
      <c r="B1582" s="3">
        <v>46302</v>
      </c>
      <c r="C1582" t="s">
        <v>127</v>
      </c>
      <c r="D1582" t="s">
        <v>26</v>
      </c>
      <c r="E1582">
        <v>48</v>
      </c>
      <c r="F1582" t="s">
        <v>2</v>
      </c>
      <c r="G1582" t="s">
        <v>4231</v>
      </c>
      <c r="H1582" t="s">
        <v>7301</v>
      </c>
      <c r="I1582" t="s">
        <v>100</v>
      </c>
      <c r="J1582" t="s">
        <v>2509</v>
      </c>
    </row>
    <row r="1583" spans="1:10" x14ac:dyDescent="0.25">
      <c r="A1583" t="s">
        <v>7302</v>
      </c>
      <c r="B1583" s="3">
        <v>46302</v>
      </c>
      <c r="C1583" t="s">
        <v>283</v>
      </c>
      <c r="D1583" t="s">
        <v>234</v>
      </c>
      <c r="E1583">
        <v>29</v>
      </c>
      <c r="F1583" t="s">
        <v>2</v>
      </c>
      <c r="G1583" t="s">
        <v>4231</v>
      </c>
      <c r="H1583" t="s">
        <v>7303</v>
      </c>
      <c r="I1583" t="s">
        <v>59</v>
      </c>
      <c r="J1583" t="s">
        <v>2503</v>
      </c>
    </row>
    <row r="1584" spans="1:10" x14ac:dyDescent="0.25">
      <c r="A1584" t="s">
        <v>7304</v>
      </c>
      <c r="B1584" s="3">
        <v>46302</v>
      </c>
      <c r="C1584" t="s">
        <v>123</v>
      </c>
      <c r="D1584" t="s">
        <v>26</v>
      </c>
      <c r="E1584">
        <v>12</v>
      </c>
      <c r="F1584" t="s">
        <v>2</v>
      </c>
      <c r="G1584" t="s">
        <v>4234</v>
      </c>
      <c r="H1584" t="s">
        <v>7305</v>
      </c>
      <c r="I1584" t="s">
        <v>124</v>
      </c>
      <c r="J1584" t="s">
        <v>2503</v>
      </c>
    </row>
    <row r="1585" spans="1:10" x14ac:dyDescent="0.25">
      <c r="A1585" t="s">
        <v>7306</v>
      </c>
      <c r="B1585" s="3">
        <v>46302</v>
      </c>
      <c r="C1585" t="s">
        <v>235</v>
      </c>
      <c r="D1585" t="s">
        <v>216</v>
      </c>
      <c r="E1585">
        <v>34</v>
      </c>
      <c r="F1585" t="s">
        <v>2</v>
      </c>
      <c r="G1585" t="s">
        <v>4225</v>
      </c>
      <c r="H1585" t="s">
        <v>7307</v>
      </c>
      <c r="I1585" t="s">
        <v>38</v>
      </c>
      <c r="J1585" t="s">
        <v>2503</v>
      </c>
    </row>
    <row r="1586" spans="1:10" x14ac:dyDescent="0.25">
      <c r="A1586" t="s">
        <v>7308</v>
      </c>
      <c r="B1586" s="3">
        <v>46302</v>
      </c>
      <c r="C1586" t="s">
        <v>303</v>
      </c>
      <c r="D1586" t="s">
        <v>261</v>
      </c>
      <c r="E1586">
        <v>26</v>
      </c>
      <c r="F1586" t="s">
        <v>2</v>
      </c>
      <c r="G1586" t="s">
        <v>4225</v>
      </c>
      <c r="H1586" t="s">
        <v>7309</v>
      </c>
      <c r="I1586" t="s">
        <v>67</v>
      </c>
      <c r="J1586" t="s">
        <v>2503</v>
      </c>
    </row>
    <row r="1587" spans="1:10" x14ac:dyDescent="0.25">
      <c r="A1587" t="s">
        <v>7310</v>
      </c>
      <c r="B1587" s="3">
        <v>46302</v>
      </c>
      <c r="C1587" t="s">
        <v>495</v>
      </c>
      <c r="D1587" t="s">
        <v>467</v>
      </c>
      <c r="E1587">
        <v>9</v>
      </c>
      <c r="F1587" t="s">
        <v>469</v>
      </c>
      <c r="G1587" t="s">
        <v>4222</v>
      </c>
      <c r="H1587" t="s">
        <v>7311</v>
      </c>
      <c r="I1587" t="s">
        <v>368</v>
      </c>
      <c r="J1587" t="s">
        <v>2503</v>
      </c>
    </row>
    <row r="1588" spans="1:10" x14ac:dyDescent="0.25">
      <c r="A1588" t="s">
        <v>7312</v>
      </c>
      <c r="B1588" s="3">
        <v>46302</v>
      </c>
      <c r="C1588" t="s">
        <v>290</v>
      </c>
      <c r="D1588" t="s">
        <v>210</v>
      </c>
      <c r="E1588">
        <v>43</v>
      </c>
      <c r="F1588" t="s">
        <v>2</v>
      </c>
      <c r="G1588" t="s">
        <v>4228</v>
      </c>
      <c r="H1588" t="s">
        <v>7313</v>
      </c>
      <c r="I1588" t="s">
        <v>124</v>
      </c>
      <c r="J1588" t="s">
        <v>2513</v>
      </c>
    </row>
    <row r="1589" spans="1:10" x14ac:dyDescent="0.25">
      <c r="A1589" t="s">
        <v>7314</v>
      </c>
      <c r="B1589" s="3">
        <v>46302</v>
      </c>
      <c r="C1589" t="s">
        <v>309</v>
      </c>
      <c r="D1589" t="s">
        <v>225</v>
      </c>
      <c r="E1589">
        <v>26</v>
      </c>
      <c r="F1589" t="s">
        <v>2</v>
      </c>
      <c r="G1589" t="s">
        <v>4222</v>
      </c>
      <c r="H1589" t="s">
        <v>7315</v>
      </c>
      <c r="I1589" t="s">
        <v>310</v>
      </c>
      <c r="J1589" t="s">
        <v>2503</v>
      </c>
    </row>
    <row r="1590" spans="1:10" x14ac:dyDescent="0.25">
      <c r="A1590" t="s">
        <v>7316</v>
      </c>
      <c r="B1590" s="3">
        <v>46302</v>
      </c>
      <c r="C1590" t="s">
        <v>46</v>
      </c>
      <c r="D1590" t="s">
        <v>47</v>
      </c>
      <c r="E1590">
        <v>28</v>
      </c>
      <c r="F1590" t="s">
        <v>2</v>
      </c>
      <c r="G1590" t="s">
        <v>4222</v>
      </c>
      <c r="H1590" t="s">
        <v>7317</v>
      </c>
      <c r="I1590" t="s">
        <v>50</v>
      </c>
      <c r="J1590" t="s">
        <v>2503</v>
      </c>
    </row>
    <row r="1591" spans="1:10" x14ac:dyDescent="0.25">
      <c r="A1591" t="s">
        <v>7318</v>
      </c>
      <c r="B1591" s="3">
        <v>46302</v>
      </c>
      <c r="C1591" t="s">
        <v>480</v>
      </c>
      <c r="D1591" t="s">
        <v>481</v>
      </c>
      <c r="E1591">
        <v>47</v>
      </c>
      <c r="F1591" t="s">
        <v>2</v>
      </c>
      <c r="G1591" t="s">
        <v>4225</v>
      </c>
      <c r="H1591" t="s">
        <v>7319</v>
      </c>
      <c r="I1591" t="s">
        <v>297</v>
      </c>
      <c r="J1591" t="s">
        <v>2503</v>
      </c>
    </row>
    <row r="1592" spans="1:10" x14ac:dyDescent="0.25">
      <c r="A1592" t="s">
        <v>7320</v>
      </c>
      <c r="B1592" s="3">
        <v>46302</v>
      </c>
      <c r="C1592" t="s">
        <v>508</v>
      </c>
      <c r="D1592" t="s">
        <v>476</v>
      </c>
      <c r="E1592">
        <v>11</v>
      </c>
      <c r="F1592" t="s">
        <v>477</v>
      </c>
      <c r="G1592" t="s">
        <v>4231</v>
      </c>
      <c r="H1592" t="s">
        <v>7321</v>
      </c>
      <c r="I1592" t="s">
        <v>89</v>
      </c>
      <c r="J1592" t="s">
        <v>2500</v>
      </c>
    </row>
    <row r="1593" spans="1:10" x14ac:dyDescent="0.25">
      <c r="A1593" t="s">
        <v>7322</v>
      </c>
      <c r="B1593" s="3">
        <v>46302</v>
      </c>
      <c r="C1593" t="s">
        <v>20</v>
      </c>
      <c r="D1593" t="s">
        <v>21</v>
      </c>
      <c r="E1593">
        <v>4</v>
      </c>
      <c r="F1593" t="s">
        <v>2</v>
      </c>
      <c r="G1593" t="s">
        <v>4225</v>
      </c>
      <c r="H1593" t="s">
        <v>7323</v>
      </c>
      <c r="I1593" t="s">
        <v>24</v>
      </c>
      <c r="J1593" t="s">
        <v>2513</v>
      </c>
    </row>
    <row r="1594" spans="1:10" x14ac:dyDescent="0.25">
      <c r="A1594" t="s">
        <v>7324</v>
      </c>
      <c r="B1594" s="3">
        <v>46302</v>
      </c>
      <c r="C1594" t="s">
        <v>237</v>
      </c>
      <c r="D1594" t="s">
        <v>234</v>
      </c>
      <c r="E1594">
        <v>2</v>
      </c>
      <c r="F1594" t="s">
        <v>2</v>
      </c>
      <c r="G1594" t="s">
        <v>4231</v>
      </c>
      <c r="H1594" t="s">
        <v>7325</v>
      </c>
      <c r="I1594" t="s">
        <v>193</v>
      </c>
      <c r="J1594" t="s">
        <v>2503</v>
      </c>
    </row>
    <row r="1595" spans="1:10" x14ac:dyDescent="0.25">
      <c r="A1595" t="s">
        <v>7326</v>
      </c>
      <c r="B1595" s="3">
        <v>46302</v>
      </c>
      <c r="C1595" t="s">
        <v>306</v>
      </c>
      <c r="D1595" t="s">
        <v>223</v>
      </c>
      <c r="E1595">
        <v>7</v>
      </c>
      <c r="F1595" t="s">
        <v>2</v>
      </c>
      <c r="G1595" t="s">
        <v>4228</v>
      </c>
      <c r="H1595" t="s">
        <v>7327</v>
      </c>
      <c r="I1595" t="s">
        <v>274</v>
      </c>
      <c r="J1595" t="s">
        <v>2503</v>
      </c>
    </row>
    <row r="1596" spans="1:10" x14ac:dyDescent="0.25">
      <c r="A1596" t="s">
        <v>7328</v>
      </c>
      <c r="B1596" s="3">
        <v>46302</v>
      </c>
      <c r="C1596" t="s">
        <v>190</v>
      </c>
      <c r="D1596" t="s">
        <v>29</v>
      </c>
      <c r="E1596">
        <v>35</v>
      </c>
      <c r="F1596" t="s">
        <v>2</v>
      </c>
      <c r="G1596" t="s">
        <v>4228</v>
      </c>
      <c r="H1596" t="s">
        <v>7329</v>
      </c>
      <c r="I1596" t="s">
        <v>77</v>
      </c>
      <c r="J1596" t="s">
        <v>2509</v>
      </c>
    </row>
    <row r="1597" spans="1:10" x14ac:dyDescent="0.25">
      <c r="A1597" t="s">
        <v>7330</v>
      </c>
      <c r="B1597" s="3">
        <v>46302</v>
      </c>
      <c r="C1597" t="s">
        <v>510</v>
      </c>
      <c r="D1597" t="s">
        <v>479</v>
      </c>
      <c r="E1597">
        <v>22</v>
      </c>
      <c r="F1597" t="s">
        <v>469</v>
      </c>
      <c r="G1597" t="s">
        <v>4225</v>
      </c>
      <c r="H1597" t="s">
        <v>7331</v>
      </c>
      <c r="I1597" t="s">
        <v>117</v>
      </c>
      <c r="J1597" t="s">
        <v>2509</v>
      </c>
    </row>
    <row r="1598" spans="1:10" x14ac:dyDescent="0.25">
      <c r="A1598" t="s">
        <v>7332</v>
      </c>
      <c r="B1598" s="3">
        <v>46302</v>
      </c>
      <c r="C1598" t="s">
        <v>301</v>
      </c>
      <c r="D1598" t="s">
        <v>240</v>
      </c>
      <c r="E1598">
        <v>12</v>
      </c>
      <c r="F1598" t="s">
        <v>2</v>
      </c>
      <c r="G1598" t="s">
        <v>4222</v>
      </c>
      <c r="H1598" t="s">
        <v>7333</v>
      </c>
      <c r="I1598" t="s">
        <v>259</v>
      </c>
      <c r="J1598" t="s">
        <v>2509</v>
      </c>
    </row>
    <row r="1599" spans="1:10" x14ac:dyDescent="0.25">
      <c r="A1599" t="s">
        <v>7334</v>
      </c>
      <c r="B1599" s="3">
        <v>46302</v>
      </c>
      <c r="C1599" t="s">
        <v>84</v>
      </c>
      <c r="D1599" t="s">
        <v>1</v>
      </c>
      <c r="E1599">
        <v>1</v>
      </c>
      <c r="F1599" t="s">
        <v>2</v>
      </c>
      <c r="G1599" t="s">
        <v>4234</v>
      </c>
      <c r="H1599" t="s">
        <v>7335</v>
      </c>
      <c r="I1599" t="s">
        <v>87</v>
      </c>
      <c r="J1599" t="s">
        <v>2503</v>
      </c>
    </row>
    <row r="1600" spans="1:10" x14ac:dyDescent="0.25">
      <c r="A1600" t="s">
        <v>7336</v>
      </c>
      <c r="B1600" s="3">
        <v>46302</v>
      </c>
      <c r="C1600" t="s">
        <v>194</v>
      </c>
      <c r="D1600" t="s">
        <v>47</v>
      </c>
      <c r="E1600">
        <v>33</v>
      </c>
      <c r="F1600" t="s">
        <v>2</v>
      </c>
      <c r="G1600" t="s">
        <v>4225</v>
      </c>
      <c r="H1600" t="s">
        <v>7337</v>
      </c>
      <c r="I1600" t="s">
        <v>195</v>
      </c>
      <c r="J1600" t="s">
        <v>2509</v>
      </c>
    </row>
    <row r="1601" spans="1:10" x14ac:dyDescent="0.25">
      <c r="A1601" t="s">
        <v>7338</v>
      </c>
      <c r="B1601" s="3">
        <v>46302</v>
      </c>
      <c r="C1601" t="s">
        <v>381</v>
      </c>
      <c r="D1601" t="s">
        <v>382</v>
      </c>
      <c r="E1601">
        <v>7</v>
      </c>
      <c r="F1601" t="s">
        <v>383</v>
      </c>
      <c r="G1601" t="s">
        <v>4225</v>
      </c>
      <c r="H1601" t="s">
        <v>7339</v>
      </c>
      <c r="I1601" t="s">
        <v>106</v>
      </c>
      <c r="J1601" t="s">
        <v>2509</v>
      </c>
    </row>
    <row r="1602" spans="1:10" x14ac:dyDescent="0.25">
      <c r="A1602" t="s">
        <v>7340</v>
      </c>
      <c r="B1602" s="3">
        <v>46302</v>
      </c>
      <c r="C1602" t="s">
        <v>563</v>
      </c>
      <c r="D1602" t="s">
        <v>479</v>
      </c>
      <c r="E1602">
        <v>13</v>
      </c>
      <c r="F1602" t="s">
        <v>469</v>
      </c>
      <c r="G1602" t="s">
        <v>4234</v>
      </c>
      <c r="H1602" t="s">
        <v>7341</v>
      </c>
      <c r="I1602" t="s">
        <v>287</v>
      </c>
      <c r="J1602" t="s">
        <v>2513</v>
      </c>
    </row>
    <row r="1603" spans="1:10" x14ac:dyDescent="0.25">
      <c r="A1603" t="s">
        <v>7342</v>
      </c>
      <c r="B1603" s="3">
        <v>46302</v>
      </c>
      <c r="C1603" t="s">
        <v>275</v>
      </c>
      <c r="D1603" t="s">
        <v>218</v>
      </c>
      <c r="E1603">
        <v>17</v>
      </c>
      <c r="F1603" t="s">
        <v>2</v>
      </c>
      <c r="G1603" t="s">
        <v>4222</v>
      </c>
      <c r="H1603" t="s">
        <v>7343</v>
      </c>
      <c r="I1603" t="s">
        <v>259</v>
      </c>
      <c r="J1603" t="s">
        <v>2509</v>
      </c>
    </row>
    <row r="1604" spans="1:10" x14ac:dyDescent="0.25">
      <c r="A1604" t="s">
        <v>7344</v>
      </c>
      <c r="B1604" s="3">
        <v>46302</v>
      </c>
      <c r="C1604" t="s">
        <v>374</v>
      </c>
      <c r="D1604" t="s">
        <v>366</v>
      </c>
      <c r="E1604">
        <v>47</v>
      </c>
      <c r="F1604" t="s">
        <v>2</v>
      </c>
      <c r="G1604" t="s">
        <v>4231</v>
      </c>
      <c r="H1604" t="s">
        <v>7345</v>
      </c>
      <c r="I1604" t="s">
        <v>161</v>
      </c>
      <c r="J1604" t="s">
        <v>2503</v>
      </c>
    </row>
    <row r="1605" spans="1:10" x14ac:dyDescent="0.25">
      <c r="A1605" t="s">
        <v>7346</v>
      </c>
      <c r="B1605" s="3">
        <v>46302</v>
      </c>
      <c r="C1605" t="s">
        <v>683</v>
      </c>
      <c r="D1605" t="s">
        <v>594</v>
      </c>
      <c r="E1605">
        <v>1</v>
      </c>
      <c r="F1605" t="s">
        <v>595</v>
      </c>
      <c r="G1605" t="s">
        <v>4222</v>
      </c>
      <c r="H1605" t="s">
        <v>7347</v>
      </c>
      <c r="I1605" t="s">
        <v>75</v>
      </c>
      <c r="J1605" t="s">
        <v>2513</v>
      </c>
    </row>
    <row r="1606" spans="1:10" x14ac:dyDescent="0.25">
      <c r="A1606" t="s">
        <v>7348</v>
      </c>
      <c r="B1606" s="3">
        <v>46302</v>
      </c>
      <c r="C1606" t="s">
        <v>276</v>
      </c>
      <c r="D1606" t="s">
        <v>225</v>
      </c>
      <c r="E1606">
        <v>12</v>
      </c>
      <c r="F1606" t="s">
        <v>2</v>
      </c>
      <c r="G1606" t="s">
        <v>4222</v>
      </c>
      <c r="H1606" t="s">
        <v>7349</v>
      </c>
      <c r="I1606" t="s">
        <v>38</v>
      </c>
      <c r="J1606" t="s">
        <v>2503</v>
      </c>
    </row>
    <row r="1607" spans="1:10" x14ac:dyDescent="0.25">
      <c r="A1607" t="s">
        <v>7350</v>
      </c>
      <c r="B1607" s="3">
        <v>46302</v>
      </c>
      <c r="C1607" t="s">
        <v>553</v>
      </c>
      <c r="D1607" t="s">
        <v>476</v>
      </c>
      <c r="E1607">
        <v>11</v>
      </c>
      <c r="F1607" t="s">
        <v>477</v>
      </c>
      <c r="G1607" t="s">
        <v>4222</v>
      </c>
      <c r="H1607" t="s">
        <v>7351</v>
      </c>
      <c r="I1607" t="s">
        <v>324</v>
      </c>
      <c r="J1607" t="s">
        <v>2503</v>
      </c>
    </row>
    <row r="1608" spans="1:10" x14ac:dyDescent="0.25">
      <c r="A1608" t="s">
        <v>7352</v>
      </c>
      <c r="B1608" s="3">
        <v>46302</v>
      </c>
      <c r="C1608" t="s">
        <v>528</v>
      </c>
      <c r="D1608" t="s">
        <v>479</v>
      </c>
      <c r="E1608">
        <v>46</v>
      </c>
      <c r="F1608" t="s">
        <v>469</v>
      </c>
      <c r="G1608" t="s">
        <v>4228</v>
      </c>
      <c r="H1608" t="s">
        <v>7353</v>
      </c>
      <c r="I1608" t="s">
        <v>274</v>
      </c>
      <c r="J1608" t="s">
        <v>2503</v>
      </c>
    </row>
    <row r="1609" spans="1:10" x14ac:dyDescent="0.25">
      <c r="A1609" t="s">
        <v>7354</v>
      </c>
      <c r="B1609" s="3">
        <v>46302</v>
      </c>
      <c r="C1609" t="s">
        <v>544</v>
      </c>
      <c r="D1609" t="s">
        <v>488</v>
      </c>
      <c r="E1609">
        <v>36</v>
      </c>
      <c r="F1609" t="s">
        <v>469</v>
      </c>
      <c r="G1609" t="s">
        <v>4234</v>
      </c>
      <c r="H1609" t="s">
        <v>7355</v>
      </c>
      <c r="I1609" t="s">
        <v>219</v>
      </c>
      <c r="J1609" t="s">
        <v>2513</v>
      </c>
    </row>
    <row r="1610" spans="1:10" x14ac:dyDescent="0.25">
      <c r="A1610" t="s">
        <v>7356</v>
      </c>
      <c r="B1610" s="3">
        <v>46302</v>
      </c>
      <c r="C1610" t="s">
        <v>135</v>
      </c>
      <c r="D1610" t="s">
        <v>44</v>
      </c>
      <c r="E1610">
        <v>9</v>
      </c>
      <c r="F1610" t="s">
        <v>2</v>
      </c>
      <c r="G1610" t="s">
        <v>4234</v>
      </c>
      <c r="H1610" t="s">
        <v>7357</v>
      </c>
      <c r="I1610" t="s">
        <v>73</v>
      </c>
      <c r="J1610" t="s">
        <v>2500</v>
      </c>
    </row>
    <row r="1611" spans="1:10" x14ac:dyDescent="0.25">
      <c r="A1611" t="s">
        <v>7358</v>
      </c>
      <c r="B1611" s="3">
        <v>46302</v>
      </c>
      <c r="C1611" t="s">
        <v>572</v>
      </c>
      <c r="D1611" t="s">
        <v>490</v>
      </c>
      <c r="E1611">
        <v>13</v>
      </c>
      <c r="F1611" t="s">
        <v>355</v>
      </c>
      <c r="G1611" t="s">
        <v>4225</v>
      </c>
      <c r="H1611" t="s">
        <v>7359</v>
      </c>
      <c r="I1611" t="s">
        <v>27</v>
      </c>
      <c r="J1611" t="s">
        <v>2503</v>
      </c>
    </row>
    <row r="1612" spans="1:10" x14ac:dyDescent="0.25">
      <c r="A1612" t="s">
        <v>7360</v>
      </c>
      <c r="B1612" s="3">
        <v>46302</v>
      </c>
      <c r="C1612" t="s">
        <v>256</v>
      </c>
      <c r="D1612" t="s">
        <v>210</v>
      </c>
      <c r="E1612">
        <v>51</v>
      </c>
      <c r="F1612" t="s">
        <v>2</v>
      </c>
      <c r="G1612" t="s">
        <v>4234</v>
      </c>
      <c r="H1612" t="s">
        <v>7361</v>
      </c>
      <c r="I1612" t="s">
        <v>257</v>
      </c>
      <c r="J1612" t="s">
        <v>2509</v>
      </c>
    </row>
    <row r="1613" spans="1:10" x14ac:dyDescent="0.25">
      <c r="A1613" t="s">
        <v>7362</v>
      </c>
      <c r="B1613" s="3">
        <v>46302</v>
      </c>
      <c r="C1613" t="s">
        <v>350</v>
      </c>
      <c r="D1613" t="s">
        <v>351</v>
      </c>
      <c r="E1613">
        <v>28</v>
      </c>
      <c r="F1613" t="s">
        <v>2</v>
      </c>
      <c r="G1613" t="s">
        <v>4231</v>
      </c>
      <c r="H1613" t="s">
        <v>7363</v>
      </c>
      <c r="I1613" t="s">
        <v>110</v>
      </c>
      <c r="J1613" t="s">
        <v>2500</v>
      </c>
    </row>
    <row r="1614" spans="1:10" x14ac:dyDescent="0.25">
      <c r="A1614" t="s">
        <v>7364</v>
      </c>
      <c r="B1614" s="3">
        <v>46302</v>
      </c>
      <c r="C1614" t="s">
        <v>348</v>
      </c>
      <c r="D1614" t="s">
        <v>349</v>
      </c>
      <c r="E1614">
        <v>39</v>
      </c>
      <c r="F1614" t="s">
        <v>2</v>
      </c>
      <c r="G1614" t="s">
        <v>4231</v>
      </c>
      <c r="H1614" t="s">
        <v>7365</v>
      </c>
      <c r="I1614" t="s">
        <v>171</v>
      </c>
      <c r="J1614" t="s">
        <v>2513</v>
      </c>
    </row>
    <row r="1615" spans="1:10" x14ac:dyDescent="0.25">
      <c r="A1615" t="s">
        <v>7366</v>
      </c>
      <c r="B1615" s="3">
        <v>46302</v>
      </c>
      <c r="C1615" t="s">
        <v>532</v>
      </c>
      <c r="D1615" t="s">
        <v>488</v>
      </c>
      <c r="E1615">
        <v>39</v>
      </c>
      <c r="F1615" t="s">
        <v>469</v>
      </c>
      <c r="G1615" t="s">
        <v>4225</v>
      </c>
      <c r="H1615" t="s">
        <v>7367</v>
      </c>
      <c r="I1615" t="s">
        <v>106</v>
      </c>
      <c r="J1615" t="s">
        <v>2503</v>
      </c>
    </row>
    <row r="1616" spans="1:10" x14ac:dyDescent="0.25">
      <c r="A1616" t="s">
        <v>7368</v>
      </c>
      <c r="B1616" s="3">
        <v>46302</v>
      </c>
      <c r="C1616" t="s">
        <v>418</v>
      </c>
      <c r="D1616" t="s">
        <v>349</v>
      </c>
      <c r="E1616">
        <v>31</v>
      </c>
      <c r="F1616" t="s">
        <v>2</v>
      </c>
      <c r="G1616" t="s">
        <v>4228</v>
      </c>
      <c r="H1616" t="s">
        <v>7369</v>
      </c>
      <c r="I1616" t="s">
        <v>250</v>
      </c>
      <c r="J1616" t="s">
        <v>2513</v>
      </c>
    </row>
    <row r="1617" spans="1:10" x14ac:dyDescent="0.25">
      <c r="A1617" t="s">
        <v>7370</v>
      </c>
      <c r="B1617" s="3">
        <v>46302</v>
      </c>
      <c r="C1617" t="s">
        <v>266</v>
      </c>
      <c r="D1617" t="s">
        <v>240</v>
      </c>
      <c r="E1617">
        <v>54</v>
      </c>
      <c r="F1617" t="s">
        <v>2</v>
      </c>
      <c r="G1617" t="s">
        <v>4222</v>
      </c>
      <c r="H1617" t="s">
        <v>7371</v>
      </c>
      <c r="I1617" t="s">
        <v>108</v>
      </c>
      <c r="J1617" t="s">
        <v>2509</v>
      </c>
    </row>
    <row r="1618" spans="1:10" x14ac:dyDescent="0.25">
      <c r="A1618" t="s">
        <v>7372</v>
      </c>
      <c r="B1618" s="3">
        <v>46302</v>
      </c>
      <c r="C1618" t="s">
        <v>273</v>
      </c>
      <c r="D1618" t="s">
        <v>234</v>
      </c>
      <c r="E1618">
        <v>28</v>
      </c>
      <c r="F1618" t="s">
        <v>2</v>
      </c>
      <c r="G1618" t="s">
        <v>4225</v>
      </c>
      <c r="H1618" t="s">
        <v>7373</v>
      </c>
      <c r="I1618" t="s">
        <v>274</v>
      </c>
      <c r="J1618" t="s">
        <v>2513</v>
      </c>
    </row>
    <row r="1619" spans="1:10" x14ac:dyDescent="0.25">
      <c r="A1619" t="s">
        <v>7374</v>
      </c>
      <c r="B1619" s="3">
        <v>46302</v>
      </c>
      <c r="C1619" t="s">
        <v>198</v>
      </c>
      <c r="D1619" t="s">
        <v>1</v>
      </c>
      <c r="E1619">
        <v>14</v>
      </c>
      <c r="F1619" t="s">
        <v>2</v>
      </c>
      <c r="G1619" t="s">
        <v>4231</v>
      </c>
      <c r="H1619" t="s">
        <v>7375</v>
      </c>
      <c r="I1619" t="s">
        <v>140</v>
      </c>
      <c r="J1619" t="s">
        <v>2513</v>
      </c>
    </row>
    <row r="1620" spans="1:10" x14ac:dyDescent="0.25">
      <c r="A1620" t="s">
        <v>7376</v>
      </c>
      <c r="B1620" s="3">
        <v>46302</v>
      </c>
      <c r="C1620" t="s">
        <v>229</v>
      </c>
      <c r="D1620" t="s">
        <v>218</v>
      </c>
      <c r="E1620">
        <v>12</v>
      </c>
      <c r="F1620" t="s">
        <v>2</v>
      </c>
      <c r="G1620" t="s">
        <v>4222</v>
      </c>
      <c r="H1620" t="s">
        <v>7377</v>
      </c>
      <c r="I1620" t="s">
        <v>230</v>
      </c>
      <c r="J1620" t="s">
        <v>2500</v>
      </c>
    </row>
    <row r="1621" spans="1:10" x14ac:dyDescent="0.25">
      <c r="A1621" t="s">
        <v>7378</v>
      </c>
      <c r="B1621" s="3">
        <v>46302</v>
      </c>
      <c r="C1621" t="s">
        <v>666</v>
      </c>
      <c r="D1621" t="s">
        <v>599</v>
      </c>
      <c r="E1621">
        <v>18</v>
      </c>
      <c r="F1621" t="s">
        <v>2</v>
      </c>
      <c r="G1621" t="s">
        <v>4222</v>
      </c>
      <c r="H1621" t="s">
        <v>7379</v>
      </c>
      <c r="I1621" t="s">
        <v>455</v>
      </c>
      <c r="J1621" t="s">
        <v>2503</v>
      </c>
    </row>
    <row r="1622" spans="1:10" x14ac:dyDescent="0.25">
      <c r="A1622" t="s">
        <v>7380</v>
      </c>
      <c r="B1622" s="3">
        <v>46302</v>
      </c>
      <c r="C1622" t="s">
        <v>20</v>
      </c>
      <c r="D1622" t="s">
        <v>21</v>
      </c>
      <c r="E1622">
        <v>10</v>
      </c>
      <c r="F1622" t="s">
        <v>2</v>
      </c>
      <c r="G1622" t="s">
        <v>4234</v>
      </c>
      <c r="H1622" t="s">
        <v>7381</v>
      </c>
      <c r="I1622" t="s">
        <v>24</v>
      </c>
      <c r="J1622" t="s">
        <v>2509</v>
      </c>
    </row>
    <row r="1623" spans="1:10" x14ac:dyDescent="0.25">
      <c r="A1623" t="s">
        <v>7382</v>
      </c>
      <c r="B1623" s="3">
        <v>46303</v>
      </c>
      <c r="C1623" t="s">
        <v>492</v>
      </c>
      <c r="D1623" t="s">
        <v>467</v>
      </c>
      <c r="E1623">
        <v>18</v>
      </c>
      <c r="F1623" t="s">
        <v>469</v>
      </c>
      <c r="G1623" t="s">
        <v>4231</v>
      </c>
      <c r="H1623" t="s">
        <v>7383</v>
      </c>
      <c r="I1623" t="s">
        <v>102</v>
      </c>
      <c r="J1623" t="s">
        <v>2500</v>
      </c>
    </row>
    <row r="1624" spans="1:10" x14ac:dyDescent="0.25">
      <c r="A1624" t="s">
        <v>7384</v>
      </c>
      <c r="B1624" s="3">
        <v>46303</v>
      </c>
      <c r="C1624" t="s">
        <v>228</v>
      </c>
      <c r="D1624" t="s">
        <v>218</v>
      </c>
      <c r="E1624">
        <v>18</v>
      </c>
      <c r="F1624" t="s">
        <v>2</v>
      </c>
      <c r="G1624" t="s">
        <v>4222</v>
      </c>
      <c r="H1624" t="s">
        <v>7385</v>
      </c>
      <c r="I1624" t="s">
        <v>67</v>
      </c>
      <c r="J1624" t="s">
        <v>2500</v>
      </c>
    </row>
    <row r="1625" spans="1:10" x14ac:dyDescent="0.25">
      <c r="A1625" t="s">
        <v>7386</v>
      </c>
      <c r="B1625" s="3">
        <v>46303</v>
      </c>
      <c r="C1625" t="s">
        <v>622</v>
      </c>
      <c r="D1625" t="s">
        <v>585</v>
      </c>
      <c r="E1625">
        <v>13</v>
      </c>
      <c r="F1625" t="s">
        <v>355</v>
      </c>
      <c r="G1625" t="s">
        <v>4228</v>
      </c>
      <c r="H1625" t="s">
        <v>7387</v>
      </c>
      <c r="I1625" t="s">
        <v>71</v>
      </c>
      <c r="J1625" t="s">
        <v>2509</v>
      </c>
    </row>
    <row r="1626" spans="1:10" x14ac:dyDescent="0.25">
      <c r="A1626" t="s">
        <v>7388</v>
      </c>
      <c r="B1626" s="3">
        <v>46303</v>
      </c>
      <c r="C1626" t="s">
        <v>522</v>
      </c>
      <c r="D1626" t="s">
        <v>484</v>
      </c>
      <c r="E1626">
        <v>34</v>
      </c>
      <c r="F1626" t="s">
        <v>469</v>
      </c>
      <c r="G1626" t="s">
        <v>4231</v>
      </c>
      <c r="H1626" t="s">
        <v>7389</v>
      </c>
      <c r="I1626" t="s">
        <v>124</v>
      </c>
      <c r="J1626" t="s">
        <v>2513</v>
      </c>
    </row>
    <row r="1627" spans="1:10" x14ac:dyDescent="0.25">
      <c r="A1627" t="s">
        <v>7390</v>
      </c>
      <c r="B1627" s="3">
        <v>46303</v>
      </c>
      <c r="C1627" t="s">
        <v>197</v>
      </c>
      <c r="D1627" t="s">
        <v>21</v>
      </c>
      <c r="E1627">
        <v>43</v>
      </c>
      <c r="F1627" t="s">
        <v>2</v>
      </c>
      <c r="G1627" t="s">
        <v>4228</v>
      </c>
      <c r="H1627" t="s">
        <v>7391</v>
      </c>
      <c r="I1627" t="s">
        <v>171</v>
      </c>
      <c r="J1627" t="s">
        <v>2503</v>
      </c>
    </row>
    <row r="1628" spans="1:10" x14ac:dyDescent="0.25">
      <c r="A1628" t="s">
        <v>7392</v>
      </c>
      <c r="B1628" s="3">
        <v>46303</v>
      </c>
      <c r="C1628" t="s">
        <v>679</v>
      </c>
      <c r="D1628" t="s">
        <v>597</v>
      </c>
      <c r="E1628">
        <v>1</v>
      </c>
      <c r="F1628" t="s">
        <v>355</v>
      </c>
      <c r="G1628" t="s">
        <v>4222</v>
      </c>
      <c r="H1628" t="s">
        <v>7393</v>
      </c>
      <c r="I1628" t="s">
        <v>368</v>
      </c>
      <c r="J1628" t="s">
        <v>2500</v>
      </c>
    </row>
    <row r="1629" spans="1:10" x14ac:dyDescent="0.25">
      <c r="A1629" t="s">
        <v>7394</v>
      </c>
      <c r="B1629" s="3">
        <v>46303</v>
      </c>
      <c r="C1629" t="s">
        <v>663</v>
      </c>
      <c r="D1629" t="s">
        <v>587</v>
      </c>
      <c r="E1629">
        <v>27</v>
      </c>
      <c r="F1629" t="s">
        <v>2</v>
      </c>
      <c r="G1629" t="s">
        <v>4222</v>
      </c>
      <c r="H1629" t="s">
        <v>7395</v>
      </c>
      <c r="I1629" t="s">
        <v>464</v>
      </c>
      <c r="J1629" t="s">
        <v>2509</v>
      </c>
    </row>
    <row r="1630" spans="1:10" x14ac:dyDescent="0.25">
      <c r="A1630" t="s">
        <v>7396</v>
      </c>
      <c r="B1630" s="3">
        <v>46303</v>
      </c>
      <c r="C1630" t="s">
        <v>525</v>
      </c>
      <c r="D1630" t="s">
        <v>474</v>
      </c>
      <c r="E1630">
        <v>18</v>
      </c>
      <c r="F1630" t="s">
        <v>2</v>
      </c>
      <c r="G1630" t="s">
        <v>4234</v>
      </c>
      <c r="H1630" t="s">
        <v>7397</v>
      </c>
      <c r="I1630" t="s">
        <v>104</v>
      </c>
      <c r="J1630" t="s">
        <v>2513</v>
      </c>
    </row>
    <row r="1631" spans="1:10" x14ac:dyDescent="0.25">
      <c r="A1631" t="s">
        <v>7398</v>
      </c>
      <c r="B1631" s="3">
        <v>46303</v>
      </c>
      <c r="C1631" t="s">
        <v>416</v>
      </c>
      <c r="D1631" t="s">
        <v>344</v>
      </c>
      <c r="E1631">
        <v>28</v>
      </c>
      <c r="F1631" t="s">
        <v>346</v>
      </c>
      <c r="G1631" t="s">
        <v>4222</v>
      </c>
      <c r="H1631" t="s">
        <v>7011</v>
      </c>
      <c r="I1631" t="s">
        <v>102</v>
      </c>
      <c r="J1631" t="s">
        <v>2500</v>
      </c>
    </row>
    <row r="1632" spans="1:10" x14ac:dyDescent="0.25">
      <c r="A1632" t="s">
        <v>7399</v>
      </c>
      <c r="B1632" s="3">
        <v>46303</v>
      </c>
      <c r="C1632" t="s">
        <v>504</v>
      </c>
      <c r="D1632" t="s">
        <v>474</v>
      </c>
      <c r="E1632">
        <v>19</v>
      </c>
      <c r="F1632" t="s">
        <v>2</v>
      </c>
      <c r="G1632" t="s">
        <v>4231</v>
      </c>
      <c r="H1632" t="s">
        <v>7400</v>
      </c>
      <c r="I1632" t="s">
        <v>274</v>
      </c>
      <c r="J1632" t="s">
        <v>2503</v>
      </c>
    </row>
    <row r="1633" spans="1:10" x14ac:dyDescent="0.25">
      <c r="A1633" t="s">
        <v>7401</v>
      </c>
      <c r="B1633" s="3">
        <v>46303</v>
      </c>
      <c r="C1633" t="s">
        <v>180</v>
      </c>
      <c r="D1633" t="s">
        <v>15</v>
      </c>
      <c r="E1633">
        <v>36</v>
      </c>
      <c r="F1633" t="s">
        <v>2</v>
      </c>
      <c r="G1633" t="s">
        <v>4234</v>
      </c>
      <c r="H1633" t="s">
        <v>7402</v>
      </c>
      <c r="I1633" t="s">
        <v>181</v>
      </c>
      <c r="J1633" t="s">
        <v>2503</v>
      </c>
    </row>
    <row r="1634" spans="1:10" x14ac:dyDescent="0.25">
      <c r="A1634" t="s">
        <v>7403</v>
      </c>
      <c r="B1634" s="3">
        <v>46303</v>
      </c>
      <c r="C1634" t="s">
        <v>678</v>
      </c>
      <c r="D1634" t="s">
        <v>612</v>
      </c>
      <c r="E1634">
        <v>52</v>
      </c>
      <c r="F1634" t="s">
        <v>2</v>
      </c>
      <c r="G1634" t="s">
        <v>4222</v>
      </c>
      <c r="H1634" t="s">
        <v>7404</v>
      </c>
      <c r="I1634" t="s">
        <v>242</v>
      </c>
      <c r="J1634" t="s">
        <v>2509</v>
      </c>
    </row>
    <row r="1635" spans="1:10" x14ac:dyDescent="0.25">
      <c r="A1635" t="s">
        <v>7405</v>
      </c>
      <c r="B1635" s="3">
        <v>46303</v>
      </c>
      <c r="C1635" t="s">
        <v>170</v>
      </c>
      <c r="D1635" t="s">
        <v>66</v>
      </c>
      <c r="E1635">
        <v>2</v>
      </c>
      <c r="F1635" t="s">
        <v>2</v>
      </c>
      <c r="G1635" t="s">
        <v>4222</v>
      </c>
      <c r="H1635" t="s">
        <v>7406</v>
      </c>
      <c r="I1635" t="s">
        <v>171</v>
      </c>
      <c r="J1635" t="s">
        <v>2500</v>
      </c>
    </row>
    <row r="1636" spans="1:10" x14ac:dyDescent="0.25">
      <c r="A1636" t="s">
        <v>7407</v>
      </c>
      <c r="B1636" s="3">
        <v>46303</v>
      </c>
      <c r="C1636" t="s">
        <v>367</v>
      </c>
      <c r="D1636" t="s">
        <v>344</v>
      </c>
      <c r="E1636">
        <v>36</v>
      </c>
      <c r="F1636" t="s">
        <v>346</v>
      </c>
      <c r="G1636" t="s">
        <v>4231</v>
      </c>
      <c r="H1636" t="s">
        <v>7408</v>
      </c>
      <c r="I1636" t="s">
        <v>368</v>
      </c>
      <c r="J1636" t="s">
        <v>2509</v>
      </c>
    </row>
    <row r="1637" spans="1:10" x14ac:dyDescent="0.25">
      <c r="A1637" t="s">
        <v>7409</v>
      </c>
      <c r="B1637" s="3">
        <v>46303</v>
      </c>
      <c r="C1637" t="s">
        <v>132</v>
      </c>
      <c r="D1637" t="s">
        <v>26</v>
      </c>
      <c r="E1637">
        <v>42</v>
      </c>
      <c r="F1637" t="s">
        <v>2</v>
      </c>
      <c r="G1637" t="s">
        <v>4228</v>
      </c>
      <c r="H1637" t="s">
        <v>7410</v>
      </c>
      <c r="I1637" t="s">
        <v>133</v>
      </c>
      <c r="J1637" t="s">
        <v>2503</v>
      </c>
    </row>
    <row r="1638" spans="1:10" x14ac:dyDescent="0.25">
      <c r="A1638" t="s">
        <v>7411</v>
      </c>
      <c r="B1638" s="3">
        <v>46303</v>
      </c>
      <c r="C1638" t="s">
        <v>136</v>
      </c>
      <c r="D1638" t="s">
        <v>21</v>
      </c>
      <c r="E1638">
        <v>40</v>
      </c>
      <c r="F1638" t="s">
        <v>2</v>
      </c>
      <c r="G1638" t="s">
        <v>4231</v>
      </c>
      <c r="H1638" t="s">
        <v>7412</v>
      </c>
      <c r="I1638" t="s">
        <v>83</v>
      </c>
      <c r="J1638" t="s">
        <v>2503</v>
      </c>
    </row>
    <row r="1639" spans="1:10" x14ac:dyDescent="0.25">
      <c r="A1639" t="s">
        <v>7413</v>
      </c>
      <c r="B1639" s="3">
        <v>46303</v>
      </c>
      <c r="C1639" t="s">
        <v>162</v>
      </c>
      <c r="D1639" t="s">
        <v>163</v>
      </c>
      <c r="E1639">
        <v>25</v>
      </c>
      <c r="F1639" t="s">
        <v>2</v>
      </c>
      <c r="G1639" t="s">
        <v>4234</v>
      </c>
      <c r="H1639" t="s">
        <v>7414</v>
      </c>
      <c r="I1639" t="s">
        <v>164</v>
      </c>
      <c r="J1639" t="s">
        <v>2503</v>
      </c>
    </row>
    <row r="1640" spans="1:10" x14ac:dyDescent="0.25">
      <c r="A1640" t="s">
        <v>7415</v>
      </c>
      <c r="B1640" s="3">
        <v>46303</v>
      </c>
      <c r="C1640" t="s">
        <v>604</v>
      </c>
      <c r="D1640" t="s">
        <v>599</v>
      </c>
      <c r="E1640">
        <v>20</v>
      </c>
      <c r="F1640" t="s">
        <v>2</v>
      </c>
      <c r="G1640" t="s">
        <v>4231</v>
      </c>
      <c r="H1640" t="s">
        <v>7416</v>
      </c>
      <c r="I1640" t="s">
        <v>110</v>
      </c>
      <c r="J1640" t="s">
        <v>2509</v>
      </c>
    </row>
    <row r="1641" spans="1:10" x14ac:dyDescent="0.25">
      <c r="A1641" t="s">
        <v>7417</v>
      </c>
      <c r="B1641" s="3">
        <v>46303</v>
      </c>
      <c r="C1641" t="s">
        <v>233</v>
      </c>
      <c r="D1641" t="s">
        <v>234</v>
      </c>
      <c r="E1641">
        <v>28</v>
      </c>
      <c r="F1641" t="s">
        <v>2</v>
      </c>
      <c r="G1641" t="s">
        <v>4228</v>
      </c>
      <c r="H1641" t="s">
        <v>7418</v>
      </c>
      <c r="I1641" t="s">
        <v>87</v>
      </c>
      <c r="J1641" t="s">
        <v>2509</v>
      </c>
    </row>
    <row r="1642" spans="1:10" x14ac:dyDescent="0.25">
      <c r="A1642" t="s">
        <v>7419</v>
      </c>
      <c r="B1642" s="3">
        <v>46303</v>
      </c>
      <c r="C1642" t="s">
        <v>646</v>
      </c>
      <c r="D1642" t="s">
        <v>599</v>
      </c>
      <c r="E1642">
        <v>53</v>
      </c>
      <c r="F1642" t="s">
        <v>2</v>
      </c>
      <c r="G1642" t="s">
        <v>4228</v>
      </c>
      <c r="H1642" t="s">
        <v>7420</v>
      </c>
      <c r="I1642" t="s">
        <v>294</v>
      </c>
      <c r="J1642" t="s">
        <v>2509</v>
      </c>
    </row>
    <row r="1643" spans="1:10" x14ac:dyDescent="0.25">
      <c r="A1643" t="s">
        <v>7421</v>
      </c>
      <c r="B1643" s="3">
        <v>46303</v>
      </c>
      <c r="C1643" t="s">
        <v>640</v>
      </c>
      <c r="D1643" t="s">
        <v>629</v>
      </c>
      <c r="E1643">
        <v>8</v>
      </c>
      <c r="F1643" t="s">
        <v>355</v>
      </c>
      <c r="G1643" t="s">
        <v>4234</v>
      </c>
      <c r="H1643" t="s">
        <v>7422</v>
      </c>
      <c r="I1643" t="s">
        <v>79</v>
      </c>
      <c r="J1643" t="s">
        <v>2513</v>
      </c>
    </row>
    <row r="1644" spans="1:10" x14ac:dyDescent="0.25">
      <c r="A1644" t="s">
        <v>7423</v>
      </c>
      <c r="B1644" s="3">
        <v>46303</v>
      </c>
      <c r="C1644" t="s">
        <v>403</v>
      </c>
      <c r="D1644" t="s">
        <v>364</v>
      </c>
      <c r="E1644">
        <v>34</v>
      </c>
      <c r="F1644" t="s">
        <v>358</v>
      </c>
      <c r="G1644" t="s">
        <v>4225</v>
      </c>
      <c r="H1644" t="s">
        <v>7424</v>
      </c>
      <c r="I1644" t="s">
        <v>117</v>
      </c>
      <c r="J1644" t="s">
        <v>2509</v>
      </c>
    </row>
    <row r="1645" spans="1:10" x14ac:dyDescent="0.25">
      <c r="A1645" t="s">
        <v>7425</v>
      </c>
      <c r="B1645" s="3">
        <v>46303</v>
      </c>
      <c r="C1645" t="s">
        <v>619</v>
      </c>
      <c r="D1645" t="s">
        <v>594</v>
      </c>
      <c r="E1645">
        <v>15</v>
      </c>
      <c r="F1645" t="s">
        <v>595</v>
      </c>
      <c r="G1645" t="s">
        <v>4225</v>
      </c>
      <c r="H1645" t="s">
        <v>7426</v>
      </c>
      <c r="I1645" t="s">
        <v>206</v>
      </c>
      <c r="J1645" t="s">
        <v>2503</v>
      </c>
    </row>
    <row r="1646" spans="1:10" x14ac:dyDescent="0.25">
      <c r="A1646" t="s">
        <v>7427</v>
      </c>
      <c r="B1646" s="3">
        <v>46303</v>
      </c>
      <c r="C1646" t="s">
        <v>402</v>
      </c>
      <c r="D1646" t="s">
        <v>344</v>
      </c>
      <c r="E1646">
        <v>9</v>
      </c>
      <c r="F1646" t="s">
        <v>346</v>
      </c>
      <c r="G1646" t="s">
        <v>4234</v>
      </c>
      <c r="H1646" t="s">
        <v>7428</v>
      </c>
      <c r="I1646" t="s">
        <v>27</v>
      </c>
      <c r="J1646" t="s">
        <v>2513</v>
      </c>
    </row>
    <row r="1647" spans="1:10" x14ac:dyDescent="0.25">
      <c r="A1647" t="s">
        <v>7429</v>
      </c>
      <c r="B1647" s="3">
        <v>46303</v>
      </c>
      <c r="C1647" t="s">
        <v>536</v>
      </c>
      <c r="D1647" t="s">
        <v>481</v>
      </c>
      <c r="E1647">
        <v>34</v>
      </c>
      <c r="F1647" t="s">
        <v>2</v>
      </c>
      <c r="G1647" t="s">
        <v>4225</v>
      </c>
      <c r="H1647" t="s">
        <v>7430</v>
      </c>
      <c r="I1647" t="s">
        <v>221</v>
      </c>
      <c r="J1647" t="s">
        <v>2513</v>
      </c>
    </row>
    <row r="1648" spans="1:10" x14ac:dyDescent="0.25">
      <c r="A1648" t="s">
        <v>7431</v>
      </c>
      <c r="B1648" s="3">
        <v>46303</v>
      </c>
      <c r="C1648" t="s">
        <v>441</v>
      </c>
      <c r="D1648" t="s">
        <v>366</v>
      </c>
      <c r="E1648">
        <v>14</v>
      </c>
      <c r="F1648" t="s">
        <v>2</v>
      </c>
      <c r="G1648" t="s">
        <v>4231</v>
      </c>
      <c r="H1648" t="s">
        <v>7432</v>
      </c>
      <c r="I1648" t="s">
        <v>314</v>
      </c>
      <c r="J1648" t="s">
        <v>2503</v>
      </c>
    </row>
    <row r="1649" spans="1:10" x14ac:dyDescent="0.25">
      <c r="A1649" t="s">
        <v>7433</v>
      </c>
      <c r="B1649" s="3">
        <v>46303</v>
      </c>
      <c r="C1649" t="s">
        <v>614</v>
      </c>
      <c r="D1649" t="s">
        <v>587</v>
      </c>
      <c r="E1649">
        <v>11</v>
      </c>
      <c r="F1649" t="s">
        <v>2</v>
      </c>
      <c r="G1649" t="s">
        <v>4222</v>
      </c>
      <c r="H1649" t="s">
        <v>7434</v>
      </c>
      <c r="I1649" t="s">
        <v>193</v>
      </c>
      <c r="J1649" t="s">
        <v>2500</v>
      </c>
    </row>
    <row r="1650" spans="1:10" x14ac:dyDescent="0.25">
      <c r="A1650" t="s">
        <v>7435</v>
      </c>
      <c r="B1650" s="3">
        <v>46303</v>
      </c>
      <c r="C1650" t="s">
        <v>678</v>
      </c>
      <c r="D1650" t="s">
        <v>612</v>
      </c>
      <c r="E1650">
        <v>15</v>
      </c>
      <c r="F1650" t="s">
        <v>2</v>
      </c>
      <c r="G1650" t="s">
        <v>4234</v>
      </c>
      <c r="H1650" t="s">
        <v>7436</v>
      </c>
      <c r="I1650" t="s">
        <v>242</v>
      </c>
      <c r="J1650" t="s">
        <v>2503</v>
      </c>
    </row>
    <row r="1651" spans="1:10" x14ac:dyDescent="0.25">
      <c r="A1651" t="s">
        <v>7437</v>
      </c>
      <c r="B1651" s="3">
        <v>46303</v>
      </c>
      <c r="C1651" t="s">
        <v>426</v>
      </c>
      <c r="D1651" t="s">
        <v>357</v>
      </c>
      <c r="E1651">
        <v>17</v>
      </c>
      <c r="F1651" t="s">
        <v>358</v>
      </c>
      <c r="G1651" t="s">
        <v>4228</v>
      </c>
      <c r="H1651" t="s">
        <v>7189</v>
      </c>
      <c r="I1651" t="s">
        <v>42</v>
      </c>
      <c r="J1651" t="s">
        <v>2500</v>
      </c>
    </row>
    <row r="1652" spans="1:10" x14ac:dyDescent="0.25">
      <c r="A1652" t="s">
        <v>7438</v>
      </c>
      <c r="B1652" s="3">
        <v>46303</v>
      </c>
      <c r="C1652" t="s">
        <v>565</v>
      </c>
      <c r="D1652" t="s">
        <v>474</v>
      </c>
      <c r="E1652">
        <v>4</v>
      </c>
      <c r="F1652" t="s">
        <v>2</v>
      </c>
      <c r="G1652" t="s">
        <v>4234</v>
      </c>
      <c r="H1652" t="s">
        <v>7439</v>
      </c>
      <c r="I1652" t="s">
        <v>45</v>
      </c>
      <c r="J1652" t="s">
        <v>2509</v>
      </c>
    </row>
    <row r="1653" spans="1:10" x14ac:dyDescent="0.25">
      <c r="A1653" t="s">
        <v>7440</v>
      </c>
      <c r="B1653" s="3">
        <v>46303</v>
      </c>
      <c r="C1653" t="s">
        <v>340</v>
      </c>
      <c r="D1653" t="s">
        <v>223</v>
      </c>
      <c r="E1653">
        <v>40</v>
      </c>
      <c r="F1653" t="s">
        <v>2</v>
      </c>
      <c r="G1653" t="s">
        <v>4225</v>
      </c>
      <c r="H1653" t="s">
        <v>7441</v>
      </c>
      <c r="I1653" t="s">
        <v>177</v>
      </c>
      <c r="J1653" t="s">
        <v>2509</v>
      </c>
    </row>
    <row r="1654" spans="1:10" x14ac:dyDescent="0.25">
      <c r="A1654" t="s">
        <v>7442</v>
      </c>
      <c r="B1654" s="3">
        <v>46303</v>
      </c>
      <c r="C1654" t="s">
        <v>680</v>
      </c>
      <c r="D1654" t="s">
        <v>582</v>
      </c>
      <c r="E1654">
        <v>25</v>
      </c>
      <c r="F1654" t="s">
        <v>2</v>
      </c>
      <c r="G1654" t="s">
        <v>4234</v>
      </c>
      <c r="H1654" t="s">
        <v>7443</v>
      </c>
      <c r="I1654" t="s">
        <v>93</v>
      </c>
      <c r="J1654" t="s">
        <v>2513</v>
      </c>
    </row>
    <row r="1655" spans="1:10" x14ac:dyDescent="0.25">
      <c r="A1655" t="s">
        <v>7444</v>
      </c>
      <c r="B1655" s="3">
        <v>46303</v>
      </c>
      <c r="C1655" t="s">
        <v>537</v>
      </c>
      <c r="D1655" t="s">
        <v>479</v>
      </c>
      <c r="E1655">
        <v>26</v>
      </c>
      <c r="F1655" t="s">
        <v>469</v>
      </c>
      <c r="G1655" t="s">
        <v>4231</v>
      </c>
      <c r="H1655" t="s">
        <v>6961</v>
      </c>
      <c r="I1655" t="s">
        <v>173</v>
      </c>
      <c r="J1655" t="s">
        <v>2503</v>
      </c>
    </row>
    <row r="1656" spans="1:10" x14ac:dyDescent="0.25">
      <c r="A1656" t="s">
        <v>7445</v>
      </c>
      <c r="B1656" s="3">
        <v>46303</v>
      </c>
      <c r="C1656" t="s">
        <v>655</v>
      </c>
      <c r="D1656" t="s">
        <v>597</v>
      </c>
      <c r="E1656">
        <v>7</v>
      </c>
      <c r="F1656" t="s">
        <v>355</v>
      </c>
      <c r="G1656" t="s">
        <v>4231</v>
      </c>
      <c r="H1656" t="s">
        <v>7446</v>
      </c>
      <c r="I1656" t="s">
        <v>289</v>
      </c>
      <c r="J1656" t="s">
        <v>2513</v>
      </c>
    </row>
    <row r="1657" spans="1:10" x14ac:dyDescent="0.25">
      <c r="A1657" t="s">
        <v>7447</v>
      </c>
      <c r="B1657" s="3">
        <v>46303</v>
      </c>
      <c r="C1657" t="s">
        <v>237</v>
      </c>
      <c r="D1657" t="s">
        <v>234</v>
      </c>
      <c r="E1657">
        <v>11</v>
      </c>
      <c r="F1657" t="s">
        <v>2</v>
      </c>
      <c r="G1657" t="s">
        <v>4222</v>
      </c>
      <c r="H1657" t="s">
        <v>7448</v>
      </c>
      <c r="I1657" t="s">
        <v>193</v>
      </c>
      <c r="J1657" t="s">
        <v>2509</v>
      </c>
    </row>
    <row r="1658" spans="1:10" x14ac:dyDescent="0.25">
      <c r="A1658" t="s">
        <v>7449</v>
      </c>
      <c r="B1658" s="3">
        <v>46303</v>
      </c>
      <c r="C1658" t="s">
        <v>174</v>
      </c>
      <c r="D1658" t="s">
        <v>26</v>
      </c>
      <c r="E1658">
        <v>19</v>
      </c>
      <c r="F1658" t="s">
        <v>2</v>
      </c>
      <c r="G1658" t="s">
        <v>4222</v>
      </c>
      <c r="H1658" t="s">
        <v>7450</v>
      </c>
      <c r="I1658" t="s">
        <v>175</v>
      </c>
      <c r="J1658" t="s">
        <v>2503</v>
      </c>
    </row>
    <row r="1659" spans="1:10" x14ac:dyDescent="0.25">
      <c r="A1659" t="s">
        <v>7451</v>
      </c>
      <c r="B1659" s="3">
        <v>46303</v>
      </c>
      <c r="C1659" t="s">
        <v>254</v>
      </c>
      <c r="D1659" t="s">
        <v>213</v>
      </c>
      <c r="E1659">
        <v>8</v>
      </c>
      <c r="F1659" t="s">
        <v>2</v>
      </c>
      <c r="G1659" t="s">
        <v>4231</v>
      </c>
      <c r="H1659" t="s">
        <v>7452</v>
      </c>
      <c r="I1659" t="s">
        <v>59</v>
      </c>
      <c r="J1659" t="s">
        <v>2513</v>
      </c>
    </row>
    <row r="1660" spans="1:10" x14ac:dyDescent="0.25">
      <c r="A1660" t="s">
        <v>7453</v>
      </c>
      <c r="B1660" s="3">
        <v>46303</v>
      </c>
      <c r="C1660" t="s">
        <v>306</v>
      </c>
      <c r="D1660" t="s">
        <v>223</v>
      </c>
      <c r="E1660">
        <v>22</v>
      </c>
      <c r="F1660" t="s">
        <v>2</v>
      </c>
      <c r="G1660" t="s">
        <v>4225</v>
      </c>
      <c r="H1660" t="s">
        <v>7454</v>
      </c>
      <c r="I1660" t="s">
        <v>274</v>
      </c>
      <c r="J1660" t="s">
        <v>2509</v>
      </c>
    </row>
    <row r="1661" spans="1:10" x14ac:dyDescent="0.25">
      <c r="A1661" t="s">
        <v>7455</v>
      </c>
      <c r="B1661" s="3">
        <v>46303</v>
      </c>
      <c r="C1661" t="s">
        <v>214</v>
      </c>
      <c r="D1661" t="s">
        <v>210</v>
      </c>
      <c r="E1661">
        <v>3</v>
      </c>
      <c r="F1661" t="s">
        <v>2</v>
      </c>
      <c r="G1661" t="s">
        <v>4234</v>
      </c>
      <c r="H1661" t="s">
        <v>7456</v>
      </c>
      <c r="I1661" t="s">
        <v>100</v>
      </c>
      <c r="J1661" t="s">
        <v>2509</v>
      </c>
    </row>
    <row r="1662" spans="1:10" x14ac:dyDescent="0.25">
      <c r="A1662" t="s">
        <v>7457</v>
      </c>
      <c r="B1662" s="3">
        <v>46303</v>
      </c>
      <c r="C1662" t="s">
        <v>290</v>
      </c>
      <c r="D1662" t="s">
        <v>210</v>
      </c>
      <c r="E1662">
        <v>45</v>
      </c>
      <c r="F1662" t="s">
        <v>2</v>
      </c>
      <c r="G1662" t="s">
        <v>4228</v>
      </c>
      <c r="H1662" t="s">
        <v>7458</v>
      </c>
      <c r="I1662" t="s">
        <v>124</v>
      </c>
      <c r="J1662" t="s">
        <v>2500</v>
      </c>
    </row>
    <row r="1663" spans="1:10" x14ac:dyDescent="0.25">
      <c r="A1663" t="s">
        <v>7459</v>
      </c>
      <c r="B1663" s="3">
        <v>46303</v>
      </c>
      <c r="C1663" t="s">
        <v>400</v>
      </c>
      <c r="D1663" t="s">
        <v>349</v>
      </c>
      <c r="E1663">
        <v>21</v>
      </c>
      <c r="F1663" t="s">
        <v>2</v>
      </c>
      <c r="G1663" t="s">
        <v>4228</v>
      </c>
      <c r="H1663" t="s">
        <v>7460</v>
      </c>
      <c r="I1663" t="s">
        <v>171</v>
      </c>
      <c r="J1663" t="s">
        <v>2500</v>
      </c>
    </row>
    <row r="1664" spans="1:10" x14ac:dyDescent="0.25">
      <c r="A1664" t="s">
        <v>7461</v>
      </c>
      <c r="B1664" s="3">
        <v>46303</v>
      </c>
      <c r="C1664" t="s">
        <v>299</v>
      </c>
      <c r="D1664" t="s">
        <v>216</v>
      </c>
      <c r="E1664">
        <v>50</v>
      </c>
      <c r="F1664" t="s">
        <v>2</v>
      </c>
      <c r="G1664" t="s">
        <v>4228</v>
      </c>
      <c r="H1664" t="s">
        <v>7462</v>
      </c>
      <c r="I1664" t="s">
        <v>155</v>
      </c>
      <c r="J1664" t="s">
        <v>2503</v>
      </c>
    </row>
    <row r="1665" spans="1:10" x14ac:dyDescent="0.25">
      <c r="A1665" t="s">
        <v>7463</v>
      </c>
      <c r="B1665" s="3">
        <v>46303</v>
      </c>
      <c r="C1665" t="s">
        <v>275</v>
      </c>
      <c r="D1665" t="s">
        <v>218</v>
      </c>
      <c r="E1665">
        <v>46</v>
      </c>
      <c r="F1665" t="s">
        <v>2</v>
      </c>
      <c r="G1665" t="s">
        <v>4228</v>
      </c>
      <c r="H1665" t="s">
        <v>7464</v>
      </c>
      <c r="I1665" t="s">
        <v>259</v>
      </c>
      <c r="J1665" t="s">
        <v>2509</v>
      </c>
    </row>
    <row r="1666" spans="1:10" x14ac:dyDescent="0.25">
      <c r="A1666" t="s">
        <v>7465</v>
      </c>
      <c r="B1666" s="3">
        <v>46303</v>
      </c>
      <c r="C1666" t="s">
        <v>97</v>
      </c>
      <c r="D1666" t="s">
        <v>1</v>
      </c>
      <c r="E1666">
        <v>6</v>
      </c>
      <c r="F1666" t="s">
        <v>2</v>
      </c>
      <c r="G1666" t="s">
        <v>4228</v>
      </c>
      <c r="H1666" t="s">
        <v>7466</v>
      </c>
      <c r="I1666" t="s">
        <v>98</v>
      </c>
      <c r="J1666" t="s">
        <v>2500</v>
      </c>
    </row>
    <row r="1667" spans="1:10" x14ac:dyDescent="0.25">
      <c r="A1667" t="s">
        <v>7467</v>
      </c>
      <c r="B1667" s="3">
        <v>46303</v>
      </c>
      <c r="C1667" t="s">
        <v>99</v>
      </c>
      <c r="D1667" t="s">
        <v>26</v>
      </c>
      <c r="E1667">
        <v>8</v>
      </c>
      <c r="F1667" t="s">
        <v>2</v>
      </c>
      <c r="G1667" t="s">
        <v>4234</v>
      </c>
      <c r="H1667" t="s">
        <v>7468</v>
      </c>
      <c r="I1667" t="s">
        <v>100</v>
      </c>
      <c r="J1667" t="s">
        <v>2509</v>
      </c>
    </row>
    <row r="1668" spans="1:10" x14ac:dyDescent="0.25">
      <c r="A1668" t="s">
        <v>7469</v>
      </c>
      <c r="B1668" s="3">
        <v>46304</v>
      </c>
      <c r="C1668" t="s">
        <v>196</v>
      </c>
      <c r="D1668" t="s">
        <v>47</v>
      </c>
      <c r="E1668">
        <v>21</v>
      </c>
      <c r="F1668" t="s">
        <v>2</v>
      </c>
      <c r="G1668" t="s">
        <v>4222</v>
      </c>
      <c r="H1668" t="s">
        <v>7470</v>
      </c>
      <c r="I1668" t="s">
        <v>164</v>
      </c>
      <c r="J1668" t="s">
        <v>2500</v>
      </c>
    </row>
    <row r="1669" spans="1:10" x14ac:dyDescent="0.25">
      <c r="A1669" t="s">
        <v>7471</v>
      </c>
      <c r="B1669" s="3">
        <v>46304</v>
      </c>
      <c r="C1669" t="s">
        <v>510</v>
      </c>
      <c r="D1669" t="s">
        <v>479</v>
      </c>
      <c r="E1669">
        <v>32</v>
      </c>
      <c r="F1669" t="s">
        <v>469</v>
      </c>
      <c r="G1669" t="s">
        <v>4222</v>
      </c>
      <c r="H1669" t="s">
        <v>7472</v>
      </c>
      <c r="I1669" t="s">
        <v>117</v>
      </c>
      <c r="J1669" t="s">
        <v>2509</v>
      </c>
    </row>
    <row r="1670" spans="1:10" x14ac:dyDescent="0.25">
      <c r="A1670" t="s">
        <v>7473</v>
      </c>
      <c r="B1670" s="3">
        <v>46304</v>
      </c>
      <c r="C1670" t="s">
        <v>172</v>
      </c>
      <c r="D1670" t="s">
        <v>26</v>
      </c>
      <c r="E1670">
        <v>19</v>
      </c>
      <c r="F1670" t="s">
        <v>2</v>
      </c>
      <c r="G1670" t="s">
        <v>4225</v>
      </c>
      <c r="H1670" t="s">
        <v>7474</v>
      </c>
      <c r="I1670" t="s">
        <v>173</v>
      </c>
      <c r="J1670" t="s">
        <v>2500</v>
      </c>
    </row>
    <row r="1671" spans="1:10" x14ac:dyDescent="0.25">
      <c r="A1671" t="s">
        <v>7475</v>
      </c>
      <c r="B1671" s="3">
        <v>46304</v>
      </c>
      <c r="C1671" t="s">
        <v>341</v>
      </c>
      <c r="D1671" t="s">
        <v>234</v>
      </c>
      <c r="E1671">
        <v>30</v>
      </c>
      <c r="F1671" t="s">
        <v>2</v>
      </c>
      <c r="G1671" t="s">
        <v>4222</v>
      </c>
      <c r="H1671" t="s">
        <v>7476</v>
      </c>
      <c r="I1671" t="s">
        <v>161</v>
      </c>
      <c r="J1671" t="s">
        <v>2513</v>
      </c>
    </row>
    <row r="1672" spans="1:10" x14ac:dyDescent="0.25">
      <c r="A1672" t="s">
        <v>7477</v>
      </c>
      <c r="B1672" s="3">
        <v>46304</v>
      </c>
      <c r="C1672" t="s">
        <v>207</v>
      </c>
      <c r="D1672" t="s">
        <v>29</v>
      </c>
      <c r="E1672">
        <v>55</v>
      </c>
      <c r="F1672" t="s">
        <v>2</v>
      </c>
      <c r="G1672" t="s">
        <v>4228</v>
      </c>
      <c r="H1672" t="s">
        <v>7478</v>
      </c>
      <c r="I1672" t="s">
        <v>208</v>
      </c>
      <c r="J1672" t="s">
        <v>2509</v>
      </c>
    </row>
    <row r="1673" spans="1:10" x14ac:dyDescent="0.25">
      <c r="A1673" t="s">
        <v>7479</v>
      </c>
      <c r="B1673" s="3">
        <v>46304</v>
      </c>
      <c r="C1673" t="s">
        <v>537</v>
      </c>
      <c r="D1673" t="s">
        <v>479</v>
      </c>
      <c r="E1673">
        <v>20</v>
      </c>
      <c r="F1673" t="s">
        <v>469</v>
      </c>
      <c r="G1673" t="s">
        <v>4228</v>
      </c>
      <c r="H1673" t="s">
        <v>7480</v>
      </c>
      <c r="I1673" t="s">
        <v>173</v>
      </c>
      <c r="J1673" t="s">
        <v>2503</v>
      </c>
    </row>
    <row r="1674" spans="1:10" x14ac:dyDescent="0.25">
      <c r="A1674" t="s">
        <v>7481</v>
      </c>
      <c r="B1674" s="3">
        <v>46304</v>
      </c>
      <c r="C1674" t="s">
        <v>422</v>
      </c>
      <c r="D1674" t="s">
        <v>360</v>
      </c>
      <c r="E1674">
        <v>38</v>
      </c>
      <c r="F1674" t="s">
        <v>358</v>
      </c>
      <c r="G1674" t="s">
        <v>4228</v>
      </c>
      <c r="H1674" t="s">
        <v>7482</v>
      </c>
      <c r="I1674" t="s">
        <v>423</v>
      </c>
      <c r="J1674" t="s">
        <v>2503</v>
      </c>
    </row>
    <row r="1675" spans="1:10" x14ac:dyDescent="0.25">
      <c r="A1675" t="s">
        <v>7483</v>
      </c>
      <c r="B1675" s="3">
        <v>46304</v>
      </c>
      <c r="C1675" t="s">
        <v>436</v>
      </c>
      <c r="D1675" t="s">
        <v>366</v>
      </c>
      <c r="E1675">
        <v>25</v>
      </c>
      <c r="F1675" t="s">
        <v>2</v>
      </c>
      <c r="G1675" t="s">
        <v>4222</v>
      </c>
      <c r="H1675" t="s">
        <v>7484</v>
      </c>
      <c r="I1675" t="s">
        <v>19</v>
      </c>
      <c r="J1675" t="s">
        <v>2500</v>
      </c>
    </row>
    <row r="1676" spans="1:10" x14ac:dyDescent="0.25">
      <c r="A1676" t="s">
        <v>7485</v>
      </c>
      <c r="B1676" s="3">
        <v>46304</v>
      </c>
      <c r="C1676" t="s">
        <v>342</v>
      </c>
      <c r="D1676" t="s">
        <v>240</v>
      </c>
      <c r="E1676">
        <v>32</v>
      </c>
      <c r="F1676" t="s">
        <v>2</v>
      </c>
      <c r="G1676" t="s">
        <v>4222</v>
      </c>
      <c r="H1676" t="s">
        <v>6803</v>
      </c>
      <c r="I1676" t="s">
        <v>195</v>
      </c>
      <c r="J1676" t="s">
        <v>2513</v>
      </c>
    </row>
    <row r="1677" spans="1:10" x14ac:dyDescent="0.25">
      <c r="A1677" t="s">
        <v>7486</v>
      </c>
      <c r="B1677" s="3">
        <v>46304</v>
      </c>
      <c r="C1677" t="s">
        <v>514</v>
      </c>
      <c r="D1677" t="s">
        <v>467</v>
      </c>
      <c r="E1677">
        <v>51</v>
      </c>
      <c r="F1677" t="s">
        <v>469</v>
      </c>
      <c r="G1677" t="s">
        <v>4225</v>
      </c>
      <c r="H1677" t="s">
        <v>7487</v>
      </c>
      <c r="I1677" t="s">
        <v>310</v>
      </c>
      <c r="J1677" t="s">
        <v>2513</v>
      </c>
    </row>
    <row r="1678" spans="1:10" x14ac:dyDescent="0.25">
      <c r="A1678" t="s">
        <v>7488</v>
      </c>
      <c r="B1678" s="3">
        <v>46304</v>
      </c>
      <c r="C1678" t="s">
        <v>506</v>
      </c>
      <c r="D1678" t="s">
        <v>471</v>
      </c>
      <c r="E1678">
        <v>29</v>
      </c>
      <c r="F1678" t="s">
        <v>355</v>
      </c>
      <c r="G1678" t="s">
        <v>4222</v>
      </c>
      <c r="H1678" t="s">
        <v>7489</v>
      </c>
      <c r="I1678" t="s">
        <v>34</v>
      </c>
      <c r="J1678" t="s">
        <v>2500</v>
      </c>
    </row>
    <row r="1679" spans="1:10" x14ac:dyDescent="0.25">
      <c r="A1679" t="s">
        <v>7490</v>
      </c>
      <c r="B1679" s="3">
        <v>46304</v>
      </c>
      <c r="C1679" t="s">
        <v>167</v>
      </c>
      <c r="D1679" t="s">
        <v>26</v>
      </c>
      <c r="E1679">
        <v>9</v>
      </c>
      <c r="F1679" t="s">
        <v>2</v>
      </c>
      <c r="G1679" t="s">
        <v>4222</v>
      </c>
      <c r="H1679" t="s">
        <v>7491</v>
      </c>
      <c r="I1679" t="s">
        <v>64</v>
      </c>
      <c r="J1679" t="s">
        <v>2513</v>
      </c>
    </row>
    <row r="1680" spans="1:10" x14ac:dyDescent="0.25">
      <c r="A1680" t="s">
        <v>7492</v>
      </c>
      <c r="B1680" s="3">
        <v>46304</v>
      </c>
      <c r="C1680" t="s">
        <v>526</v>
      </c>
      <c r="D1680" t="s">
        <v>476</v>
      </c>
      <c r="E1680">
        <v>49</v>
      </c>
      <c r="F1680" t="s">
        <v>477</v>
      </c>
      <c r="G1680" t="s">
        <v>4231</v>
      </c>
      <c r="H1680" t="s">
        <v>7493</v>
      </c>
      <c r="I1680" t="s">
        <v>75</v>
      </c>
      <c r="J1680" t="s">
        <v>2503</v>
      </c>
    </row>
    <row r="1681" spans="1:10" x14ac:dyDescent="0.25">
      <c r="A1681" t="s">
        <v>7494</v>
      </c>
      <c r="B1681" s="3">
        <v>46304</v>
      </c>
      <c r="C1681" t="s">
        <v>136</v>
      </c>
      <c r="D1681" t="s">
        <v>21</v>
      </c>
      <c r="E1681">
        <v>15</v>
      </c>
      <c r="F1681" t="s">
        <v>2</v>
      </c>
      <c r="G1681" t="s">
        <v>4228</v>
      </c>
      <c r="H1681" t="s">
        <v>7495</v>
      </c>
      <c r="I1681" t="s">
        <v>83</v>
      </c>
      <c r="J1681" t="s">
        <v>2509</v>
      </c>
    </row>
    <row r="1682" spans="1:10" x14ac:dyDescent="0.25">
      <c r="A1682" t="s">
        <v>7496</v>
      </c>
      <c r="B1682" s="3">
        <v>46304</v>
      </c>
      <c r="C1682" t="s">
        <v>451</v>
      </c>
      <c r="D1682" t="s">
        <v>351</v>
      </c>
      <c r="E1682">
        <v>19</v>
      </c>
      <c r="F1682" t="s">
        <v>2</v>
      </c>
      <c r="G1682" t="s">
        <v>4234</v>
      </c>
      <c r="H1682" t="s">
        <v>7497</v>
      </c>
      <c r="I1682" t="s">
        <v>185</v>
      </c>
      <c r="J1682" t="s">
        <v>2500</v>
      </c>
    </row>
    <row r="1683" spans="1:10" x14ac:dyDescent="0.25">
      <c r="A1683" t="s">
        <v>7498</v>
      </c>
      <c r="B1683" s="3">
        <v>46304</v>
      </c>
      <c r="C1683" t="s">
        <v>319</v>
      </c>
      <c r="D1683" t="s">
        <v>234</v>
      </c>
      <c r="E1683">
        <v>42</v>
      </c>
      <c r="F1683" t="s">
        <v>2</v>
      </c>
      <c r="G1683" t="s">
        <v>4234</v>
      </c>
      <c r="H1683" t="s">
        <v>7499</v>
      </c>
      <c r="I1683" t="s">
        <v>287</v>
      </c>
      <c r="J1683" t="s">
        <v>2513</v>
      </c>
    </row>
    <row r="1684" spans="1:10" x14ac:dyDescent="0.25">
      <c r="A1684" t="s">
        <v>7500</v>
      </c>
      <c r="B1684" s="3">
        <v>46304</v>
      </c>
      <c r="C1684" t="s">
        <v>145</v>
      </c>
      <c r="D1684" t="s">
        <v>26</v>
      </c>
      <c r="E1684">
        <v>27</v>
      </c>
      <c r="F1684" t="s">
        <v>2</v>
      </c>
      <c r="G1684" t="s">
        <v>4225</v>
      </c>
      <c r="H1684" t="s">
        <v>7501</v>
      </c>
      <c r="I1684" t="s">
        <v>59</v>
      </c>
      <c r="J1684" t="s">
        <v>2503</v>
      </c>
    </row>
    <row r="1685" spans="1:10" x14ac:dyDescent="0.25">
      <c r="A1685" t="s">
        <v>7502</v>
      </c>
      <c r="B1685" s="3">
        <v>46304</v>
      </c>
      <c r="C1685" t="s">
        <v>340</v>
      </c>
      <c r="D1685" t="s">
        <v>223</v>
      </c>
      <c r="E1685">
        <v>12</v>
      </c>
      <c r="F1685" t="s">
        <v>2</v>
      </c>
      <c r="G1685" t="s">
        <v>4222</v>
      </c>
      <c r="H1685" t="s">
        <v>7503</v>
      </c>
      <c r="I1685" t="s">
        <v>177</v>
      </c>
      <c r="J1685" t="s">
        <v>2513</v>
      </c>
    </row>
    <row r="1686" spans="1:10" x14ac:dyDescent="0.25">
      <c r="A1686" t="s">
        <v>7504</v>
      </c>
      <c r="B1686" s="3">
        <v>46304</v>
      </c>
      <c r="C1686" t="s">
        <v>603</v>
      </c>
      <c r="D1686" t="s">
        <v>594</v>
      </c>
      <c r="E1686">
        <v>50</v>
      </c>
      <c r="F1686" t="s">
        <v>595</v>
      </c>
      <c r="G1686" t="s">
        <v>4234</v>
      </c>
      <c r="H1686" t="s">
        <v>7505</v>
      </c>
      <c r="I1686" t="s">
        <v>45</v>
      </c>
      <c r="J1686" t="s">
        <v>2500</v>
      </c>
    </row>
    <row r="1687" spans="1:10" x14ac:dyDescent="0.25">
      <c r="A1687" t="s">
        <v>7506</v>
      </c>
      <c r="B1687" s="3">
        <v>46304</v>
      </c>
      <c r="C1687" t="s">
        <v>545</v>
      </c>
      <c r="D1687" t="s">
        <v>502</v>
      </c>
      <c r="E1687">
        <v>32</v>
      </c>
      <c r="F1687" t="s">
        <v>469</v>
      </c>
      <c r="G1687" t="s">
        <v>4225</v>
      </c>
      <c r="H1687" t="s">
        <v>7507</v>
      </c>
      <c r="I1687" t="s">
        <v>183</v>
      </c>
      <c r="J1687" t="s">
        <v>2509</v>
      </c>
    </row>
    <row r="1688" spans="1:10" x14ac:dyDescent="0.25">
      <c r="A1688" t="s">
        <v>7508</v>
      </c>
      <c r="B1688" s="3">
        <v>46304</v>
      </c>
      <c r="C1688" t="s">
        <v>347</v>
      </c>
      <c r="D1688" t="s">
        <v>344</v>
      </c>
      <c r="E1688">
        <v>47</v>
      </c>
      <c r="F1688" t="s">
        <v>346</v>
      </c>
      <c r="G1688" t="s">
        <v>4234</v>
      </c>
      <c r="H1688" t="s">
        <v>7509</v>
      </c>
      <c r="I1688" t="s">
        <v>185</v>
      </c>
      <c r="J1688" t="s">
        <v>2503</v>
      </c>
    </row>
    <row r="1689" spans="1:10" x14ac:dyDescent="0.25">
      <c r="A1689" t="s">
        <v>7510</v>
      </c>
      <c r="B1689" s="3">
        <v>46304</v>
      </c>
      <c r="C1689" t="s">
        <v>422</v>
      </c>
      <c r="D1689" t="s">
        <v>360</v>
      </c>
      <c r="E1689">
        <v>35</v>
      </c>
      <c r="F1689" t="s">
        <v>358</v>
      </c>
      <c r="G1689" t="s">
        <v>4222</v>
      </c>
      <c r="H1689" t="s">
        <v>7511</v>
      </c>
      <c r="I1689" t="s">
        <v>423</v>
      </c>
      <c r="J1689" t="s">
        <v>2500</v>
      </c>
    </row>
    <row r="1690" spans="1:10" x14ac:dyDescent="0.25">
      <c r="A1690" t="s">
        <v>7512</v>
      </c>
      <c r="B1690" s="3">
        <v>46304</v>
      </c>
      <c r="C1690" t="s">
        <v>303</v>
      </c>
      <c r="D1690" t="s">
        <v>261</v>
      </c>
      <c r="E1690">
        <v>51</v>
      </c>
      <c r="F1690" t="s">
        <v>2</v>
      </c>
      <c r="G1690" t="s">
        <v>4228</v>
      </c>
      <c r="H1690" t="s">
        <v>7513</v>
      </c>
      <c r="I1690" t="s">
        <v>67</v>
      </c>
      <c r="J1690" t="s">
        <v>2509</v>
      </c>
    </row>
    <row r="1691" spans="1:10" x14ac:dyDescent="0.25">
      <c r="A1691" t="s">
        <v>7514</v>
      </c>
      <c r="B1691" s="3">
        <v>46304</v>
      </c>
      <c r="C1691" t="s">
        <v>137</v>
      </c>
      <c r="D1691" t="s">
        <v>44</v>
      </c>
      <c r="E1691">
        <v>14</v>
      </c>
      <c r="F1691" t="s">
        <v>2</v>
      </c>
      <c r="G1691" t="s">
        <v>4228</v>
      </c>
      <c r="H1691" t="s">
        <v>7515</v>
      </c>
      <c r="I1691" t="s">
        <v>38</v>
      </c>
      <c r="J1691" t="s">
        <v>2503</v>
      </c>
    </row>
    <row r="1692" spans="1:10" x14ac:dyDescent="0.25">
      <c r="A1692" t="s">
        <v>7516</v>
      </c>
      <c r="B1692" s="3">
        <v>46304</v>
      </c>
      <c r="C1692" t="s">
        <v>508</v>
      </c>
      <c r="D1692" t="s">
        <v>476</v>
      </c>
      <c r="E1692">
        <v>8</v>
      </c>
      <c r="F1692" t="s">
        <v>477</v>
      </c>
      <c r="G1692" t="s">
        <v>4234</v>
      </c>
      <c r="H1692" t="s">
        <v>7517</v>
      </c>
      <c r="I1692" t="s">
        <v>89</v>
      </c>
      <c r="J1692" t="s">
        <v>2509</v>
      </c>
    </row>
    <row r="1693" spans="1:10" x14ac:dyDescent="0.25">
      <c r="A1693" t="s">
        <v>7518</v>
      </c>
      <c r="B1693" s="3">
        <v>46304</v>
      </c>
      <c r="C1693" t="s">
        <v>167</v>
      </c>
      <c r="D1693" t="s">
        <v>26</v>
      </c>
      <c r="E1693">
        <v>16</v>
      </c>
      <c r="F1693" t="s">
        <v>2</v>
      </c>
      <c r="G1693" t="s">
        <v>4231</v>
      </c>
      <c r="H1693" t="s">
        <v>7519</v>
      </c>
      <c r="I1693" t="s">
        <v>64</v>
      </c>
      <c r="J1693" t="s">
        <v>2509</v>
      </c>
    </row>
    <row r="1694" spans="1:10" x14ac:dyDescent="0.25">
      <c r="A1694" t="s">
        <v>7520</v>
      </c>
      <c r="B1694" s="3">
        <v>46304</v>
      </c>
      <c r="C1694" t="s">
        <v>425</v>
      </c>
      <c r="D1694" t="s">
        <v>378</v>
      </c>
      <c r="E1694">
        <v>32</v>
      </c>
      <c r="F1694" t="s">
        <v>2</v>
      </c>
      <c r="G1694" t="s">
        <v>4228</v>
      </c>
      <c r="H1694" t="s">
        <v>7521</v>
      </c>
      <c r="I1694" t="s">
        <v>423</v>
      </c>
      <c r="J1694" t="s">
        <v>2513</v>
      </c>
    </row>
    <row r="1695" spans="1:10" x14ac:dyDescent="0.25">
      <c r="A1695" t="s">
        <v>7522</v>
      </c>
      <c r="B1695" s="3">
        <v>46304</v>
      </c>
      <c r="C1695" t="s">
        <v>432</v>
      </c>
      <c r="D1695" t="s">
        <v>351</v>
      </c>
      <c r="E1695">
        <v>50</v>
      </c>
      <c r="F1695" t="s">
        <v>2</v>
      </c>
      <c r="G1695" t="s">
        <v>4234</v>
      </c>
      <c r="H1695" t="s">
        <v>7523</v>
      </c>
      <c r="I1695" t="s">
        <v>314</v>
      </c>
      <c r="J1695" t="s">
        <v>2500</v>
      </c>
    </row>
    <row r="1696" spans="1:10" x14ac:dyDescent="0.25">
      <c r="A1696" t="s">
        <v>7524</v>
      </c>
      <c r="B1696" s="3">
        <v>46304</v>
      </c>
      <c r="C1696" t="s">
        <v>544</v>
      </c>
      <c r="D1696" t="s">
        <v>488</v>
      </c>
      <c r="E1696">
        <v>30</v>
      </c>
      <c r="F1696" t="s">
        <v>469</v>
      </c>
      <c r="G1696" t="s">
        <v>4231</v>
      </c>
      <c r="H1696" t="s">
        <v>7525</v>
      </c>
      <c r="I1696" t="s">
        <v>219</v>
      </c>
      <c r="J1696" t="s">
        <v>2500</v>
      </c>
    </row>
    <row r="1697" spans="1:10" x14ac:dyDescent="0.25">
      <c r="A1697" t="s">
        <v>7526</v>
      </c>
      <c r="B1697" s="3">
        <v>46304</v>
      </c>
      <c r="C1697" t="s">
        <v>461</v>
      </c>
      <c r="D1697" t="s">
        <v>344</v>
      </c>
      <c r="E1697">
        <v>2</v>
      </c>
      <c r="F1697" t="s">
        <v>346</v>
      </c>
      <c r="G1697" t="s">
        <v>4225</v>
      </c>
      <c r="H1697" t="s">
        <v>7527</v>
      </c>
      <c r="I1697" t="s">
        <v>219</v>
      </c>
      <c r="J1697" t="s">
        <v>2509</v>
      </c>
    </row>
    <row r="1698" spans="1:10" x14ac:dyDescent="0.25">
      <c r="A1698" t="s">
        <v>7528</v>
      </c>
      <c r="B1698" s="3">
        <v>46304</v>
      </c>
      <c r="C1698" t="s">
        <v>618</v>
      </c>
      <c r="D1698" t="s">
        <v>587</v>
      </c>
      <c r="E1698">
        <v>35</v>
      </c>
      <c r="F1698" t="s">
        <v>2</v>
      </c>
      <c r="G1698" t="s">
        <v>4231</v>
      </c>
      <c r="H1698" t="s">
        <v>7529</v>
      </c>
      <c r="I1698" t="s">
        <v>79</v>
      </c>
      <c r="J1698" t="s">
        <v>2513</v>
      </c>
    </row>
    <row r="1699" spans="1:10" x14ac:dyDescent="0.25">
      <c r="A1699" t="s">
        <v>7530</v>
      </c>
      <c r="B1699" s="3">
        <v>46304</v>
      </c>
      <c r="C1699" t="s">
        <v>547</v>
      </c>
      <c r="D1699" t="s">
        <v>481</v>
      </c>
      <c r="E1699">
        <v>10</v>
      </c>
      <c r="F1699" t="s">
        <v>2</v>
      </c>
      <c r="G1699" t="s">
        <v>4222</v>
      </c>
      <c r="H1699" t="s">
        <v>7531</v>
      </c>
      <c r="I1699" t="s">
        <v>69</v>
      </c>
      <c r="J1699" t="s">
        <v>2513</v>
      </c>
    </row>
    <row r="1700" spans="1:10" x14ac:dyDescent="0.25">
      <c r="A1700" t="s">
        <v>7532</v>
      </c>
      <c r="B1700" s="3">
        <v>46304</v>
      </c>
      <c r="C1700" t="s">
        <v>157</v>
      </c>
      <c r="D1700" t="s">
        <v>44</v>
      </c>
      <c r="E1700">
        <v>39</v>
      </c>
      <c r="F1700" t="s">
        <v>2</v>
      </c>
      <c r="G1700" t="s">
        <v>4222</v>
      </c>
      <c r="H1700" t="s">
        <v>7533</v>
      </c>
      <c r="I1700" t="s">
        <v>158</v>
      </c>
      <c r="J1700" t="s">
        <v>2509</v>
      </c>
    </row>
    <row r="1701" spans="1:10" x14ac:dyDescent="0.25">
      <c r="A1701" t="s">
        <v>7534</v>
      </c>
      <c r="B1701" s="3">
        <v>46304</v>
      </c>
      <c r="C1701" t="s">
        <v>220</v>
      </c>
      <c r="D1701" t="s">
        <v>216</v>
      </c>
      <c r="E1701">
        <v>51</v>
      </c>
      <c r="F1701" t="s">
        <v>2</v>
      </c>
      <c r="G1701" t="s">
        <v>4228</v>
      </c>
      <c r="H1701" t="s">
        <v>7535</v>
      </c>
      <c r="I1701" t="s">
        <v>221</v>
      </c>
      <c r="J1701" t="s">
        <v>2509</v>
      </c>
    </row>
    <row r="1702" spans="1:10" x14ac:dyDescent="0.25">
      <c r="A1702" t="s">
        <v>7536</v>
      </c>
      <c r="B1702" s="3">
        <v>46304</v>
      </c>
      <c r="C1702" t="s">
        <v>151</v>
      </c>
      <c r="D1702" t="s">
        <v>44</v>
      </c>
      <c r="E1702">
        <v>1</v>
      </c>
      <c r="F1702" t="s">
        <v>2</v>
      </c>
      <c r="G1702" t="s">
        <v>4228</v>
      </c>
      <c r="H1702" t="s">
        <v>7537</v>
      </c>
      <c r="I1702" t="s">
        <v>152</v>
      </c>
      <c r="J1702" t="s">
        <v>2513</v>
      </c>
    </row>
    <row r="1703" spans="1:10" x14ac:dyDescent="0.25">
      <c r="A1703" t="s">
        <v>7538</v>
      </c>
      <c r="B1703" s="3">
        <v>46304</v>
      </c>
      <c r="C1703" t="s">
        <v>80</v>
      </c>
      <c r="D1703" t="s">
        <v>54</v>
      </c>
      <c r="E1703">
        <v>7</v>
      </c>
      <c r="F1703" t="s">
        <v>2</v>
      </c>
      <c r="G1703" t="s">
        <v>4231</v>
      </c>
      <c r="H1703" t="s">
        <v>7539</v>
      </c>
      <c r="I1703" t="s">
        <v>83</v>
      </c>
      <c r="J1703" t="s">
        <v>2500</v>
      </c>
    </row>
    <row r="1704" spans="1:10" x14ac:dyDescent="0.25">
      <c r="A1704" t="s">
        <v>7540</v>
      </c>
      <c r="B1704" s="3">
        <v>46304</v>
      </c>
      <c r="C1704" t="s">
        <v>451</v>
      </c>
      <c r="D1704" t="s">
        <v>351</v>
      </c>
      <c r="E1704">
        <v>54</v>
      </c>
      <c r="F1704" t="s">
        <v>2</v>
      </c>
      <c r="G1704" t="s">
        <v>4231</v>
      </c>
      <c r="H1704" t="s">
        <v>7541</v>
      </c>
      <c r="I1704" t="s">
        <v>185</v>
      </c>
      <c r="J1704" t="s">
        <v>2509</v>
      </c>
    </row>
    <row r="1705" spans="1:10" x14ac:dyDescent="0.25">
      <c r="A1705" t="s">
        <v>7542</v>
      </c>
      <c r="B1705" s="3">
        <v>46304</v>
      </c>
      <c r="C1705" t="s">
        <v>187</v>
      </c>
      <c r="D1705" t="s">
        <v>54</v>
      </c>
      <c r="E1705">
        <v>40</v>
      </c>
      <c r="F1705" t="s">
        <v>2</v>
      </c>
      <c r="G1705" t="s">
        <v>4222</v>
      </c>
      <c r="H1705" t="s">
        <v>7543</v>
      </c>
      <c r="I1705" t="s">
        <v>110</v>
      </c>
      <c r="J1705" t="s">
        <v>2500</v>
      </c>
    </row>
    <row r="1706" spans="1:10" x14ac:dyDescent="0.25">
      <c r="A1706" t="s">
        <v>7544</v>
      </c>
      <c r="B1706" s="3">
        <v>46304</v>
      </c>
      <c r="C1706" t="s">
        <v>336</v>
      </c>
      <c r="D1706" t="s">
        <v>227</v>
      </c>
      <c r="E1706">
        <v>3</v>
      </c>
      <c r="F1706" t="s">
        <v>2</v>
      </c>
      <c r="G1706" t="s">
        <v>4234</v>
      </c>
      <c r="H1706" t="s">
        <v>7545</v>
      </c>
      <c r="I1706" t="s">
        <v>330</v>
      </c>
      <c r="J1706" t="s">
        <v>2513</v>
      </c>
    </row>
    <row r="1707" spans="1:10" x14ac:dyDescent="0.25">
      <c r="A1707" t="s">
        <v>7546</v>
      </c>
      <c r="B1707" s="3">
        <v>46304</v>
      </c>
      <c r="C1707" t="s">
        <v>170</v>
      </c>
      <c r="D1707" t="s">
        <v>66</v>
      </c>
      <c r="E1707">
        <v>19</v>
      </c>
      <c r="F1707" t="s">
        <v>2</v>
      </c>
      <c r="G1707" t="s">
        <v>4225</v>
      </c>
      <c r="H1707" t="s">
        <v>7547</v>
      </c>
      <c r="I1707" t="s">
        <v>171</v>
      </c>
      <c r="J1707" t="s">
        <v>2513</v>
      </c>
    </row>
    <row r="1708" spans="1:10" x14ac:dyDescent="0.25">
      <c r="A1708" t="s">
        <v>7548</v>
      </c>
      <c r="B1708" s="3">
        <v>46304</v>
      </c>
      <c r="C1708" t="s">
        <v>390</v>
      </c>
      <c r="D1708" t="s">
        <v>378</v>
      </c>
      <c r="E1708">
        <v>54</v>
      </c>
      <c r="F1708" t="s">
        <v>2</v>
      </c>
      <c r="G1708" t="s">
        <v>4234</v>
      </c>
      <c r="H1708" t="s">
        <v>7549</v>
      </c>
      <c r="I1708" t="s">
        <v>206</v>
      </c>
      <c r="J1708" t="s">
        <v>2509</v>
      </c>
    </row>
    <row r="1709" spans="1:10" x14ac:dyDescent="0.25">
      <c r="A1709" t="s">
        <v>7550</v>
      </c>
      <c r="B1709" s="3">
        <v>46304</v>
      </c>
      <c r="C1709" t="s">
        <v>398</v>
      </c>
      <c r="D1709" t="s">
        <v>344</v>
      </c>
      <c r="E1709">
        <v>36</v>
      </c>
      <c r="F1709" t="s">
        <v>346</v>
      </c>
      <c r="G1709" t="s">
        <v>4222</v>
      </c>
      <c r="H1709" t="s">
        <v>7551</v>
      </c>
      <c r="I1709" t="s">
        <v>108</v>
      </c>
      <c r="J1709" t="s">
        <v>2503</v>
      </c>
    </row>
    <row r="1710" spans="1:10" x14ac:dyDescent="0.25">
      <c r="A1710" t="s">
        <v>7552</v>
      </c>
      <c r="B1710" s="3">
        <v>46304</v>
      </c>
      <c r="C1710" t="s">
        <v>154</v>
      </c>
      <c r="D1710" t="s">
        <v>26</v>
      </c>
      <c r="E1710">
        <v>47</v>
      </c>
      <c r="F1710" t="s">
        <v>2</v>
      </c>
      <c r="G1710" t="s">
        <v>4225</v>
      </c>
      <c r="H1710" t="s">
        <v>7553</v>
      </c>
      <c r="I1710" t="s">
        <v>155</v>
      </c>
      <c r="J1710" t="s">
        <v>2503</v>
      </c>
    </row>
    <row r="1711" spans="1:10" x14ac:dyDescent="0.25">
      <c r="A1711" t="s">
        <v>7554</v>
      </c>
      <c r="B1711" s="3">
        <v>46304</v>
      </c>
      <c r="C1711" t="s">
        <v>504</v>
      </c>
      <c r="D1711" t="s">
        <v>474</v>
      </c>
      <c r="E1711">
        <v>22</v>
      </c>
      <c r="F1711" t="s">
        <v>2</v>
      </c>
      <c r="G1711" t="s">
        <v>4231</v>
      </c>
      <c r="H1711" t="s">
        <v>7555</v>
      </c>
      <c r="I1711" t="s">
        <v>274</v>
      </c>
      <c r="J1711" t="s">
        <v>2509</v>
      </c>
    </row>
    <row r="1712" spans="1:10" x14ac:dyDescent="0.25">
      <c r="A1712" t="s">
        <v>7556</v>
      </c>
      <c r="B1712" s="3">
        <v>46304</v>
      </c>
      <c r="C1712" t="s">
        <v>145</v>
      </c>
      <c r="D1712" t="s">
        <v>26</v>
      </c>
      <c r="E1712">
        <v>6</v>
      </c>
      <c r="F1712" t="s">
        <v>2</v>
      </c>
      <c r="G1712" t="s">
        <v>4225</v>
      </c>
      <c r="H1712" t="s">
        <v>7557</v>
      </c>
      <c r="I1712" t="s">
        <v>59</v>
      </c>
      <c r="J1712" t="s">
        <v>2503</v>
      </c>
    </row>
    <row r="1713" spans="1:10" x14ac:dyDescent="0.25">
      <c r="A1713" t="s">
        <v>7558</v>
      </c>
      <c r="B1713" s="3">
        <v>46304</v>
      </c>
      <c r="C1713" t="s">
        <v>646</v>
      </c>
      <c r="D1713" t="s">
        <v>599</v>
      </c>
      <c r="E1713">
        <v>12</v>
      </c>
      <c r="F1713" t="s">
        <v>2</v>
      </c>
      <c r="G1713" t="s">
        <v>4234</v>
      </c>
      <c r="H1713" t="s">
        <v>7559</v>
      </c>
      <c r="I1713" t="s">
        <v>294</v>
      </c>
      <c r="J1713" t="s">
        <v>2503</v>
      </c>
    </row>
    <row r="1714" spans="1:10" x14ac:dyDescent="0.25">
      <c r="A1714" t="s">
        <v>7560</v>
      </c>
      <c r="B1714" s="3">
        <v>46304</v>
      </c>
      <c r="C1714" t="s">
        <v>65</v>
      </c>
      <c r="D1714" t="s">
        <v>66</v>
      </c>
      <c r="E1714">
        <v>3</v>
      </c>
      <c r="F1714" t="s">
        <v>2</v>
      </c>
      <c r="G1714" t="s">
        <v>4231</v>
      </c>
      <c r="H1714" t="s">
        <v>7443</v>
      </c>
      <c r="I1714" t="s">
        <v>67</v>
      </c>
      <c r="J1714" t="s">
        <v>2513</v>
      </c>
    </row>
    <row r="1715" spans="1:10" x14ac:dyDescent="0.25">
      <c r="A1715" t="s">
        <v>7561</v>
      </c>
      <c r="B1715" s="3">
        <v>46304</v>
      </c>
      <c r="C1715" t="s">
        <v>338</v>
      </c>
      <c r="D1715" t="s">
        <v>213</v>
      </c>
      <c r="E1715">
        <v>36</v>
      </c>
      <c r="F1715" t="s">
        <v>2</v>
      </c>
      <c r="G1715" t="s">
        <v>4228</v>
      </c>
      <c r="H1715" t="s">
        <v>7562</v>
      </c>
      <c r="I1715" t="s">
        <v>34</v>
      </c>
      <c r="J1715" t="s">
        <v>2509</v>
      </c>
    </row>
    <row r="1716" spans="1:10" x14ac:dyDescent="0.25">
      <c r="A1716" t="s">
        <v>7563</v>
      </c>
      <c r="B1716" s="3">
        <v>46304</v>
      </c>
      <c r="C1716" t="s">
        <v>584</v>
      </c>
      <c r="D1716" t="s">
        <v>585</v>
      </c>
      <c r="E1716">
        <v>34</v>
      </c>
      <c r="F1716" t="s">
        <v>355</v>
      </c>
      <c r="G1716" t="s">
        <v>4225</v>
      </c>
      <c r="H1716" t="s">
        <v>7564</v>
      </c>
      <c r="I1716" t="s">
        <v>129</v>
      </c>
      <c r="J1716" t="s">
        <v>2500</v>
      </c>
    </row>
    <row r="1717" spans="1:10" x14ac:dyDescent="0.25">
      <c r="A1717" t="s">
        <v>7565</v>
      </c>
      <c r="B1717" s="3">
        <v>46304</v>
      </c>
      <c r="C1717" t="s">
        <v>429</v>
      </c>
      <c r="D1717" t="s">
        <v>351</v>
      </c>
      <c r="E1717">
        <v>15</v>
      </c>
      <c r="F1717" t="s">
        <v>2</v>
      </c>
      <c r="G1717" t="s">
        <v>4228</v>
      </c>
      <c r="H1717" t="s">
        <v>7566</v>
      </c>
      <c r="I1717" t="s">
        <v>126</v>
      </c>
      <c r="J1717" t="s">
        <v>2513</v>
      </c>
    </row>
    <row r="1718" spans="1:10" x14ac:dyDescent="0.25">
      <c r="A1718" t="s">
        <v>7567</v>
      </c>
      <c r="B1718" s="3">
        <v>46304</v>
      </c>
      <c r="C1718" t="s">
        <v>396</v>
      </c>
      <c r="D1718" t="s">
        <v>357</v>
      </c>
      <c r="E1718">
        <v>51</v>
      </c>
      <c r="F1718" t="s">
        <v>358</v>
      </c>
      <c r="G1718" t="s">
        <v>4228</v>
      </c>
      <c r="H1718" t="s">
        <v>6815</v>
      </c>
      <c r="I1718" t="s">
        <v>397</v>
      </c>
      <c r="J1718" t="s">
        <v>2513</v>
      </c>
    </row>
    <row r="1719" spans="1:10" x14ac:dyDescent="0.25">
      <c r="A1719" t="s">
        <v>7568</v>
      </c>
      <c r="B1719" s="3">
        <v>46304</v>
      </c>
      <c r="C1719" t="s">
        <v>130</v>
      </c>
      <c r="D1719" t="s">
        <v>1</v>
      </c>
      <c r="E1719">
        <v>44</v>
      </c>
      <c r="F1719" t="s">
        <v>2</v>
      </c>
      <c r="G1719" t="s">
        <v>4222</v>
      </c>
      <c r="H1719" t="s">
        <v>7569</v>
      </c>
      <c r="I1719" t="s">
        <v>19</v>
      </c>
      <c r="J1719" t="s">
        <v>2503</v>
      </c>
    </row>
    <row r="1720" spans="1:10" x14ac:dyDescent="0.25">
      <c r="A1720" t="s">
        <v>7570</v>
      </c>
      <c r="B1720" s="3">
        <v>46304</v>
      </c>
      <c r="C1720" t="s">
        <v>252</v>
      </c>
      <c r="D1720" t="s">
        <v>216</v>
      </c>
      <c r="E1720">
        <v>50</v>
      </c>
      <c r="F1720" t="s">
        <v>2</v>
      </c>
      <c r="G1720" t="s">
        <v>4234</v>
      </c>
      <c r="H1720" t="s">
        <v>7571</v>
      </c>
      <c r="I1720" t="s">
        <v>52</v>
      </c>
      <c r="J1720" t="s">
        <v>2500</v>
      </c>
    </row>
    <row r="1721" spans="1:10" x14ac:dyDescent="0.25">
      <c r="A1721" t="s">
        <v>7572</v>
      </c>
      <c r="B1721" s="3">
        <v>46305</v>
      </c>
      <c r="C1721" t="s">
        <v>111</v>
      </c>
      <c r="D1721" t="s">
        <v>66</v>
      </c>
      <c r="E1721">
        <v>42</v>
      </c>
      <c r="F1721" t="s">
        <v>2</v>
      </c>
      <c r="G1721" t="s">
        <v>4225</v>
      </c>
      <c r="H1721" t="s">
        <v>7573</v>
      </c>
      <c r="I1721" t="s">
        <v>104</v>
      </c>
      <c r="J1721" t="s">
        <v>2513</v>
      </c>
    </row>
    <row r="1722" spans="1:10" x14ac:dyDescent="0.25">
      <c r="A1722" t="s">
        <v>7574</v>
      </c>
      <c r="B1722" s="3">
        <v>46305</v>
      </c>
      <c r="C1722" t="s">
        <v>256</v>
      </c>
      <c r="D1722" t="s">
        <v>210</v>
      </c>
      <c r="E1722">
        <v>45</v>
      </c>
      <c r="F1722" t="s">
        <v>2</v>
      </c>
      <c r="G1722" t="s">
        <v>4234</v>
      </c>
      <c r="H1722" t="s">
        <v>7575</v>
      </c>
      <c r="I1722" t="s">
        <v>257</v>
      </c>
      <c r="J1722" t="s">
        <v>2509</v>
      </c>
    </row>
    <row r="1723" spans="1:10" x14ac:dyDescent="0.25">
      <c r="A1723" t="s">
        <v>7576</v>
      </c>
      <c r="B1723" s="3">
        <v>46305</v>
      </c>
      <c r="C1723" t="s">
        <v>470</v>
      </c>
      <c r="D1723" t="s">
        <v>471</v>
      </c>
      <c r="E1723">
        <v>39</v>
      </c>
      <c r="F1723" t="s">
        <v>355</v>
      </c>
      <c r="G1723" t="s">
        <v>4231</v>
      </c>
      <c r="H1723" t="s">
        <v>7577</v>
      </c>
      <c r="I1723" t="s">
        <v>195</v>
      </c>
      <c r="J1723" t="s">
        <v>2500</v>
      </c>
    </row>
    <row r="1724" spans="1:10" x14ac:dyDescent="0.25">
      <c r="A1724" t="s">
        <v>7578</v>
      </c>
      <c r="B1724" s="3">
        <v>46305</v>
      </c>
      <c r="C1724" t="s">
        <v>137</v>
      </c>
      <c r="D1724" t="s">
        <v>44</v>
      </c>
      <c r="E1724">
        <v>6</v>
      </c>
      <c r="F1724" t="s">
        <v>2</v>
      </c>
      <c r="G1724" t="s">
        <v>4228</v>
      </c>
      <c r="H1724" t="s">
        <v>7579</v>
      </c>
      <c r="I1724" t="s">
        <v>38</v>
      </c>
      <c r="J1724" t="s">
        <v>2500</v>
      </c>
    </row>
    <row r="1725" spans="1:10" x14ac:dyDescent="0.25">
      <c r="A1725" t="s">
        <v>7580</v>
      </c>
      <c r="B1725" s="3">
        <v>46305</v>
      </c>
      <c r="C1725" t="s">
        <v>489</v>
      </c>
      <c r="D1725" t="s">
        <v>490</v>
      </c>
      <c r="E1725">
        <v>23</v>
      </c>
      <c r="F1725" t="s">
        <v>355</v>
      </c>
      <c r="G1725" t="s">
        <v>4228</v>
      </c>
      <c r="H1725" t="s">
        <v>7581</v>
      </c>
      <c r="I1725" t="s">
        <v>183</v>
      </c>
      <c r="J1725" t="s">
        <v>2500</v>
      </c>
    </row>
    <row r="1726" spans="1:10" x14ac:dyDescent="0.25">
      <c r="A1726" t="s">
        <v>7582</v>
      </c>
      <c r="B1726" s="3">
        <v>46305</v>
      </c>
      <c r="C1726" t="s">
        <v>615</v>
      </c>
      <c r="D1726" t="s">
        <v>589</v>
      </c>
      <c r="E1726">
        <v>47</v>
      </c>
      <c r="F1726" t="s">
        <v>469</v>
      </c>
      <c r="G1726" t="s">
        <v>4228</v>
      </c>
      <c r="H1726" t="s">
        <v>7583</v>
      </c>
      <c r="I1726" t="s">
        <v>95</v>
      </c>
      <c r="J1726" t="s">
        <v>2500</v>
      </c>
    </row>
    <row r="1727" spans="1:10" x14ac:dyDescent="0.25">
      <c r="A1727" t="s">
        <v>7584</v>
      </c>
      <c r="B1727" s="3">
        <v>46305</v>
      </c>
      <c r="C1727" t="s">
        <v>545</v>
      </c>
      <c r="D1727" t="s">
        <v>502</v>
      </c>
      <c r="E1727">
        <v>20</v>
      </c>
      <c r="F1727" t="s">
        <v>469</v>
      </c>
      <c r="G1727" t="s">
        <v>4222</v>
      </c>
      <c r="H1727" t="s">
        <v>7585</v>
      </c>
      <c r="I1727" t="s">
        <v>183</v>
      </c>
      <c r="J1727" t="s">
        <v>2513</v>
      </c>
    </row>
    <row r="1728" spans="1:10" x14ac:dyDescent="0.25">
      <c r="A1728" t="s">
        <v>7586</v>
      </c>
      <c r="B1728" s="3">
        <v>46305</v>
      </c>
      <c r="C1728" t="s">
        <v>92</v>
      </c>
      <c r="D1728" t="s">
        <v>47</v>
      </c>
      <c r="E1728">
        <v>38</v>
      </c>
      <c r="F1728" t="s">
        <v>2</v>
      </c>
      <c r="G1728" t="s">
        <v>4231</v>
      </c>
      <c r="H1728" t="s">
        <v>7587</v>
      </c>
      <c r="I1728" t="s">
        <v>93</v>
      </c>
      <c r="J1728" t="s">
        <v>2500</v>
      </c>
    </row>
    <row r="1729" spans="1:10" x14ac:dyDescent="0.25">
      <c r="A1729" t="s">
        <v>7588</v>
      </c>
      <c r="B1729" s="3">
        <v>46305</v>
      </c>
      <c r="C1729" t="s">
        <v>579</v>
      </c>
      <c r="D1729" t="s">
        <v>490</v>
      </c>
      <c r="E1729">
        <v>31</v>
      </c>
      <c r="F1729" t="s">
        <v>355</v>
      </c>
      <c r="G1729" t="s">
        <v>4234</v>
      </c>
      <c r="H1729" t="s">
        <v>7589</v>
      </c>
      <c r="I1729" t="s">
        <v>93</v>
      </c>
      <c r="J1729" t="s">
        <v>2513</v>
      </c>
    </row>
    <row r="1730" spans="1:10" x14ac:dyDescent="0.25">
      <c r="A1730" t="s">
        <v>7590</v>
      </c>
      <c r="B1730" s="3">
        <v>46305</v>
      </c>
      <c r="C1730" t="s">
        <v>335</v>
      </c>
      <c r="D1730" t="s">
        <v>218</v>
      </c>
      <c r="E1730">
        <v>2</v>
      </c>
      <c r="F1730" t="s">
        <v>2</v>
      </c>
      <c r="G1730" t="s">
        <v>4234</v>
      </c>
      <c r="H1730" t="s">
        <v>7591</v>
      </c>
      <c r="I1730" t="s">
        <v>147</v>
      </c>
      <c r="J1730" t="s">
        <v>2509</v>
      </c>
    </row>
    <row r="1731" spans="1:10" x14ac:dyDescent="0.25">
      <c r="A1731" t="s">
        <v>7592</v>
      </c>
      <c r="B1731" s="3">
        <v>46305</v>
      </c>
      <c r="C1731" t="s">
        <v>683</v>
      </c>
      <c r="D1731" t="s">
        <v>594</v>
      </c>
      <c r="E1731">
        <v>29</v>
      </c>
      <c r="F1731" t="s">
        <v>595</v>
      </c>
      <c r="G1731" t="s">
        <v>4225</v>
      </c>
      <c r="H1731" t="s">
        <v>7593</v>
      </c>
      <c r="I1731" t="s">
        <v>75</v>
      </c>
      <c r="J1731" t="s">
        <v>2509</v>
      </c>
    </row>
    <row r="1732" spans="1:10" x14ac:dyDescent="0.25">
      <c r="A1732" t="s">
        <v>7594</v>
      </c>
      <c r="B1732" s="3">
        <v>46305</v>
      </c>
      <c r="C1732" t="s">
        <v>322</v>
      </c>
      <c r="D1732" t="s">
        <v>227</v>
      </c>
      <c r="E1732">
        <v>36</v>
      </c>
      <c r="F1732" t="s">
        <v>2</v>
      </c>
      <c r="G1732" t="s">
        <v>4234</v>
      </c>
      <c r="H1732" t="s">
        <v>7595</v>
      </c>
      <c r="I1732" t="s">
        <v>95</v>
      </c>
      <c r="J1732" t="s">
        <v>2509</v>
      </c>
    </row>
    <row r="1733" spans="1:10" x14ac:dyDescent="0.25">
      <c r="A1733" t="s">
        <v>7596</v>
      </c>
      <c r="B1733" s="3">
        <v>46305</v>
      </c>
      <c r="C1733" t="s">
        <v>503</v>
      </c>
      <c r="D1733" t="s">
        <v>476</v>
      </c>
      <c r="E1733">
        <v>22</v>
      </c>
      <c r="F1733" t="s">
        <v>477</v>
      </c>
      <c r="G1733" t="s">
        <v>4222</v>
      </c>
      <c r="H1733" t="s">
        <v>7597</v>
      </c>
      <c r="I1733" t="s">
        <v>259</v>
      </c>
      <c r="J1733" t="s">
        <v>2503</v>
      </c>
    </row>
    <row r="1734" spans="1:10" x14ac:dyDescent="0.25">
      <c r="A1734" t="s">
        <v>7598</v>
      </c>
      <c r="B1734" s="3">
        <v>46305</v>
      </c>
      <c r="C1734" t="s">
        <v>685</v>
      </c>
      <c r="D1734" t="s">
        <v>597</v>
      </c>
      <c r="E1734">
        <v>18</v>
      </c>
      <c r="F1734" t="s">
        <v>355</v>
      </c>
      <c r="G1734" t="s">
        <v>4234</v>
      </c>
      <c r="H1734" t="s">
        <v>7599</v>
      </c>
      <c r="I1734" t="s">
        <v>166</v>
      </c>
      <c r="J1734" t="s">
        <v>2503</v>
      </c>
    </row>
    <row r="1735" spans="1:10" x14ac:dyDescent="0.25">
      <c r="A1735" t="s">
        <v>7600</v>
      </c>
      <c r="B1735" s="3">
        <v>46305</v>
      </c>
      <c r="C1735" t="s">
        <v>531</v>
      </c>
      <c r="D1735" t="s">
        <v>479</v>
      </c>
      <c r="E1735">
        <v>25</v>
      </c>
      <c r="F1735" t="s">
        <v>469</v>
      </c>
      <c r="G1735" t="s">
        <v>4225</v>
      </c>
      <c r="H1735" t="s">
        <v>7601</v>
      </c>
      <c r="I1735" t="s">
        <v>129</v>
      </c>
      <c r="J1735" t="s">
        <v>2509</v>
      </c>
    </row>
    <row r="1736" spans="1:10" x14ac:dyDescent="0.25">
      <c r="A1736" t="s">
        <v>7602</v>
      </c>
      <c r="B1736" s="3">
        <v>46305</v>
      </c>
      <c r="C1736" t="s">
        <v>309</v>
      </c>
      <c r="D1736" t="s">
        <v>225</v>
      </c>
      <c r="E1736">
        <v>47</v>
      </c>
      <c r="F1736" t="s">
        <v>2</v>
      </c>
      <c r="G1736" t="s">
        <v>4228</v>
      </c>
      <c r="H1736" t="s">
        <v>7603</v>
      </c>
      <c r="I1736" t="s">
        <v>310</v>
      </c>
      <c r="J1736" t="s">
        <v>2509</v>
      </c>
    </row>
    <row r="1737" spans="1:10" x14ac:dyDescent="0.25">
      <c r="A1737" t="s">
        <v>7604</v>
      </c>
      <c r="B1737" s="3">
        <v>46305</v>
      </c>
      <c r="C1737" t="s">
        <v>456</v>
      </c>
      <c r="D1737" t="s">
        <v>351</v>
      </c>
      <c r="E1737">
        <v>51</v>
      </c>
      <c r="F1737" t="s">
        <v>2</v>
      </c>
      <c r="G1737" t="s">
        <v>4234</v>
      </c>
      <c r="H1737" t="s">
        <v>7605</v>
      </c>
      <c r="I1737" t="s">
        <v>119</v>
      </c>
      <c r="J1737" t="s">
        <v>2513</v>
      </c>
    </row>
    <row r="1738" spans="1:10" x14ac:dyDescent="0.25">
      <c r="A1738" t="s">
        <v>7606</v>
      </c>
      <c r="B1738" s="3">
        <v>46305</v>
      </c>
      <c r="C1738" t="s">
        <v>395</v>
      </c>
      <c r="D1738" t="s">
        <v>382</v>
      </c>
      <c r="E1738">
        <v>11</v>
      </c>
      <c r="F1738" t="s">
        <v>383</v>
      </c>
      <c r="G1738" t="s">
        <v>4234</v>
      </c>
      <c r="H1738" t="s">
        <v>7607</v>
      </c>
      <c r="I1738" t="s">
        <v>330</v>
      </c>
      <c r="J1738" t="s">
        <v>2503</v>
      </c>
    </row>
    <row r="1739" spans="1:10" x14ac:dyDescent="0.25">
      <c r="A1739" t="s">
        <v>7608</v>
      </c>
      <c r="B1739" s="3">
        <v>46305</v>
      </c>
      <c r="C1739" t="s">
        <v>691</v>
      </c>
      <c r="D1739" t="s">
        <v>585</v>
      </c>
      <c r="E1739">
        <v>4</v>
      </c>
      <c r="F1739" t="s">
        <v>355</v>
      </c>
      <c r="G1739" t="s">
        <v>4228</v>
      </c>
      <c r="H1739" t="s">
        <v>7323</v>
      </c>
      <c r="I1739" t="s">
        <v>19</v>
      </c>
      <c r="J1739" t="s">
        <v>2500</v>
      </c>
    </row>
    <row r="1740" spans="1:10" x14ac:dyDescent="0.25">
      <c r="A1740" t="s">
        <v>7609</v>
      </c>
      <c r="B1740" s="3">
        <v>46305</v>
      </c>
      <c r="C1740" t="s">
        <v>547</v>
      </c>
      <c r="D1740" t="s">
        <v>481</v>
      </c>
      <c r="E1740">
        <v>24</v>
      </c>
      <c r="F1740" t="s">
        <v>2</v>
      </c>
      <c r="G1740" t="s">
        <v>4234</v>
      </c>
      <c r="H1740" t="s">
        <v>7610</v>
      </c>
      <c r="I1740" t="s">
        <v>69</v>
      </c>
      <c r="J1740" t="s">
        <v>2503</v>
      </c>
    </row>
    <row r="1741" spans="1:10" x14ac:dyDescent="0.25">
      <c r="A1741" t="s">
        <v>7611</v>
      </c>
      <c r="B1741" s="3">
        <v>46305</v>
      </c>
      <c r="C1741" t="s">
        <v>167</v>
      </c>
      <c r="D1741" t="s">
        <v>26</v>
      </c>
      <c r="E1741">
        <v>6</v>
      </c>
      <c r="F1741" t="s">
        <v>2</v>
      </c>
      <c r="G1741" t="s">
        <v>4231</v>
      </c>
      <c r="H1741" t="s">
        <v>7612</v>
      </c>
      <c r="I1741" t="s">
        <v>64</v>
      </c>
      <c r="J1741" t="s">
        <v>2509</v>
      </c>
    </row>
    <row r="1742" spans="1:10" x14ac:dyDescent="0.25">
      <c r="A1742" t="s">
        <v>7613</v>
      </c>
      <c r="B1742" s="3">
        <v>46305</v>
      </c>
      <c r="C1742" t="s">
        <v>326</v>
      </c>
      <c r="D1742" t="s">
        <v>223</v>
      </c>
      <c r="E1742">
        <v>21</v>
      </c>
      <c r="F1742" t="s">
        <v>2</v>
      </c>
      <c r="G1742" t="s">
        <v>4231</v>
      </c>
      <c r="H1742" t="s">
        <v>7614</v>
      </c>
      <c r="I1742" t="s">
        <v>327</v>
      </c>
      <c r="J1742" t="s">
        <v>2509</v>
      </c>
    </row>
    <row r="1743" spans="1:10" x14ac:dyDescent="0.25">
      <c r="A1743" t="s">
        <v>7615</v>
      </c>
      <c r="B1743" s="3">
        <v>46305</v>
      </c>
      <c r="C1743" t="s">
        <v>459</v>
      </c>
      <c r="D1743" t="s">
        <v>351</v>
      </c>
      <c r="E1743">
        <v>21</v>
      </c>
      <c r="F1743" t="s">
        <v>2</v>
      </c>
      <c r="G1743" t="s">
        <v>4222</v>
      </c>
      <c r="H1743" t="s">
        <v>7616</v>
      </c>
      <c r="I1743" t="s">
        <v>77</v>
      </c>
      <c r="J1743" t="s">
        <v>2503</v>
      </c>
    </row>
    <row r="1744" spans="1:10" x14ac:dyDescent="0.25">
      <c r="A1744" t="s">
        <v>7617</v>
      </c>
      <c r="B1744" s="3">
        <v>46305</v>
      </c>
      <c r="C1744" t="s">
        <v>421</v>
      </c>
      <c r="D1744" t="s">
        <v>360</v>
      </c>
      <c r="E1744">
        <v>25</v>
      </c>
      <c r="F1744" t="s">
        <v>358</v>
      </c>
      <c r="G1744" t="s">
        <v>4225</v>
      </c>
      <c r="H1744" t="s">
        <v>7618</v>
      </c>
      <c r="I1744" t="s">
        <v>144</v>
      </c>
      <c r="J1744" t="s">
        <v>2503</v>
      </c>
    </row>
    <row r="1745" spans="1:10" x14ac:dyDescent="0.25">
      <c r="A1745" t="s">
        <v>7619</v>
      </c>
      <c r="B1745" s="3">
        <v>46305</v>
      </c>
      <c r="C1745" t="s">
        <v>46</v>
      </c>
      <c r="D1745" t="s">
        <v>47</v>
      </c>
      <c r="E1745">
        <v>38</v>
      </c>
      <c r="F1745" t="s">
        <v>2</v>
      </c>
      <c r="G1745" t="s">
        <v>4225</v>
      </c>
      <c r="H1745" t="s">
        <v>7620</v>
      </c>
      <c r="I1745" t="s">
        <v>50</v>
      </c>
      <c r="J1745" t="s">
        <v>2503</v>
      </c>
    </row>
    <row r="1746" spans="1:10" x14ac:dyDescent="0.25">
      <c r="A1746" t="s">
        <v>7621</v>
      </c>
      <c r="B1746" s="3">
        <v>46305</v>
      </c>
      <c r="C1746" t="s">
        <v>617</v>
      </c>
      <c r="D1746" t="s">
        <v>594</v>
      </c>
      <c r="E1746">
        <v>19</v>
      </c>
      <c r="F1746" t="s">
        <v>595</v>
      </c>
      <c r="G1746" t="s">
        <v>4234</v>
      </c>
      <c r="H1746" t="s">
        <v>7622</v>
      </c>
      <c r="I1746" t="s">
        <v>259</v>
      </c>
      <c r="J1746" t="s">
        <v>2509</v>
      </c>
    </row>
    <row r="1747" spans="1:10" x14ac:dyDescent="0.25">
      <c r="A1747" t="s">
        <v>7623</v>
      </c>
      <c r="B1747" s="3">
        <v>46305</v>
      </c>
      <c r="C1747" t="s">
        <v>430</v>
      </c>
      <c r="D1747" t="s">
        <v>349</v>
      </c>
      <c r="E1747">
        <v>1</v>
      </c>
      <c r="F1747" t="s">
        <v>2</v>
      </c>
      <c r="G1747" t="s">
        <v>4228</v>
      </c>
      <c r="H1747" t="s">
        <v>7624</v>
      </c>
      <c r="I1747" t="s">
        <v>64</v>
      </c>
      <c r="J1747" t="s">
        <v>2509</v>
      </c>
    </row>
    <row r="1748" spans="1:10" x14ac:dyDescent="0.25">
      <c r="A1748" t="s">
        <v>7625</v>
      </c>
      <c r="B1748" s="3">
        <v>46305</v>
      </c>
      <c r="C1748" t="s">
        <v>405</v>
      </c>
      <c r="D1748" t="s">
        <v>344</v>
      </c>
      <c r="E1748">
        <v>11</v>
      </c>
      <c r="F1748" t="s">
        <v>346</v>
      </c>
      <c r="G1748" t="s">
        <v>4228</v>
      </c>
      <c r="H1748" t="s">
        <v>7626</v>
      </c>
      <c r="I1748" t="s">
        <v>121</v>
      </c>
      <c r="J1748" t="s">
        <v>2503</v>
      </c>
    </row>
    <row r="1749" spans="1:10" x14ac:dyDescent="0.25">
      <c r="A1749" t="s">
        <v>7627</v>
      </c>
      <c r="B1749" s="3">
        <v>46305</v>
      </c>
      <c r="C1749" t="s">
        <v>78</v>
      </c>
      <c r="D1749" t="s">
        <v>21</v>
      </c>
      <c r="E1749">
        <v>1</v>
      </c>
      <c r="F1749" t="s">
        <v>2</v>
      </c>
      <c r="G1749" t="s">
        <v>4234</v>
      </c>
      <c r="H1749" t="s">
        <v>7628</v>
      </c>
      <c r="I1749" t="s">
        <v>79</v>
      </c>
      <c r="J1749" t="s">
        <v>2509</v>
      </c>
    </row>
    <row r="1750" spans="1:10" x14ac:dyDescent="0.25">
      <c r="A1750" t="s">
        <v>7629</v>
      </c>
      <c r="B1750" s="3">
        <v>46305</v>
      </c>
      <c r="C1750" t="s">
        <v>439</v>
      </c>
      <c r="D1750" t="s">
        <v>378</v>
      </c>
      <c r="E1750">
        <v>28</v>
      </c>
      <c r="F1750" t="s">
        <v>2</v>
      </c>
      <c r="G1750" t="s">
        <v>4234</v>
      </c>
      <c r="H1750" t="s">
        <v>7630</v>
      </c>
      <c r="I1750" t="s">
        <v>440</v>
      </c>
      <c r="J1750" t="s">
        <v>2500</v>
      </c>
    </row>
    <row r="1751" spans="1:10" x14ac:dyDescent="0.25">
      <c r="A1751" t="s">
        <v>7631</v>
      </c>
      <c r="B1751" s="3">
        <v>46305</v>
      </c>
      <c r="C1751" t="s">
        <v>601</v>
      </c>
      <c r="D1751" t="s">
        <v>602</v>
      </c>
      <c r="E1751">
        <v>37</v>
      </c>
      <c r="F1751" t="s">
        <v>2</v>
      </c>
      <c r="G1751" t="s">
        <v>4231</v>
      </c>
      <c r="H1751" t="s">
        <v>7632</v>
      </c>
      <c r="I1751" t="s">
        <v>52</v>
      </c>
      <c r="J1751" t="s">
        <v>2513</v>
      </c>
    </row>
    <row r="1752" spans="1:10" x14ac:dyDescent="0.25">
      <c r="A1752" t="s">
        <v>7633</v>
      </c>
      <c r="B1752" s="3">
        <v>46305</v>
      </c>
      <c r="C1752" t="s">
        <v>530</v>
      </c>
      <c r="D1752" t="s">
        <v>481</v>
      </c>
      <c r="E1752">
        <v>28</v>
      </c>
      <c r="F1752" t="s">
        <v>2</v>
      </c>
      <c r="G1752" t="s">
        <v>4231</v>
      </c>
      <c r="H1752" t="s">
        <v>7634</v>
      </c>
      <c r="I1752" t="s">
        <v>124</v>
      </c>
      <c r="J1752" t="s">
        <v>2513</v>
      </c>
    </row>
    <row r="1753" spans="1:10" x14ac:dyDescent="0.25">
      <c r="A1753" t="s">
        <v>7635</v>
      </c>
      <c r="B1753" s="3">
        <v>46305</v>
      </c>
      <c r="C1753" t="s">
        <v>97</v>
      </c>
      <c r="D1753" t="s">
        <v>1</v>
      </c>
      <c r="E1753">
        <v>53</v>
      </c>
      <c r="F1753" t="s">
        <v>2</v>
      </c>
      <c r="G1753" t="s">
        <v>4234</v>
      </c>
      <c r="H1753" t="s">
        <v>7636</v>
      </c>
      <c r="I1753" t="s">
        <v>98</v>
      </c>
      <c r="J1753" t="s">
        <v>2509</v>
      </c>
    </row>
    <row r="1754" spans="1:10" x14ac:dyDescent="0.25">
      <c r="A1754" t="s">
        <v>7637</v>
      </c>
      <c r="B1754" s="3">
        <v>46305</v>
      </c>
      <c r="C1754" t="s">
        <v>356</v>
      </c>
      <c r="D1754" t="s">
        <v>357</v>
      </c>
      <c r="E1754">
        <v>54</v>
      </c>
      <c r="F1754" t="s">
        <v>358</v>
      </c>
      <c r="G1754" t="s">
        <v>4225</v>
      </c>
      <c r="H1754" t="s">
        <v>7638</v>
      </c>
      <c r="I1754" t="s">
        <v>189</v>
      </c>
      <c r="J1754" t="s">
        <v>2513</v>
      </c>
    </row>
    <row r="1755" spans="1:10" x14ac:dyDescent="0.25">
      <c r="A1755" t="s">
        <v>7639</v>
      </c>
      <c r="B1755" s="3">
        <v>46305</v>
      </c>
      <c r="C1755" t="s">
        <v>668</v>
      </c>
      <c r="D1755" t="s">
        <v>597</v>
      </c>
      <c r="E1755">
        <v>10</v>
      </c>
      <c r="F1755" t="s">
        <v>355</v>
      </c>
      <c r="G1755" t="s">
        <v>4234</v>
      </c>
      <c r="H1755" t="s">
        <v>7640</v>
      </c>
      <c r="I1755" t="s">
        <v>124</v>
      </c>
      <c r="J1755" t="s">
        <v>2509</v>
      </c>
    </row>
    <row r="1756" spans="1:10" x14ac:dyDescent="0.25">
      <c r="A1756" t="s">
        <v>7641</v>
      </c>
      <c r="B1756" s="3">
        <v>46305</v>
      </c>
      <c r="C1756" t="s">
        <v>212</v>
      </c>
      <c r="D1756" t="s">
        <v>213</v>
      </c>
      <c r="E1756">
        <v>48</v>
      </c>
      <c r="F1756" t="s">
        <v>2</v>
      </c>
      <c r="G1756" t="s">
        <v>4234</v>
      </c>
      <c r="H1756" t="s">
        <v>7642</v>
      </c>
      <c r="I1756" t="s">
        <v>129</v>
      </c>
      <c r="J1756" t="s">
        <v>2503</v>
      </c>
    </row>
    <row r="1757" spans="1:10" x14ac:dyDescent="0.25">
      <c r="A1757" t="s">
        <v>7643</v>
      </c>
      <c r="B1757" s="3">
        <v>46305</v>
      </c>
      <c r="C1757" t="s">
        <v>248</v>
      </c>
      <c r="D1757" t="s">
        <v>240</v>
      </c>
      <c r="E1757">
        <v>52</v>
      </c>
      <c r="F1757" t="s">
        <v>2</v>
      </c>
      <c r="G1757" t="s">
        <v>4234</v>
      </c>
      <c r="H1757" t="s">
        <v>7644</v>
      </c>
      <c r="I1757" t="s">
        <v>126</v>
      </c>
      <c r="J1757" t="s">
        <v>2513</v>
      </c>
    </row>
    <row r="1758" spans="1:10" x14ac:dyDescent="0.25">
      <c r="A1758" t="s">
        <v>7645</v>
      </c>
      <c r="B1758" s="3">
        <v>46305</v>
      </c>
      <c r="C1758" t="s">
        <v>619</v>
      </c>
      <c r="D1758" t="s">
        <v>594</v>
      </c>
      <c r="E1758">
        <v>25</v>
      </c>
      <c r="F1758" t="s">
        <v>595</v>
      </c>
      <c r="G1758" t="s">
        <v>4225</v>
      </c>
      <c r="H1758" t="s">
        <v>7646</v>
      </c>
      <c r="I1758" t="s">
        <v>206</v>
      </c>
      <c r="J1758" t="s">
        <v>2513</v>
      </c>
    </row>
    <row r="1759" spans="1:10" x14ac:dyDescent="0.25">
      <c r="A1759" t="s">
        <v>7647</v>
      </c>
      <c r="B1759" s="3">
        <v>46305</v>
      </c>
      <c r="C1759" t="s">
        <v>329</v>
      </c>
      <c r="D1759" t="s">
        <v>227</v>
      </c>
      <c r="E1759">
        <v>14</v>
      </c>
      <c r="F1759" t="s">
        <v>2</v>
      </c>
      <c r="G1759" t="s">
        <v>4225</v>
      </c>
      <c r="H1759" t="s">
        <v>7648</v>
      </c>
      <c r="I1759" t="s">
        <v>330</v>
      </c>
      <c r="J1759" t="s">
        <v>2500</v>
      </c>
    </row>
    <row r="1760" spans="1:10" x14ac:dyDescent="0.25">
      <c r="A1760" t="s">
        <v>7649</v>
      </c>
      <c r="B1760" s="3">
        <v>46305</v>
      </c>
      <c r="C1760" t="s">
        <v>598</v>
      </c>
      <c r="D1760" t="s">
        <v>599</v>
      </c>
      <c r="E1760">
        <v>24</v>
      </c>
      <c r="F1760" t="s">
        <v>2</v>
      </c>
      <c r="G1760" t="s">
        <v>4228</v>
      </c>
      <c r="H1760" t="s">
        <v>7650</v>
      </c>
      <c r="I1760" t="s">
        <v>27</v>
      </c>
      <c r="J1760" t="s">
        <v>2500</v>
      </c>
    </row>
    <row r="1761" spans="1:10" x14ac:dyDescent="0.25">
      <c r="A1761" t="s">
        <v>7651</v>
      </c>
      <c r="B1761" s="3">
        <v>46305</v>
      </c>
      <c r="C1761" t="s">
        <v>601</v>
      </c>
      <c r="D1761" t="s">
        <v>602</v>
      </c>
      <c r="E1761">
        <v>46</v>
      </c>
      <c r="F1761" t="s">
        <v>2</v>
      </c>
      <c r="G1761" t="s">
        <v>4228</v>
      </c>
      <c r="H1761" t="s">
        <v>7652</v>
      </c>
      <c r="I1761" t="s">
        <v>52</v>
      </c>
      <c r="J1761" t="s">
        <v>2503</v>
      </c>
    </row>
    <row r="1762" spans="1:10" x14ac:dyDescent="0.25">
      <c r="A1762" t="s">
        <v>7653</v>
      </c>
      <c r="B1762" s="3">
        <v>46305</v>
      </c>
      <c r="C1762" t="s">
        <v>671</v>
      </c>
      <c r="D1762" t="s">
        <v>629</v>
      </c>
      <c r="E1762">
        <v>29</v>
      </c>
      <c r="F1762" t="s">
        <v>355</v>
      </c>
      <c r="G1762" t="s">
        <v>4228</v>
      </c>
      <c r="H1762" t="s">
        <v>7654</v>
      </c>
      <c r="I1762" t="s">
        <v>89</v>
      </c>
      <c r="J1762" t="s">
        <v>2500</v>
      </c>
    </row>
    <row r="1763" spans="1:10" x14ac:dyDescent="0.25">
      <c r="A1763" t="s">
        <v>7655</v>
      </c>
      <c r="B1763" s="3">
        <v>46305</v>
      </c>
      <c r="C1763" t="s">
        <v>630</v>
      </c>
      <c r="D1763" t="s">
        <v>594</v>
      </c>
      <c r="E1763">
        <v>25</v>
      </c>
      <c r="F1763" t="s">
        <v>595</v>
      </c>
      <c r="G1763" t="s">
        <v>4225</v>
      </c>
      <c r="H1763" t="s">
        <v>7656</v>
      </c>
      <c r="I1763" t="s">
        <v>312</v>
      </c>
      <c r="J1763" t="s">
        <v>2509</v>
      </c>
    </row>
    <row r="1764" spans="1:10" x14ac:dyDescent="0.25">
      <c r="A1764" t="s">
        <v>7657</v>
      </c>
      <c r="B1764" s="3">
        <v>46305</v>
      </c>
      <c r="C1764" t="s">
        <v>198</v>
      </c>
      <c r="D1764" t="s">
        <v>1</v>
      </c>
      <c r="E1764">
        <v>22</v>
      </c>
      <c r="F1764" t="s">
        <v>2</v>
      </c>
      <c r="G1764" t="s">
        <v>4234</v>
      </c>
      <c r="H1764" t="s">
        <v>7658</v>
      </c>
      <c r="I1764" t="s">
        <v>140</v>
      </c>
      <c r="J1764" t="s">
        <v>2500</v>
      </c>
    </row>
    <row r="1765" spans="1:10" x14ac:dyDescent="0.25">
      <c r="A1765" t="s">
        <v>7659</v>
      </c>
      <c r="B1765" s="3">
        <v>46305</v>
      </c>
      <c r="C1765" t="s">
        <v>107</v>
      </c>
      <c r="D1765" t="s">
        <v>29</v>
      </c>
      <c r="E1765">
        <v>25</v>
      </c>
      <c r="F1765" t="s">
        <v>2</v>
      </c>
      <c r="G1765" t="s">
        <v>4225</v>
      </c>
      <c r="H1765" t="s">
        <v>7660</v>
      </c>
      <c r="I1765" t="s">
        <v>108</v>
      </c>
      <c r="J1765" t="s">
        <v>2513</v>
      </c>
    </row>
    <row r="1766" spans="1:10" x14ac:dyDescent="0.25">
      <c r="A1766" t="s">
        <v>7661</v>
      </c>
      <c r="B1766" s="3">
        <v>46305</v>
      </c>
      <c r="C1766" t="s">
        <v>273</v>
      </c>
      <c r="D1766" t="s">
        <v>234</v>
      </c>
      <c r="E1766">
        <v>7</v>
      </c>
      <c r="F1766" t="s">
        <v>2</v>
      </c>
      <c r="G1766" t="s">
        <v>4234</v>
      </c>
      <c r="H1766" t="s">
        <v>7505</v>
      </c>
      <c r="I1766" t="s">
        <v>274</v>
      </c>
      <c r="J1766" t="s">
        <v>2503</v>
      </c>
    </row>
    <row r="1767" spans="1:10" x14ac:dyDescent="0.25">
      <c r="A1767" t="s">
        <v>7662</v>
      </c>
      <c r="B1767" s="3">
        <v>46305</v>
      </c>
      <c r="C1767" t="s">
        <v>687</v>
      </c>
      <c r="D1767" t="s">
        <v>612</v>
      </c>
      <c r="E1767">
        <v>5</v>
      </c>
      <c r="F1767" t="s">
        <v>2</v>
      </c>
      <c r="G1767" t="s">
        <v>4225</v>
      </c>
      <c r="H1767" t="s">
        <v>7663</v>
      </c>
      <c r="I1767" t="s">
        <v>59</v>
      </c>
      <c r="J1767" t="s">
        <v>2509</v>
      </c>
    </row>
    <row r="1768" spans="1:10" x14ac:dyDescent="0.25">
      <c r="A1768" t="s">
        <v>7664</v>
      </c>
      <c r="B1768" s="3">
        <v>46305</v>
      </c>
      <c r="C1768" t="s">
        <v>683</v>
      </c>
      <c r="D1768" t="s">
        <v>594</v>
      </c>
      <c r="E1768">
        <v>43</v>
      </c>
      <c r="F1768" t="s">
        <v>595</v>
      </c>
      <c r="G1768" t="s">
        <v>4222</v>
      </c>
      <c r="H1768" t="s">
        <v>7665</v>
      </c>
      <c r="I1768" t="s">
        <v>75</v>
      </c>
      <c r="J1768" t="s">
        <v>2509</v>
      </c>
    </row>
    <row r="1769" spans="1:10" x14ac:dyDescent="0.25">
      <c r="A1769" t="s">
        <v>7666</v>
      </c>
      <c r="B1769" s="3">
        <v>46305</v>
      </c>
      <c r="C1769" t="s">
        <v>552</v>
      </c>
      <c r="D1769" t="s">
        <v>476</v>
      </c>
      <c r="E1769">
        <v>22</v>
      </c>
      <c r="F1769" t="s">
        <v>477</v>
      </c>
      <c r="G1769" t="s">
        <v>4225</v>
      </c>
      <c r="H1769" t="s">
        <v>7667</v>
      </c>
      <c r="I1769" t="s">
        <v>77</v>
      </c>
      <c r="J1769" t="s">
        <v>2500</v>
      </c>
    </row>
    <row r="1770" spans="1:10" x14ac:dyDescent="0.25">
      <c r="A1770" t="s">
        <v>7668</v>
      </c>
      <c r="B1770" s="3">
        <v>46305</v>
      </c>
      <c r="C1770" t="s">
        <v>336</v>
      </c>
      <c r="D1770" t="s">
        <v>227</v>
      </c>
      <c r="E1770">
        <v>23</v>
      </c>
      <c r="F1770" t="s">
        <v>2</v>
      </c>
      <c r="G1770" t="s">
        <v>4228</v>
      </c>
      <c r="H1770" t="s">
        <v>7669</v>
      </c>
      <c r="I1770" t="s">
        <v>330</v>
      </c>
      <c r="J1770" t="s">
        <v>2509</v>
      </c>
    </row>
    <row r="1771" spans="1:10" x14ac:dyDescent="0.25">
      <c r="A1771" t="s">
        <v>7670</v>
      </c>
      <c r="B1771" s="3">
        <v>46306</v>
      </c>
      <c r="C1771" t="s">
        <v>362</v>
      </c>
      <c r="D1771" t="s">
        <v>360</v>
      </c>
      <c r="E1771">
        <v>5</v>
      </c>
      <c r="F1771" t="s">
        <v>358</v>
      </c>
      <c r="G1771" t="s">
        <v>4234</v>
      </c>
      <c r="H1771" t="s">
        <v>7671</v>
      </c>
      <c r="I1771" t="s">
        <v>42</v>
      </c>
      <c r="J1771" t="s">
        <v>2509</v>
      </c>
    </row>
    <row r="1772" spans="1:10" x14ac:dyDescent="0.25">
      <c r="A1772" t="s">
        <v>7672</v>
      </c>
      <c r="B1772" s="3">
        <v>46306</v>
      </c>
      <c r="C1772" t="s">
        <v>428</v>
      </c>
      <c r="D1772" t="s">
        <v>357</v>
      </c>
      <c r="E1772">
        <v>22</v>
      </c>
      <c r="F1772" t="s">
        <v>358</v>
      </c>
      <c r="G1772" t="s">
        <v>4234</v>
      </c>
      <c r="H1772" t="s">
        <v>6995</v>
      </c>
      <c r="I1772" t="s">
        <v>38</v>
      </c>
      <c r="J1772" t="s">
        <v>2500</v>
      </c>
    </row>
    <row r="1773" spans="1:10" x14ac:dyDescent="0.25">
      <c r="A1773" t="s">
        <v>7673</v>
      </c>
      <c r="B1773" s="3">
        <v>46306</v>
      </c>
      <c r="C1773" t="s">
        <v>232</v>
      </c>
      <c r="D1773" t="s">
        <v>225</v>
      </c>
      <c r="E1773">
        <v>18</v>
      </c>
      <c r="F1773" t="s">
        <v>2</v>
      </c>
      <c r="G1773" t="s">
        <v>4228</v>
      </c>
      <c r="H1773" t="s">
        <v>7674</v>
      </c>
      <c r="I1773" t="s">
        <v>30</v>
      </c>
      <c r="J1773" t="s">
        <v>2509</v>
      </c>
    </row>
    <row r="1774" spans="1:10" x14ac:dyDescent="0.25">
      <c r="A1774" t="s">
        <v>7675</v>
      </c>
      <c r="B1774" s="3">
        <v>46306</v>
      </c>
      <c r="C1774" t="s">
        <v>311</v>
      </c>
      <c r="D1774" t="s">
        <v>227</v>
      </c>
      <c r="E1774">
        <v>53</v>
      </c>
      <c r="F1774" t="s">
        <v>2</v>
      </c>
      <c r="G1774" t="s">
        <v>4222</v>
      </c>
      <c r="H1774" t="s">
        <v>7676</v>
      </c>
      <c r="I1774" t="s">
        <v>312</v>
      </c>
      <c r="J1774" t="s">
        <v>2509</v>
      </c>
    </row>
    <row r="1775" spans="1:10" x14ac:dyDescent="0.25">
      <c r="A1775" t="s">
        <v>7677</v>
      </c>
      <c r="B1775" s="3">
        <v>46306</v>
      </c>
      <c r="C1775" t="s">
        <v>596</v>
      </c>
      <c r="D1775" t="s">
        <v>597</v>
      </c>
      <c r="E1775">
        <v>15</v>
      </c>
      <c r="F1775" t="s">
        <v>355</v>
      </c>
      <c r="G1775" t="s">
        <v>4231</v>
      </c>
      <c r="H1775" t="s">
        <v>7678</v>
      </c>
      <c r="I1775" t="s">
        <v>142</v>
      </c>
      <c r="J1775" t="s">
        <v>2503</v>
      </c>
    </row>
    <row r="1776" spans="1:10" x14ac:dyDescent="0.25">
      <c r="A1776" t="s">
        <v>7679</v>
      </c>
      <c r="B1776" s="3">
        <v>46306</v>
      </c>
      <c r="C1776" t="s">
        <v>422</v>
      </c>
      <c r="D1776" t="s">
        <v>360</v>
      </c>
      <c r="E1776">
        <v>39</v>
      </c>
      <c r="F1776" t="s">
        <v>358</v>
      </c>
      <c r="G1776" t="s">
        <v>4231</v>
      </c>
      <c r="H1776" t="s">
        <v>7680</v>
      </c>
      <c r="I1776" t="s">
        <v>423</v>
      </c>
      <c r="J1776" t="s">
        <v>2509</v>
      </c>
    </row>
    <row r="1777" spans="1:10" x14ac:dyDescent="0.25">
      <c r="A1777" t="s">
        <v>7681</v>
      </c>
      <c r="B1777" s="3">
        <v>46306</v>
      </c>
      <c r="C1777" t="s">
        <v>580</v>
      </c>
      <c r="D1777" t="s">
        <v>490</v>
      </c>
      <c r="E1777">
        <v>8</v>
      </c>
      <c r="F1777" t="s">
        <v>355</v>
      </c>
      <c r="G1777" t="s">
        <v>4231</v>
      </c>
      <c r="H1777" t="s">
        <v>7682</v>
      </c>
      <c r="I1777" t="s">
        <v>69</v>
      </c>
      <c r="J1777" t="s">
        <v>2513</v>
      </c>
    </row>
    <row r="1778" spans="1:10" x14ac:dyDescent="0.25">
      <c r="A1778" t="s">
        <v>7683</v>
      </c>
      <c r="B1778" s="3">
        <v>46306</v>
      </c>
      <c r="C1778" t="s">
        <v>253</v>
      </c>
      <c r="D1778" t="s">
        <v>216</v>
      </c>
      <c r="E1778">
        <v>18</v>
      </c>
      <c r="F1778" t="s">
        <v>2</v>
      </c>
      <c r="G1778" t="s">
        <v>4228</v>
      </c>
      <c r="H1778" t="s">
        <v>7684</v>
      </c>
      <c r="I1778" t="s">
        <v>71</v>
      </c>
      <c r="J1778" t="s">
        <v>2513</v>
      </c>
    </row>
    <row r="1779" spans="1:10" x14ac:dyDescent="0.25">
      <c r="A1779" t="s">
        <v>7685</v>
      </c>
      <c r="B1779" s="3">
        <v>46306</v>
      </c>
      <c r="C1779" t="s">
        <v>545</v>
      </c>
      <c r="D1779" t="s">
        <v>502</v>
      </c>
      <c r="E1779">
        <v>13</v>
      </c>
      <c r="F1779" t="s">
        <v>469</v>
      </c>
      <c r="G1779" t="s">
        <v>4222</v>
      </c>
      <c r="H1779" t="s">
        <v>7686</v>
      </c>
      <c r="I1779" t="s">
        <v>183</v>
      </c>
      <c r="J1779" t="s">
        <v>2513</v>
      </c>
    </row>
    <row r="1780" spans="1:10" x14ac:dyDescent="0.25">
      <c r="A1780" t="s">
        <v>7687</v>
      </c>
      <c r="B1780" s="3">
        <v>46306</v>
      </c>
      <c r="C1780" t="s">
        <v>252</v>
      </c>
      <c r="D1780" t="s">
        <v>216</v>
      </c>
      <c r="E1780">
        <v>13</v>
      </c>
      <c r="F1780" t="s">
        <v>2</v>
      </c>
      <c r="G1780" t="s">
        <v>4225</v>
      </c>
      <c r="H1780" t="s">
        <v>7688</v>
      </c>
      <c r="I1780" t="s">
        <v>52</v>
      </c>
      <c r="J1780" t="s">
        <v>2513</v>
      </c>
    </row>
    <row r="1781" spans="1:10" x14ac:dyDescent="0.25">
      <c r="A1781" t="s">
        <v>7689</v>
      </c>
      <c r="B1781" s="3">
        <v>46306</v>
      </c>
      <c r="C1781" t="s">
        <v>672</v>
      </c>
      <c r="D1781" t="s">
        <v>612</v>
      </c>
      <c r="E1781">
        <v>43</v>
      </c>
      <c r="F1781" t="s">
        <v>2</v>
      </c>
      <c r="G1781" t="s">
        <v>4222</v>
      </c>
      <c r="H1781" t="s">
        <v>7690</v>
      </c>
      <c r="I1781" t="s">
        <v>147</v>
      </c>
      <c r="J1781" t="s">
        <v>2500</v>
      </c>
    </row>
    <row r="1782" spans="1:10" x14ac:dyDescent="0.25">
      <c r="A1782" t="s">
        <v>7691</v>
      </c>
      <c r="B1782" s="3">
        <v>46306</v>
      </c>
      <c r="C1782" t="s">
        <v>499</v>
      </c>
      <c r="D1782" t="s">
        <v>479</v>
      </c>
      <c r="E1782">
        <v>1</v>
      </c>
      <c r="F1782" t="s">
        <v>469</v>
      </c>
      <c r="G1782" t="s">
        <v>4225</v>
      </c>
      <c r="H1782" t="s">
        <v>7692</v>
      </c>
      <c r="I1782" t="s">
        <v>173</v>
      </c>
      <c r="J1782" t="s">
        <v>2513</v>
      </c>
    </row>
    <row r="1783" spans="1:10" x14ac:dyDescent="0.25">
      <c r="A1783" t="s">
        <v>7693</v>
      </c>
      <c r="B1783" s="3">
        <v>46306</v>
      </c>
      <c r="C1783" t="s">
        <v>97</v>
      </c>
      <c r="D1783" t="s">
        <v>1</v>
      </c>
      <c r="E1783">
        <v>48</v>
      </c>
      <c r="F1783" t="s">
        <v>2</v>
      </c>
      <c r="G1783" t="s">
        <v>4231</v>
      </c>
      <c r="H1783" t="s">
        <v>7694</v>
      </c>
      <c r="I1783" t="s">
        <v>98</v>
      </c>
      <c r="J1783" t="s">
        <v>2513</v>
      </c>
    </row>
    <row r="1784" spans="1:10" x14ac:dyDescent="0.25">
      <c r="A1784" t="s">
        <v>7695</v>
      </c>
      <c r="B1784" s="3">
        <v>46306</v>
      </c>
      <c r="C1784" t="s">
        <v>375</v>
      </c>
      <c r="D1784" t="s">
        <v>364</v>
      </c>
      <c r="E1784">
        <v>25</v>
      </c>
      <c r="F1784" t="s">
        <v>358</v>
      </c>
      <c r="G1784" t="s">
        <v>4222</v>
      </c>
      <c r="H1784" t="s">
        <v>7696</v>
      </c>
      <c r="I1784" t="s">
        <v>110</v>
      </c>
      <c r="J1784" t="s">
        <v>2513</v>
      </c>
    </row>
    <row r="1785" spans="1:10" x14ac:dyDescent="0.25">
      <c r="A1785" t="s">
        <v>7697</v>
      </c>
      <c r="B1785" s="3">
        <v>46306</v>
      </c>
      <c r="C1785" t="s">
        <v>168</v>
      </c>
      <c r="D1785" t="s">
        <v>1</v>
      </c>
      <c r="E1785">
        <v>3</v>
      </c>
      <c r="F1785" t="s">
        <v>2</v>
      </c>
      <c r="G1785" t="s">
        <v>4234</v>
      </c>
      <c r="H1785" t="s">
        <v>7698</v>
      </c>
      <c r="I1785" t="s">
        <v>124</v>
      </c>
      <c r="J1785" t="s">
        <v>2509</v>
      </c>
    </row>
    <row r="1786" spans="1:10" x14ac:dyDescent="0.25">
      <c r="A1786" t="s">
        <v>7699</v>
      </c>
      <c r="B1786" s="3">
        <v>46306</v>
      </c>
      <c r="C1786" t="s">
        <v>135</v>
      </c>
      <c r="D1786" t="s">
        <v>44</v>
      </c>
      <c r="E1786">
        <v>13</v>
      </c>
      <c r="F1786" t="s">
        <v>2</v>
      </c>
      <c r="G1786" t="s">
        <v>4228</v>
      </c>
      <c r="H1786" t="s">
        <v>7700</v>
      </c>
      <c r="I1786" t="s">
        <v>73</v>
      </c>
      <c r="J1786" t="s">
        <v>2509</v>
      </c>
    </row>
    <row r="1787" spans="1:10" x14ac:dyDescent="0.25">
      <c r="A1787" t="s">
        <v>7701</v>
      </c>
      <c r="B1787" s="3">
        <v>46306</v>
      </c>
      <c r="C1787" t="s">
        <v>670</v>
      </c>
      <c r="D1787" t="s">
        <v>599</v>
      </c>
      <c r="E1787">
        <v>42</v>
      </c>
      <c r="F1787" t="s">
        <v>2</v>
      </c>
      <c r="G1787" t="s">
        <v>4228</v>
      </c>
      <c r="H1787" t="s">
        <v>7702</v>
      </c>
      <c r="I1787" t="s">
        <v>93</v>
      </c>
      <c r="J1787" t="s">
        <v>2500</v>
      </c>
    </row>
    <row r="1788" spans="1:10" x14ac:dyDescent="0.25">
      <c r="A1788" t="s">
        <v>7703</v>
      </c>
      <c r="B1788" s="3">
        <v>46306</v>
      </c>
      <c r="C1788" t="s">
        <v>260</v>
      </c>
      <c r="D1788" t="s">
        <v>261</v>
      </c>
      <c r="E1788">
        <v>47</v>
      </c>
      <c r="F1788" t="s">
        <v>2</v>
      </c>
      <c r="G1788" t="s">
        <v>4228</v>
      </c>
      <c r="H1788" t="s">
        <v>7704</v>
      </c>
      <c r="I1788" t="s">
        <v>45</v>
      </c>
      <c r="J1788" t="s">
        <v>2509</v>
      </c>
    </row>
    <row r="1789" spans="1:10" x14ac:dyDescent="0.25">
      <c r="A1789" t="s">
        <v>7705</v>
      </c>
      <c r="B1789" s="3">
        <v>46306</v>
      </c>
      <c r="C1789" t="s">
        <v>576</v>
      </c>
      <c r="D1789" t="s">
        <v>471</v>
      </c>
      <c r="E1789">
        <v>39</v>
      </c>
      <c r="F1789" t="s">
        <v>355</v>
      </c>
      <c r="G1789" t="s">
        <v>4225</v>
      </c>
      <c r="H1789" t="s">
        <v>7706</v>
      </c>
      <c r="I1789" t="s">
        <v>106</v>
      </c>
      <c r="J1789" t="s">
        <v>2509</v>
      </c>
    </row>
    <row r="1790" spans="1:10" x14ac:dyDescent="0.25">
      <c r="A1790" t="s">
        <v>7707</v>
      </c>
      <c r="B1790" s="3">
        <v>46306</v>
      </c>
      <c r="C1790" t="s">
        <v>507</v>
      </c>
      <c r="D1790" t="s">
        <v>471</v>
      </c>
      <c r="E1790">
        <v>23</v>
      </c>
      <c r="F1790" t="s">
        <v>355</v>
      </c>
      <c r="G1790" t="s">
        <v>4228</v>
      </c>
      <c r="H1790" t="s">
        <v>7708</v>
      </c>
      <c r="I1790" t="s">
        <v>19</v>
      </c>
      <c r="J1790" t="s">
        <v>2513</v>
      </c>
    </row>
    <row r="1791" spans="1:10" x14ac:dyDescent="0.25">
      <c r="A1791" t="s">
        <v>7709</v>
      </c>
      <c r="B1791" s="3">
        <v>46306</v>
      </c>
      <c r="C1791" t="s">
        <v>463</v>
      </c>
      <c r="D1791" t="s">
        <v>360</v>
      </c>
      <c r="E1791">
        <v>30</v>
      </c>
      <c r="F1791" t="s">
        <v>358</v>
      </c>
      <c r="G1791" t="s">
        <v>4228</v>
      </c>
      <c r="H1791" t="s">
        <v>7710</v>
      </c>
      <c r="I1791" t="s">
        <v>464</v>
      </c>
      <c r="J1791" t="s">
        <v>2500</v>
      </c>
    </row>
    <row r="1792" spans="1:10" x14ac:dyDescent="0.25">
      <c r="A1792" t="s">
        <v>7711</v>
      </c>
      <c r="B1792" s="3">
        <v>46306</v>
      </c>
      <c r="C1792" t="s">
        <v>202</v>
      </c>
      <c r="D1792" t="s">
        <v>54</v>
      </c>
      <c r="E1792">
        <v>53</v>
      </c>
      <c r="F1792" t="s">
        <v>2</v>
      </c>
      <c r="G1792" t="s">
        <v>4231</v>
      </c>
      <c r="H1792" t="s">
        <v>7712</v>
      </c>
      <c r="I1792" t="s">
        <v>203</v>
      </c>
      <c r="J1792" t="s">
        <v>2509</v>
      </c>
    </row>
    <row r="1793" spans="1:10" x14ac:dyDescent="0.25">
      <c r="A1793" t="s">
        <v>7713</v>
      </c>
      <c r="B1793" s="3">
        <v>46306</v>
      </c>
      <c r="C1793" t="s">
        <v>472</v>
      </c>
      <c r="D1793" t="s">
        <v>467</v>
      </c>
      <c r="E1793">
        <v>2</v>
      </c>
      <c r="F1793" t="s">
        <v>469</v>
      </c>
      <c r="G1793" t="s">
        <v>4234</v>
      </c>
      <c r="H1793" t="s">
        <v>7714</v>
      </c>
      <c r="I1793" t="s">
        <v>119</v>
      </c>
      <c r="J1793" t="s">
        <v>2513</v>
      </c>
    </row>
    <row r="1794" spans="1:10" x14ac:dyDescent="0.25">
      <c r="A1794" t="s">
        <v>7715</v>
      </c>
      <c r="B1794" s="3">
        <v>46306</v>
      </c>
      <c r="C1794" t="s">
        <v>262</v>
      </c>
      <c r="D1794" t="s">
        <v>223</v>
      </c>
      <c r="E1794">
        <v>17</v>
      </c>
      <c r="F1794" t="s">
        <v>2</v>
      </c>
      <c r="G1794" t="s">
        <v>4228</v>
      </c>
      <c r="H1794" t="s">
        <v>7716</v>
      </c>
      <c r="I1794" t="s">
        <v>259</v>
      </c>
      <c r="J1794" t="s">
        <v>2500</v>
      </c>
    </row>
    <row r="1795" spans="1:10" x14ac:dyDescent="0.25">
      <c r="A1795" t="s">
        <v>7717</v>
      </c>
      <c r="B1795" s="3">
        <v>46306</v>
      </c>
      <c r="C1795" t="s">
        <v>570</v>
      </c>
      <c r="D1795" t="s">
        <v>484</v>
      </c>
      <c r="E1795">
        <v>3</v>
      </c>
      <c r="F1795" t="s">
        <v>469</v>
      </c>
      <c r="G1795" t="s">
        <v>4231</v>
      </c>
      <c r="H1795" t="s">
        <v>7718</v>
      </c>
      <c r="I1795" t="s">
        <v>106</v>
      </c>
      <c r="J1795" t="s">
        <v>2500</v>
      </c>
    </row>
    <row r="1796" spans="1:10" x14ac:dyDescent="0.25">
      <c r="A1796" t="s">
        <v>7719</v>
      </c>
      <c r="B1796" s="3">
        <v>46306</v>
      </c>
      <c r="C1796" t="s">
        <v>350</v>
      </c>
      <c r="D1796" t="s">
        <v>351</v>
      </c>
      <c r="E1796">
        <v>8</v>
      </c>
      <c r="F1796" t="s">
        <v>2</v>
      </c>
      <c r="G1796" t="s">
        <v>4225</v>
      </c>
      <c r="H1796" t="s">
        <v>7720</v>
      </c>
      <c r="I1796" t="s">
        <v>110</v>
      </c>
      <c r="J1796" t="s">
        <v>2500</v>
      </c>
    </row>
    <row r="1797" spans="1:10" x14ac:dyDescent="0.25">
      <c r="A1797" t="s">
        <v>7721</v>
      </c>
      <c r="B1797" s="3">
        <v>46306</v>
      </c>
      <c r="C1797" t="s">
        <v>315</v>
      </c>
      <c r="D1797" t="s">
        <v>213</v>
      </c>
      <c r="E1797">
        <v>44</v>
      </c>
      <c r="F1797" t="s">
        <v>2</v>
      </c>
      <c r="G1797" t="s">
        <v>4231</v>
      </c>
      <c r="H1797" t="s">
        <v>7591</v>
      </c>
      <c r="I1797" t="s">
        <v>189</v>
      </c>
      <c r="J1797" t="s">
        <v>2513</v>
      </c>
    </row>
    <row r="1798" spans="1:10" x14ac:dyDescent="0.25">
      <c r="A1798" t="s">
        <v>7722</v>
      </c>
      <c r="B1798" s="3">
        <v>46306</v>
      </c>
      <c r="C1798" t="s">
        <v>153</v>
      </c>
      <c r="D1798" t="s">
        <v>26</v>
      </c>
      <c r="E1798">
        <v>23</v>
      </c>
      <c r="F1798" t="s">
        <v>2</v>
      </c>
      <c r="G1798" t="s">
        <v>4234</v>
      </c>
      <c r="H1798" t="s">
        <v>7723</v>
      </c>
      <c r="I1798" t="s">
        <v>93</v>
      </c>
      <c r="J1798" t="s">
        <v>2509</v>
      </c>
    </row>
    <row r="1799" spans="1:10" x14ac:dyDescent="0.25">
      <c r="A1799" t="s">
        <v>7724</v>
      </c>
      <c r="B1799" s="3">
        <v>46306</v>
      </c>
      <c r="C1799" t="s">
        <v>309</v>
      </c>
      <c r="D1799" t="s">
        <v>225</v>
      </c>
      <c r="E1799">
        <v>48</v>
      </c>
      <c r="F1799" t="s">
        <v>2</v>
      </c>
      <c r="G1799" t="s">
        <v>4228</v>
      </c>
      <c r="H1799" t="s">
        <v>7725</v>
      </c>
      <c r="I1799" t="s">
        <v>310</v>
      </c>
      <c r="J1799" t="s">
        <v>2509</v>
      </c>
    </row>
    <row r="1800" spans="1:10" x14ac:dyDescent="0.25">
      <c r="A1800" t="s">
        <v>7726</v>
      </c>
      <c r="B1800" s="3">
        <v>46306</v>
      </c>
      <c r="C1800" t="s">
        <v>300</v>
      </c>
      <c r="D1800" t="s">
        <v>261</v>
      </c>
      <c r="E1800">
        <v>3</v>
      </c>
      <c r="F1800" t="s">
        <v>2</v>
      </c>
      <c r="G1800" t="s">
        <v>4228</v>
      </c>
      <c r="H1800" t="s">
        <v>7727</v>
      </c>
      <c r="I1800" t="s">
        <v>201</v>
      </c>
      <c r="J1800" t="s">
        <v>2503</v>
      </c>
    </row>
    <row r="1801" spans="1:10" x14ac:dyDescent="0.25">
      <c r="A1801" t="s">
        <v>7728</v>
      </c>
      <c r="B1801" s="3">
        <v>46306</v>
      </c>
      <c r="C1801" t="s">
        <v>333</v>
      </c>
      <c r="D1801" t="s">
        <v>223</v>
      </c>
      <c r="E1801">
        <v>15</v>
      </c>
      <c r="F1801" t="s">
        <v>2</v>
      </c>
      <c r="G1801" t="s">
        <v>4231</v>
      </c>
      <c r="H1801" t="s">
        <v>7729</v>
      </c>
      <c r="I1801" t="s">
        <v>59</v>
      </c>
      <c r="J1801" t="s">
        <v>2500</v>
      </c>
    </row>
    <row r="1802" spans="1:10" x14ac:dyDescent="0.25">
      <c r="A1802" t="s">
        <v>7730</v>
      </c>
      <c r="B1802" s="3">
        <v>46306</v>
      </c>
      <c r="C1802" t="s">
        <v>626</v>
      </c>
      <c r="D1802" t="s">
        <v>589</v>
      </c>
      <c r="E1802">
        <v>34</v>
      </c>
      <c r="F1802" t="s">
        <v>469</v>
      </c>
      <c r="G1802" t="s">
        <v>4231</v>
      </c>
      <c r="H1802" t="s">
        <v>7731</v>
      </c>
      <c r="I1802" t="s">
        <v>289</v>
      </c>
      <c r="J1802" t="s">
        <v>2509</v>
      </c>
    </row>
    <row r="1803" spans="1:10" x14ac:dyDescent="0.25">
      <c r="A1803" t="s">
        <v>7732</v>
      </c>
      <c r="B1803" s="3">
        <v>46306</v>
      </c>
      <c r="C1803" t="s">
        <v>439</v>
      </c>
      <c r="D1803" t="s">
        <v>378</v>
      </c>
      <c r="E1803">
        <v>54</v>
      </c>
      <c r="F1803" t="s">
        <v>2</v>
      </c>
      <c r="G1803" t="s">
        <v>4234</v>
      </c>
      <c r="H1803" t="s">
        <v>7733</v>
      </c>
      <c r="I1803" t="s">
        <v>440</v>
      </c>
      <c r="J1803" t="s">
        <v>2513</v>
      </c>
    </row>
    <row r="1804" spans="1:10" x14ac:dyDescent="0.25">
      <c r="A1804" t="s">
        <v>7734</v>
      </c>
      <c r="B1804" s="3">
        <v>46306</v>
      </c>
      <c r="C1804" t="s">
        <v>103</v>
      </c>
      <c r="D1804" t="s">
        <v>29</v>
      </c>
      <c r="E1804">
        <v>26</v>
      </c>
      <c r="F1804" t="s">
        <v>2</v>
      </c>
      <c r="G1804" t="s">
        <v>4234</v>
      </c>
      <c r="H1804" t="s">
        <v>7735</v>
      </c>
      <c r="I1804" t="s">
        <v>104</v>
      </c>
      <c r="J1804" t="s">
        <v>2509</v>
      </c>
    </row>
    <row r="1805" spans="1:10" x14ac:dyDescent="0.25">
      <c r="A1805" t="s">
        <v>7736</v>
      </c>
      <c r="B1805" s="3">
        <v>46306</v>
      </c>
      <c r="C1805" t="s">
        <v>329</v>
      </c>
      <c r="D1805" t="s">
        <v>227</v>
      </c>
      <c r="E1805">
        <v>19</v>
      </c>
      <c r="F1805" t="s">
        <v>2</v>
      </c>
      <c r="G1805" t="s">
        <v>4225</v>
      </c>
      <c r="H1805" t="s">
        <v>7737</v>
      </c>
      <c r="I1805" t="s">
        <v>330</v>
      </c>
      <c r="J1805" t="s">
        <v>2500</v>
      </c>
    </row>
    <row r="1806" spans="1:10" x14ac:dyDescent="0.25">
      <c r="A1806" t="s">
        <v>7738</v>
      </c>
      <c r="B1806" s="3">
        <v>46306</v>
      </c>
      <c r="C1806" t="s">
        <v>170</v>
      </c>
      <c r="D1806" t="s">
        <v>66</v>
      </c>
      <c r="E1806">
        <v>16</v>
      </c>
      <c r="F1806" t="s">
        <v>2</v>
      </c>
      <c r="G1806" t="s">
        <v>4228</v>
      </c>
      <c r="H1806" t="s">
        <v>7739</v>
      </c>
      <c r="I1806" t="s">
        <v>171</v>
      </c>
      <c r="J1806" t="s">
        <v>2509</v>
      </c>
    </row>
    <row r="1807" spans="1:10" x14ac:dyDescent="0.25">
      <c r="A1807" t="s">
        <v>7740</v>
      </c>
      <c r="B1807" s="3">
        <v>46306</v>
      </c>
      <c r="C1807" t="s">
        <v>586</v>
      </c>
      <c r="D1807" t="s">
        <v>587</v>
      </c>
      <c r="E1807">
        <v>21</v>
      </c>
      <c r="F1807" t="s">
        <v>2</v>
      </c>
      <c r="G1807" t="s">
        <v>4234</v>
      </c>
      <c r="H1807" t="s">
        <v>7741</v>
      </c>
      <c r="I1807" t="s">
        <v>166</v>
      </c>
      <c r="J1807" t="s">
        <v>2509</v>
      </c>
    </row>
    <row r="1808" spans="1:10" x14ac:dyDescent="0.25">
      <c r="A1808" t="s">
        <v>7742</v>
      </c>
      <c r="B1808" s="3">
        <v>46306</v>
      </c>
      <c r="C1808" t="s">
        <v>447</v>
      </c>
      <c r="D1808" t="s">
        <v>349</v>
      </c>
      <c r="E1808">
        <v>41</v>
      </c>
      <c r="F1808" t="s">
        <v>2</v>
      </c>
      <c r="G1808" t="s">
        <v>4231</v>
      </c>
      <c r="H1808" t="s">
        <v>7743</v>
      </c>
      <c r="I1808" t="s">
        <v>440</v>
      </c>
      <c r="J1808" t="s">
        <v>2513</v>
      </c>
    </row>
    <row r="1809" spans="1:10" x14ac:dyDescent="0.25">
      <c r="A1809" t="s">
        <v>7744</v>
      </c>
      <c r="B1809" s="3">
        <v>46306</v>
      </c>
      <c r="C1809" t="s">
        <v>674</v>
      </c>
      <c r="D1809" t="s">
        <v>587</v>
      </c>
      <c r="E1809">
        <v>44</v>
      </c>
      <c r="F1809" t="s">
        <v>2</v>
      </c>
      <c r="G1809" t="s">
        <v>4231</v>
      </c>
      <c r="H1809" t="s">
        <v>7745</v>
      </c>
      <c r="I1809" t="s">
        <v>75</v>
      </c>
      <c r="J1809" t="s">
        <v>2513</v>
      </c>
    </row>
    <row r="1810" spans="1:10" x14ac:dyDescent="0.25">
      <c r="A1810" t="s">
        <v>7746</v>
      </c>
      <c r="B1810" s="3">
        <v>46307</v>
      </c>
      <c r="C1810" t="s">
        <v>462</v>
      </c>
      <c r="D1810" t="s">
        <v>349</v>
      </c>
      <c r="E1810">
        <v>27</v>
      </c>
      <c r="F1810" t="s">
        <v>2</v>
      </c>
      <c r="G1810" t="s">
        <v>4225</v>
      </c>
      <c r="H1810" t="s">
        <v>7747</v>
      </c>
      <c r="I1810" t="s">
        <v>310</v>
      </c>
      <c r="J1810" t="s">
        <v>2513</v>
      </c>
    </row>
    <row r="1811" spans="1:10" x14ac:dyDescent="0.25">
      <c r="A1811" t="s">
        <v>7748</v>
      </c>
      <c r="B1811" s="3">
        <v>46307</v>
      </c>
      <c r="C1811" t="s">
        <v>304</v>
      </c>
      <c r="D1811" t="s">
        <v>227</v>
      </c>
      <c r="E1811">
        <v>16</v>
      </c>
      <c r="F1811" t="s">
        <v>2</v>
      </c>
      <c r="G1811" t="s">
        <v>4225</v>
      </c>
      <c r="H1811" t="s">
        <v>7749</v>
      </c>
      <c r="I1811" t="s">
        <v>305</v>
      </c>
      <c r="J1811" t="s">
        <v>2500</v>
      </c>
    </row>
    <row r="1812" spans="1:10" x14ac:dyDescent="0.25">
      <c r="A1812" t="s">
        <v>7750</v>
      </c>
      <c r="B1812" s="3">
        <v>46307</v>
      </c>
      <c r="C1812" t="s">
        <v>472</v>
      </c>
      <c r="D1812" t="s">
        <v>467</v>
      </c>
      <c r="E1812">
        <v>25</v>
      </c>
      <c r="F1812" t="s">
        <v>469</v>
      </c>
      <c r="G1812" t="s">
        <v>4234</v>
      </c>
      <c r="H1812" t="s">
        <v>7751</v>
      </c>
      <c r="I1812" t="s">
        <v>119</v>
      </c>
      <c r="J1812" t="s">
        <v>2500</v>
      </c>
    </row>
    <row r="1813" spans="1:10" x14ac:dyDescent="0.25">
      <c r="A1813" t="s">
        <v>7752</v>
      </c>
      <c r="B1813" s="3">
        <v>46307</v>
      </c>
      <c r="C1813" t="s">
        <v>94</v>
      </c>
      <c r="D1813" t="s">
        <v>15</v>
      </c>
      <c r="E1813">
        <v>41</v>
      </c>
      <c r="F1813" t="s">
        <v>2</v>
      </c>
      <c r="G1813" t="s">
        <v>4234</v>
      </c>
      <c r="H1813" t="s">
        <v>7753</v>
      </c>
      <c r="I1813" t="s">
        <v>95</v>
      </c>
      <c r="J1813" t="s">
        <v>2513</v>
      </c>
    </row>
    <row r="1814" spans="1:10" x14ac:dyDescent="0.25">
      <c r="A1814" t="s">
        <v>7754</v>
      </c>
      <c r="B1814" s="3">
        <v>46307</v>
      </c>
      <c r="C1814" t="s">
        <v>103</v>
      </c>
      <c r="D1814" t="s">
        <v>29</v>
      </c>
      <c r="E1814">
        <v>6</v>
      </c>
      <c r="F1814" t="s">
        <v>2</v>
      </c>
      <c r="G1814" t="s">
        <v>4234</v>
      </c>
      <c r="H1814" t="s">
        <v>7755</v>
      </c>
      <c r="I1814" t="s">
        <v>104</v>
      </c>
      <c r="J1814" t="s">
        <v>2500</v>
      </c>
    </row>
    <row r="1815" spans="1:10" x14ac:dyDescent="0.25">
      <c r="A1815" t="s">
        <v>7756</v>
      </c>
      <c r="B1815" s="3">
        <v>46307</v>
      </c>
      <c r="C1815" t="s">
        <v>352</v>
      </c>
      <c r="D1815" t="s">
        <v>344</v>
      </c>
      <c r="E1815">
        <v>12</v>
      </c>
      <c r="F1815" t="s">
        <v>346</v>
      </c>
      <c r="G1815" t="s">
        <v>4234</v>
      </c>
      <c r="H1815" t="s">
        <v>7757</v>
      </c>
      <c r="I1815" t="s">
        <v>189</v>
      </c>
      <c r="J1815" t="s">
        <v>2500</v>
      </c>
    </row>
    <row r="1816" spans="1:10" x14ac:dyDescent="0.25">
      <c r="A1816" t="s">
        <v>7758</v>
      </c>
      <c r="B1816" s="3">
        <v>46307</v>
      </c>
      <c r="C1816" t="s">
        <v>647</v>
      </c>
      <c r="D1816" t="s">
        <v>629</v>
      </c>
      <c r="E1816">
        <v>28</v>
      </c>
      <c r="F1816" t="s">
        <v>355</v>
      </c>
      <c r="G1816" t="s">
        <v>4222</v>
      </c>
      <c r="H1816" t="s">
        <v>7759</v>
      </c>
      <c r="I1816" t="s">
        <v>230</v>
      </c>
      <c r="J1816" t="s">
        <v>2503</v>
      </c>
    </row>
    <row r="1817" spans="1:10" x14ac:dyDescent="0.25">
      <c r="A1817" t="s">
        <v>7760</v>
      </c>
      <c r="B1817" s="3">
        <v>46307</v>
      </c>
      <c r="C1817" t="s">
        <v>359</v>
      </c>
      <c r="D1817" t="s">
        <v>360</v>
      </c>
      <c r="E1817">
        <v>21</v>
      </c>
      <c r="F1817" t="s">
        <v>358</v>
      </c>
      <c r="G1817" t="s">
        <v>4234</v>
      </c>
      <c r="H1817" t="s">
        <v>7761</v>
      </c>
      <c r="I1817" t="s">
        <v>361</v>
      </c>
      <c r="J1817" t="s">
        <v>2509</v>
      </c>
    </row>
    <row r="1818" spans="1:10" x14ac:dyDescent="0.25">
      <c r="A1818" t="s">
        <v>7762</v>
      </c>
      <c r="B1818" s="3">
        <v>46307</v>
      </c>
      <c r="C1818" t="s">
        <v>576</v>
      </c>
      <c r="D1818" t="s">
        <v>471</v>
      </c>
      <c r="E1818">
        <v>34</v>
      </c>
      <c r="F1818" t="s">
        <v>355</v>
      </c>
      <c r="G1818" t="s">
        <v>4225</v>
      </c>
      <c r="H1818" t="s">
        <v>7763</v>
      </c>
      <c r="I1818" t="s">
        <v>106</v>
      </c>
      <c r="J1818" t="s">
        <v>2500</v>
      </c>
    </row>
    <row r="1819" spans="1:10" x14ac:dyDescent="0.25">
      <c r="A1819" t="s">
        <v>7764</v>
      </c>
      <c r="B1819" s="3">
        <v>46307</v>
      </c>
      <c r="C1819" t="s">
        <v>631</v>
      </c>
      <c r="D1819" t="s">
        <v>582</v>
      </c>
      <c r="E1819">
        <v>53</v>
      </c>
      <c r="F1819" t="s">
        <v>2</v>
      </c>
      <c r="G1819" t="s">
        <v>4228</v>
      </c>
      <c r="H1819" t="s">
        <v>7765</v>
      </c>
      <c r="I1819" t="s">
        <v>110</v>
      </c>
      <c r="J1819" t="s">
        <v>2500</v>
      </c>
    </row>
    <row r="1820" spans="1:10" x14ac:dyDescent="0.25">
      <c r="A1820" t="s">
        <v>7766</v>
      </c>
      <c r="B1820" s="3">
        <v>46307</v>
      </c>
      <c r="C1820" t="s">
        <v>229</v>
      </c>
      <c r="D1820" t="s">
        <v>218</v>
      </c>
      <c r="E1820">
        <v>13</v>
      </c>
      <c r="F1820" t="s">
        <v>2</v>
      </c>
      <c r="G1820" t="s">
        <v>4225</v>
      </c>
      <c r="H1820" t="s">
        <v>7283</v>
      </c>
      <c r="I1820" t="s">
        <v>230</v>
      </c>
      <c r="J1820" t="s">
        <v>2500</v>
      </c>
    </row>
    <row r="1821" spans="1:10" x14ac:dyDescent="0.25">
      <c r="A1821" t="s">
        <v>7767</v>
      </c>
      <c r="B1821" s="3">
        <v>46307</v>
      </c>
      <c r="C1821" t="s">
        <v>491</v>
      </c>
      <c r="D1821" t="s">
        <v>481</v>
      </c>
      <c r="E1821">
        <v>18</v>
      </c>
      <c r="F1821" t="s">
        <v>2</v>
      </c>
      <c r="G1821" t="s">
        <v>4222</v>
      </c>
      <c r="H1821" t="s">
        <v>7768</v>
      </c>
      <c r="I1821" t="s">
        <v>324</v>
      </c>
      <c r="J1821" t="s">
        <v>2500</v>
      </c>
    </row>
    <row r="1822" spans="1:10" x14ac:dyDescent="0.25">
      <c r="A1822" t="s">
        <v>7769</v>
      </c>
      <c r="B1822" s="3">
        <v>46307</v>
      </c>
      <c r="C1822" t="s">
        <v>72</v>
      </c>
      <c r="D1822" t="s">
        <v>29</v>
      </c>
      <c r="E1822">
        <v>18</v>
      </c>
      <c r="F1822" t="s">
        <v>2</v>
      </c>
      <c r="G1822" t="s">
        <v>4225</v>
      </c>
      <c r="H1822" t="s">
        <v>7770</v>
      </c>
      <c r="I1822" t="s">
        <v>73</v>
      </c>
      <c r="J1822" t="s">
        <v>2500</v>
      </c>
    </row>
    <row r="1823" spans="1:10" x14ac:dyDescent="0.25">
      <c r="A1823" t="s">
        <v>7771</v>
      </c>
      <c r="B1823" s="3">
        <v>46307</v>
      </c>
      <c r="C1823" t="s">
        <v>443</v>
      </c>
      <c r="D1823" t="s">
        <v>382</v>
      </c>
      <c r="E1823">
        <v>13</v>
      </c>
      <c r="F1823" t="s">
        <v>383</v>
      </c>
      <c r="G1823" t="s">
        <v>4222</v>
      </c>
      <c r="H1823" t="s">
        <v>7772</v>
      </c>
      <c r="I1823" t="s">
        <v>330</v>
      </c>
      <c r="J1823" t="s">
        <v>2500</v>
      </c>
    </row>
    <row r="1824" spans="1:10" x14ac:dyDescent="0.25">
      <c r="A1824" t="s">
        <v>7773</v>
      </c>
      <c r="B1824" s="3">
        <v>46307</v>
      </c>
      <c r="C1824" t="s">
        <v>571</v>
      </c>
      <c r="D1824" t="s">
        <v>488</v>
      </c>
      <c r="E1824">
        <v>43</v>
      </c>
      <c r="F1824" t="s">
        <v>469</v>
      </c>
      <c r="G1824" t="s">
        <v>4222</v>
      </c>
      <c r="H1824" t="s">
        <v>7774</v>
      </c>
      <c r="I1824" t="s">
        <v>289</v>
      </c>
      <c r="J1824" t="s">
        <v>2509</v>
      </c>
    </row>
    <row r="1825" spans="1:10" x14ac:dyDescent="0.25">
      <c r="A1825" t="s">
        <v>7775</v>
      </c>
      <c r="B1825" s="3">
        <v>46307</v>
      </c>
      <c r="C1825" t="s">
        <v>107</v>
      </c>
      <c r="D1825" t="s">
        <v>29</v>
      </c>
      <c r="E1825">
        <v>55</v>
      </c>
      <c r="F1825" t="s">
        <v>2</v>
      </c>
      <c r="G1825" t="s">
        <v>4234</v>
      </c>
      <c r="H1825" t="s">
        <v>7776</v>
      </c>
      <c r="I1825" t="s">
        <v>108</v>
      </c>
      <c r="J1825" t="s">
        <v>2500</v>
      </c>
    </row>
    <row r="1826" spans="1:10" x14ac:dyDescent="0.25">
      <c r="A1826" t="s">
        <v>7777</v>
      </c>
      <c r="B1826" s="3">
        <v>46307</v>
      </c>
      <c r="C1826" t="s">
        <v>286</v>
      </c>
      <c r="D1826" t="s">
        <v>218</v>
      </c>
      <c r="E1826">
        <v>15</v>
      </c>
      <c r="F1826" t="s">
        <v>2</v>
      </c>
      <c r="G1826" t="s">
        <v>4225</v>
      </c>
      <c r="H1826" t="s">
        <v>7778</v>
      </c>
      <c r="I1826" t="s">
        <v>287</v>
      </c>
      <c r="J1826" t="s">
        <v>2503</v>
      </c>
    </row>
    <row r="1827" spans="1:10" x14ac:dyDescent="0.25">
      <c r="A1827" t="s">
        <v>7779</v>
      </c>
      <c r="B1827" s="3">
        <v>46307</v>
      </c>
      <c r="C1827" t="s">
        <v>652</v>
      </c>
      <c r="D1827" t="s">
        <v>587</v>
      </c>
      <c r="E1827">
        <v>24</v>
      </c>
      <c r="F1827" t="s">
        <v>2</v>
      </c>
      <c r="G1827" t="s">
        <v>4225</v>
      </c>
      <c r="H1827" t="s">
        <v>7780</v>
      </c>
      <c r="I1827" t="s">
        <v>34</v>
      </c>
      <c r="J1827" t="s">
        <v>2500</v>
      </c>
    </row>
    <row r="1828" spans="1:10" x14ac:dyDescent="0.25">
      <c r="A1828" t="s">
        <v>7781</v>
      </c>
      <c r="B1828" s="3">
        <v>46307</v>
      </c>
      <c r="C1828" t="s">
        <v>433</v>
      </c>
      <c r="D1828" t="s">
        <v>354</v>
      </c>
      <c r="E1828">
        <v>5</v>
      </c>
      <c r="F1828" t="s">
        <v>355</v>
      </c>
      <c r="G1828" t="s">
        <v>4225</v>
      </c>
      <c r="H1828" t="s">
        <v>7782</v>
      </c>
      <c r="I1828" t="s">
        <v>203</v>
      </c>
      <c r="J1828" t="s">
        <v>2513</v>
      </c>
    </row>
    <row r="1829" spans="1:10" x14ac:dyDescent="0.25">
      <c r="A1829" t="s">
        <v>7783</v>
      </c>
      <c r="B1829" s="3">
        <v>46307</v>
      </c>
      <c r="C1829" t="s">
        <v>319</v>
      </c>
      <c r="D1829" t="s">
        <v>234</v>
      </c>
      <c r="E1829">
        <v>41</v>
      </c>
      <c r="F1829" t="s">
        <v>2</v>
      </c>
      <c r="G1829" t="s">
        <v>4222</v>
      </c>
      <c r="H1829" t="s">
        <v>7784</v>
      </c>
      <c r="I1829" t="s">
        <v>287</v>
      </c>
      <c r="J1829" t="s">
        <v>2509</v>
      </c>
    </row>
    <row r="1830" spans="1:10" x14ac:dyDescent="0.25">
      <c r="A1830" t="s">
        <v>7785</v>
      </c>
      <c r="B1830" s="3">
        <v>46307</v>
      </c>
      <c r="C1830" t="s">
        <v>519</v>
      </c>
      <c r="D1830" t="s">
        <v>488</v>
      </c>
      <c r="E1830">
        <v>21</v>
      </c>
      <c r="F1830" t="s">
        <v>469</v>
      </c>
      <c r="G1830" t="s">
        <v>4231</v>
      </c>
      <c r="H1830" t="s">
        <v>7786</v>
      </c>
      <c r="I1830" t="s">
        <v>126</v>
      </c>
      <c r="J1830" t="s">
        <v>2509</v>
      </c>
    </row>
    <row r="1831" spans="1:10" x14ac:dyDescent="0.25">
      <c r="A1831" t="s">
        <v>7787</v>
      </c>
      <c r="B1831" s="3">
        <v>46307</v>
      </c>
      <c r="C1831" t="s">
        <v>607</v>
      </c>
      <c r="D1831" t="s">
        <v>587</v>
      </c>
      <c r="E1831">
        <v>38</v>
      </c>
      <c r="F1831" t="s">
        <v>2</v>
      </c>
      <c r="G1831" t="s">
        <v>4222</v>
      </c>
      <c r="H1831" t="s">
        <v>7788</v>
      </c>
      <c r="I1831" t="s">
        <v>149</v>
      </c>
      <c r="J1831" t="s">
        <v>2513</v>
      </c>
    </row>
    <row r="1832" spans="1:10" x14ac:dyDescent="0.25">
      <c r="A1832" t="s">
        <v>7789</v>
      </c>
      <c r="B1832" s="3">
        <v>46307</v>
      </c>
      <c r="C1832" t="s">
        <v>53</v>
      </c>
      <c r="D1832" t="s">
        <v>54</v>
      </c>
      <c r="E1832">
        <v>53</v>
      </c>
      <c r="F1832" t="s">
        <v>2</v>
      </c>
      <c r="G1832" t="s">
        <v>4225</v>
      </c>
      <c r="H1832" t="s">
        <v>7790</v>
      </c>
      <c r="I1832" t="s">
        <v>57</v>
      </c>
      <c r="J1832" t="s">
        <v>2503</v>
      </c>
    </row>
    <row r="1833" spans="1:10" x14ac:dyDescent="0.25">
      <c r="A1833" t="s">
        <v>7791</v>
      </c>
      <c r="B1833" s="3">
        <v>46307</v>
      </c>
      <c r="C1833" t="s">
        <v>284</v>
      </c>
      <c r="D1833" t="s">
        <v>213</v>
      </c>
      <c r="E1833">
        <v>3</v>
      </c>
      <c r="F1833" t="s">
        <v>2</v>
      </c>
      <c r="G1833" t="s">
        <v>4225</v>
      </c>
      <c r="H1833" t="s">
        <v>6965</v>
      </c>
      <c r="I1833" t="s">
        <v>108</v>
      </c>
      <c r="J1833" t="s">
        <v>2509</v>
      </c>
    </row>
    <row r="1834" spans="1:10" x14ac:dyDescent="0.25">
      <c r="A1834" t="s">
        <v>7792</v>
      </c>
      <c r="B1834" s="3">
        <v>46307</v>
      </c>
      <c r="C1834" t="s">
        <v>300</v>
      </c>
      <c r="D1834" t="s">
        <v>261</v>
      </c>
      <c r="E1834">
        <v>24</v>
      </c>
      <c r="F1834" t="s">
        <v>2</v>
      </c>
      <c r="G1834" t="s">
        <v>4234</v>
      </c>
      <c r="H1834" t="s">
        <v>7793</v>
      </c>
      <c r="I1834" t="s">
        <v>201</v>
      </c>
      <c r="J1834" t="s">
        <v>2500</v>
      </c>
    </row>
    <row r="1835" spans="1:10" x14ac:dyDescent="0.25">
      <c r="A1835" t="s">
        <v>7794</v>
      </c>
      <c r="B1835" s="3">
        <v>46307</v>
      </c>
      <c r="C1835" t="s">
        <v>148</v>
      </c>
      <c r="D1835" t="s">
        <v>44</v>
      </c>
      <c r="E1835">
        <v>27</v>
      </c>
      <c r="F1835" t="s">
        <v>2</v>
      </c>
      <c r="G1835" t="s">
        <v>4225</v>
      </c>
      <c r="H1835" t="s">
        <v>7795</v>
      </c>
      <c r="I1835" t="s">
        <v>149</v>
      </c>
      <c r="J1835" t="s">
        <v>2509</v>
      </c>
    </row>
    <row r="1836" spans="1:10" x14ac:dyDescent="0.25">
      <c r="A1836" t="s">
        <v>7796</v>
      </c>
      <c r="B1836" s="3">
        <v>46307</v>
      </c>
      <c r="C1836" t="s">
        <v>649</v>
      </c>
      <c r="D1836" t="s">
        <v>597</v>
      </c>
      <c r="E1836">
        <v>55</v>
      </c>
      <c r="F1836" t="s">
        <v>355</v>
      </c>
      <c r="G1836" t="s">
        <v>4222</v>
      </c>
      <c r="H1836" t="s">
        <v>7797</v>
      </c>
      <c r="I1836" t="s">
        <v>361</v>
      </c>
      <c r="J1836" t="s">
        <v>2503</v>
      </c>
    </row>
    <row r="1837" spans="1:10" x14ac:dyDescent="0.25">
      <c r="A1837" t="s">
        <v>7798</v>
      </c>
      <c r="B1837" s="3">
        <v>46307</v>
      </c>
      <c r="C1837" t="s">
        <v>380</v>
      </c>
      <c r="D1837" t="s">
        <v>344</v>
      </c>
      <c r="E1837">
        <v>20</v>
      </c>
      <c r="F1837" t="s">
        <v>346</v>
      </c>
      <c r="G1837" t="s">
        <v>4234</v>
      </c>
      <c r="H1837" t="s">
        <v>7799</v>
      </c>
      <c r="I1837" t="s">
        <v>129</v>
      </c>
      <c r="J1837" t="s">
        <v>2509</v>
      </c>
    </row>
    <row r="1838" spans="1:10" x14ac:dyDescent="0.25">
      <c r="A1838" t="s">
        <v>7800</v>
      </c>
      <c r="B1838" s="3">
        <v>46307</v>
      </c>
      <c r="C1838" t="s">
        <v>53</v>
      </c>
      <c r="D1838" t="s">
        <v>54</v>
      </c>
      <c r="E1838">
        <v>28</v>
      </c>
      <c r="F1838" t="s">
        <v>2</v>
      </c>
      <c r="G1838" t="s">
        <v>4231</v>
      </c>
      <c r="H1838" t="s">
        <v>7801</v>
      </c>
      <c r="I1838" t="s">
        <v>57</v>
      </c>
      <c r="J1838" t="s">
        <v>2500</v>
      </c>
    </row>
    <row r="1839" spans="1:10" x14ac:dyDescent="0.25">
      <c r="A1839" t="s">
        <v>7802</v>
      </c>
      <c r="B1839" s="3">
        <v>46307</v>
      </c>
      <c r="C1839" t="s">
        <v>630</v>
      </c>
      <c r="D1839" t="s">
        <v>594</v>
      </c>
      <c r="E1839">
        <v>8</v>
      </c>
      <c r="F1839" t="s">
        <v>595</v>
      </c>
      <c r="G1839" t="s">
        <v>4231</v>
      </c>
      <c r="H1839" t="s">
        <v>7803</v>
      </c>
      <c r="I1839" t="s">
        <v>312</v>
      </c>
      <c r="J1839" t="s">
        <v>2503</v>
      </c>
    </row>
    <row r="1840" spans="1:10" x14ac:dyDescent="0.25">
      <c r="A1840" t="s">
        <v>7804</v>
      </c>
      <c r="B1840" s="3">
        <v>46307</v>
      </c>
      <c r="C1840" t="s">
        <v>681</v>
      </c>
      <c r="D1840" t="s">
        <v>589</v>
      </c>
      <c r="E1840">
        <v>20</v>
      </c>
      <c r="F1840" t="s">
        <v>469</v>
      </c>
      <c r="G1840" t="s">
        <v>4228</v>
      </c>
      <c r="H1840" t="s">
        <v>7805</v>
      </c>
      <c r="I1840" t="s">
        <v>259</v>
      </c>
      <c r="J1840" t="s">
        <v>2513</v>
      </c>
    </row>
    <row r="1841" spans="1:10" x14ac:dyDescent="0.25">
      <c r="A1841" t="s">
        <v>7806</v>
      </c>
      <c r="B1841" s="3">
        <v>46307</v>
      </c>
      <c r="C1841" t="s">
        <v>572</v>
      </c>
      <c r="D1841" t="s">
        <v>490</v>
      </c>
      <c r="E1841">
        <v>25</v>
      </c>
      <c r="F1841" t="s">
        <v>355</v>
      </c>
      <c r="G1841" t="s">
        <v>4225</v>
      </c>
      <c r="H1841" t="s">
        <v>7807</v>
      </c>
      <c r="I1841" t="s">
        <v>27</v>
      </c>
      <c r="J1841" t="s">
        <v>2503</v>
      </c>
    </row>
    <row r="1842" spans="1:10" x14ac:dyDescent="0.25">
      <c r="A1842" t="s">
        <v>7808</v>
      </c>
      <c r="B1842" s="3">
        <v>46307</v>
      </c>
      <c r="C1842" t="s">
        <v>111</v>
      </c>
      <c r="D1842" t="s">
        <v>66</v>
      </c>
      <c r="E1842">
        <v>28</v>
      </c>
      <c r="F1842" t="s">
        <v>2</v>
      </c>
      <c r="G1842" t="s">
        <v>4228</v>
      </c>
      <c r="H1842" t="s">
        <v>7809</v>
      </c>
      <c r="I1842" t="s">
        <v>104</v>
      </c>
      <c r="J1842" t="s">
        <v>2500</v>
      </c>
    </row>
    <row r="1843" spans="1:10" x14ac:dyDescent="0.25">
      <c r="A1843" t="s">
        <v>7810</v>
      </c>
      <c r="B1843" s="3">
        <v>46307</v>
      </c>
      <c r="C1843" t="s">
        <v>437</v>
      </c>
      <c r="D1843" t="s">
        <v>354</v>
      </c>
      <c r="E1843">
        <v>35</v>
      </c>
      <c r="F1843" t="s">
        <v>355</v>
      </c>
      <c r="G1843" t="s">
        <v>4234</v>
      </c>
      <c r="H1843" t="s">
        <v>7811</v>
      </c>
      <c r="I1843" t="s">
        <v>289</v>
      </c>
      <c r="J1843" t="s">
        <v>2503</v>
      </c>
    </row>
    <row r="1844" spans="1:10" x14ac:dyDescent="0.25">
      <c r="A1844" t="s">
        <v>7812</v>
      </c>
      <c r="B1844" s="3">
        <v>46307</v>
      </c>
      <c r="C1844" t="s">
        <v>237</v>
      </c>
      <c r="D1844" t="s">
        <v>234</v>
      </c>
      <c r="E1844">
        <v>10</v>
      </c>
      <c r="F1844" t="s">
        <v>2</v>
      </c>
      <c r="G1844" t="s">
        <v>4231</v>
      </c>
      <c r="H1844" t="s">
        <v>7813</v>
      </c>
      <c r="I1844" t="s">
        <v>193</v>
      </c>
      <c r="J1844" t="s">
        <v>2509</v>
      </c>
    </row>
    <row r="1845" spans="1:10" x14ac:dyDescent="0.25">
      <c r="A1845" t="s">
        <v>7814</v>
      </c>
      <c r="B1845" s="3">
        <v>46307</v>
      </c>
      <c r="C1845" t="s">
        <v>613</v>
      </c>
      <c r="D1845" t="s">
        <v>597</v>
      </c>
      <c r="E1845">
        <v>13</v>
      </c>
      <c r="F1845" t="s">
        <v>355</v>
      </c>
      <c r="G1845" t="s">
        <v>4231</v>
      </c>
      <c r="H1845" t="s">
        <v>7815</v>
      </c>
      <c r="I1845" t="s">
        <v>221</v>
      </c>
      <c r="J1845" t="s">
        <v>2503</v>
      </c>
    </row>
    <row r="1846" spans="1:10" x14ac:dyDescent="0.25">
      <c r="A1846" t="s">
        <v>7816</v>
      </c>
      <c r="B1846" s="3">
        <v>46307</v>
      </c>
      <c r="C1846" t="s">
        <v>295</v>
      </c>
      <c r="D1846" t="s">
        <v>210</v>
      </c>
      <c r="E1846">
        <v>16</v>
      </c>
      <c r="F1846" t="s">
        <v>2</v>
      </c>
      <c r="G1846" t="s">
        <v>4228</v>
      </c>
      <c r="H1846" t="s">
        <v>7347</v>
      </c>
      <c r="I1846" t="s">
        <v>140</v>
      </c>
      <c r="J1846" t="s">
        <v>2509</v>
      </c>
    </row>
    <row r="1847" spans="1:10" x14ac:dyDescent="0.25">
      <c r="A1847" t="s">
        <v>7817</v>
      </c>
      <c r="B1847" s="3">
        <v>46307</v>
      </c>
      <c r="C1847" t="s">
        <v>298</v>
      </c>
      <c r="D1847" t="s">
        <v>216</v>
      </c>
      <c r="E1847">
        <v>3</v>
      </c>
      <c r="F1847" t="s">
        <v>2</v>
      </c>
      <c r="G1847" t="s">
        <v>4234</v>
      </c>
      <c r="H1847" t="s">
        <v>7818</v>
      </c>
      <c r="I1847" t="s">
        <v>161</v>
      </c>
      <c r="J1847" t="s">
        <v>2503</v>
      </c>
    </row>
    <row r="1848" spans="1:10" x14ac:dyDescent="0.25">
      <c r="A1848" t="s">
        <v>7819</v>
      </c>
      <c r="B1848" s="3">
        <v>46307</v>
      </c>
      <c r="C1848" t="s">
        <v>509</v>
      </c>
      <c r="D1848" t="s">
        <v>471</v>
      </c>
      <c r="E1848">
        <v>44</v>
      </c>
      <c r="F1848" t="s">
        <v>355</v>
      </c>
      <c r="G1848" t="s">
        <v>4234</v>
      </c>
      <c r="H1848" t="s">
        <v>7820</v>
      </c>
      <c r="I1848" t="s">
        <v>287</v>
      </c>
      <c r="J1848" t="s">
        <v>2513</v>
      </c>
    </row>
    <row r="1849" spans="1:10" x14ac:dyDescent="0.25">
      <c r="A1849" t="s">
        <v>7821</v>
      </c>
      <c r="B1849" s="3">
        <v>46307</v>
      </c>
      <c r="C1849" t="s">
        <v>96</v>
      </c>
      <c r="D1849" t="s">
        <v>26</v>
      </c>
      <c r="E1849">
        <v>44</v>
      </c>
      <c r="F1849" t="s">
        <v>2</v>
      </c>
      <c r="G1849" t="s">
        <v>4231</v>
      </c>
      <c r="H1849" t="s">
        <v>7822</v>
      </c>
      <c r="I1849" t="s">
        <v>59</v>
      </c>
      <c r="J1849" t="s">
        <v>2500</v>
      </c>
    </row>
    <row r="1850" spans="1:10" x14ac:dyDescent="0.25">
      <c r="A1850" t="s">
        <v>7823</v>
      </c>
      <c r="B1850" s="3">
        <v>46307</v>
      </c>
      <c r="C1850" t="s">
        <v>452</v>
      </c>
      <c r="D1850" t="s">
        <v>344</v>
      </c>
      <c r="E1850">
        <v>11</v>
      </c>
      <c r="F1850" t="s">
        <v>346</v>
      </c>
      <c r="G1850" t="s">
        <v>4234</v>
      </c>
      <c r="H1850" t="s">
        <v>7101</v>
      </c>
      <c r="I1850" t="s">
        <v>250</v>
      </c>
      <c r="J1850" t="s">
        <v>2513</v>
      </c>
    </row>
    <row r="1851" spans="1:10" x14ac:dyDescent="0.25">
      <c r="A1851" t="s">
        <v>7824</v>
      </c>
      <c r="B1851" s="3">
        <v>46307</v>
      </c>
      <c r="C1851" t="s">
        <v>658</v>
      </c>
      <c r="D1851" t="s">
        <v>597</v>
      </c>
      <c r="E1851">
        <v>38</v>
      </c>
      <c r="F1851" t="s">
        <v>355</v>
      </c>
      <c r="G1851" t="s">
        <v>4234</v>
      </c>
      <c r="H1851" t="s">
        <v>7825</v>
      </c>
      <c r="I1851" t="s">
        <v>113</v>
      </c>
      <c r="J1851" t="s">
        <v>2513</v>
      </c>
    </row>
    <row r="1852" spans="1:10" x14ac:dyDescent="0.25">
      <c r="A1852" t="s">
        <v>7826</v>
      </c>
      <c r="B1852" s="3">
        <v>46307</v>
      </c>
      <c r="C1852" t="s">
        <v>159</v>
      </c>
      <c r="D1852" t="s">
        <v>29</v>
      </c>
      <c r="E1852">
        <v>21</v>
      </c>
      <c r="F1852" t="s">
        <v>2</v>
      </c>
      <c r="G1852" t="s">
        <v>4228</v>
      </c>
      <c r="H1852" t="s">
        <v>7827</v>
      </c>
      <c r="I1852" t="s">
        <v>73</v>
      </c>
      <c r="J1852" t="s">
        <v>2513</v>
      </c>
    </row>
    <row r="1853" spans="1:10" x14ac:dyDescent="0.25">
      <c r="A1853" t="s">
        <v>7828</v>
      </c>
      <c r="B1853" s="3">
        <v>46307</v>
      </c>
      <c r="C1853" t="s">
        <v>579</v>
      </c>
      <c r="D1853" t="s">
        <v>490</v>
      </c>
      <c r="E1853">
        <v>13</v>
      </c>
      <c r="F1853" t="s">
        <v>355</v>
      </c>
      <c r="G1853" t="s">
        <v>4231</v>
      </c>
      <c r="H1853" t="s">
        <v>7829</v>
      </c>
      <c r="I1853" t="s">
        <v>93</v>
      </c>
      <c r="J1853" t="s">
        <v>2500</v>
      </c>
    </row>
    <row r="1854" spans="1:10" x14ac:dyDescent="0.25">
      <c r="A1854" t="s">
        <v>7830</v>
      </c>
      <c r="B1854" s="3">
        <v>46308</v>
      </c>
      <c r="C1854" t="s">
        <v>501</v>
      </c>
      <c r="D1854" t="s">
        <v>502</v>
      </c>
      <c r="E1854">
        <v>21</v>
      </c>
      <c r="F1854" t="s">
        <v>469</v>
      </c>
      <c r="G1854" t="s">
        <v>4231</v>
      </c>
      <c r="H1854" t="s">
        <v>7831</v>
      </c>
      <c r="I1854" t="s">
        <v>292</v>
      </c>
      <c r="J1854" t="s">
        <v>2503</v>
      </c>
    </row>
    <row r="1855" spans="1:10" x14ac:dyDescent="0.25">
      <c r="A1855" t="s">
        <v>7832</v>
      </c>
      <c r="B1855" s="3">
        <v>46308</v>
      </c>
      <c r="C1855" t="s">
        <v>319</v>
      </c>
      <c r="D1855" t="s">
        <v>234</v>
      </c>
      <c r="E1855">
        <v>32</v>
      </c>
      <c r="F1855" t="s">
        <v>2</v>
      </c>
      <c r="G1855" t="s">
        <v>4234</v>
      </c>
      <c r="H1855" t="s">
        <v>7833</v>
      </c>
      <c r="I1855" t="s">
        <v>287</v>
      </c>
      <c r="J1855" t="s">
        <v>2513</v>
      </c>
    </row>
    <row r="1856" spans="1:10" x14ac:dyDescent="0.25">
      <c r="A1856" t="s">
        <v>7834</v>
      </c>
      <c r="B1856" s="3">
        <v>46308</v>
      </c>
      <c r="C1856" t="s">
        <v>269</v>
      </c>
      <c r="D1856" t="s">
        <v>210</v>
      </c>
      <c r="E1856">
        <v>22</v>
      </c>
      <c r="F1856" t="s">
        <v>2</v>
      </c>
      <c r="G1856" t="s">
        <v>4225</v>
      </c>
      <c r="H1856" t="s">
        <v>7835</v>
      </c>
      <c r="I1856" t="s">
        <v>117</v>
      </c>
      <c r="J1856" t="s">
        <v>2503</v>
      </c>
    </row>
    <row r="1857" spans="1:10" x14ac:dyDescent="0.25">
      <c r="A1857" t="s">
        <v>7836</v>
      </c>
      <c r="B1857" s="3">
        <v>46308</v>
      </c>
      <c r="C1857" t="s">
        <v>559</v>
      </c>
      <c r="D1857" t="s">
        <v>502</v>
      </c>
      <c r="E1857">
        <v>12</v>
      </c>
      <c r="F1857" t="s">
        <v>469</v>
      </c>
      <c r="G1857" t="s">
        <v>4228</v>
      </c>
      <c r="H1857" t="s">
        <v>7837</v>
      </c>
      <c r="I1857" t="s">
        <v>324</v>
      </c>
      <c r="J1857" t="s">
        <v>2513</v>
      </c>
    </row>
    <row r="1858" spans="1:10" x14ac:dyDescent="0.25">
      <c r="A1858" t="s">
        <v>7838</v>
      </c>
      <c r="B1858" s="3">
        <v>46308</v>
      </c>
      <c r="C1858" t="s">
        <v>482</v>
      </c>
      <c r="D1858" t="s">
        <v>467</v>
      </c>
      <c r="E1858">
        <v>37</v>
      </c>
      <c r="F1858" t="s">
        <v>469</v>
      </c>
      <c r="G1858" t="s">
        <v>4231</v>
      </c>
      <c r="H1858" t="s">
        <v>7839</v>
      </c>
      <c r="I1858" t="s">
        <v>77</v>
      </c>
      <c r="J1858" t="s">
        <v>2503</v>
      </c>
    </row>
    <row r="1859" spans="1:10" x14ac:dyDescent="0.25">
      <c r="A1859" t="s">
        <v>7840</v>
      </c>
      <c r="B1859" s="3">
        <v>46308</v>
      </c>
      <c r="C1859" t="s">
        <v>514</v>
      </c>
      <c r="D1859" t="s">
        <v>467</v>
      </c>
      <c r="E1859">
        <v>13</v>
      </c>
      <c r="F1859" t="s">
        <v>469</v>
      </c>
      <c r="G1859" t="s">
        <v>4231</v>
      </c>
      <c r="H1859" t="s">
        <v>7841</v>
      </c>
      <c r="I1859" t="s">
        <v>310</v>
      </c>
      <c r="J1859" t="s">
        <v>2513</v>
      </c>
    </row>
    <row r="1860" spans="1:10" x14ac:dyDescent="0.25">
      <c r="A1860" t="s">
        <v>7842</v>
      </c>
      <c r="B1860" s="3">
        <v>46308</v>
      </c>
      <c r="C1860" t="s">
        <v>268</v>
      </c>
      <c r="D1860" t="s">
        <v>216</v>
      </c>
      <c r="E1860">
        <v>34</v>
      </c>
      <c r="F1860" t="s">
        <v>2</v>
      </c>
      <c r="G1860" t="s">
        <v>4228</v>
      </c>
      <c r="H1860" t="s">
        <v>7843</v>
      </c>
      <c r="I1860" t="s">
        <v>242</v>
      </c>
      <c r="J1860" t="s">
        <v>2500</v>
      </c>
    </row>
    <row r="1861" spans="1:10" x14ac:dyDescent="0.25">
      <c r="A1861" t="s">
        <v>7844</v>
      </c>
      <c r="B1861" s="3">
        <v>46308</v>
      </c>
      <c r="C1861" t="s">
        <v>178</v>
      </c>
      <c r="D1861" t="s">
        <v>163</v>
      </c>
      <c r="E1861">
        <v>33</v>
      </c>
      <c r="F1861" t="s">
        <v>2</v>
      </c>
      <c r="G1861" t="s">
        <v>4234</v>
      </c>
      <c r="H1861" t="s">
        <v>7845</v>
      </c>
      <c r="I1861" t="s">
        <v>110</v>
      </c>
      <c r="J1861" t="s">
        <v>2513</v>
      </c>
    </row>
    <row r="1862" spans="1:10" x14ac:dyDescent="0.25">
      <c r="A1862" t="s">
        <v>7846</v>
      </c>
      <c r="B1862" s="3">
        <v>46308</v>
      </c>
      <c r="C1862" t="s">
        <v>222</v>
      </c>
      <c r="D1862" t="s">
        <v>223</v>
      </c>
      <c r="E1862">
        <v>46</v>
      </c>
      <c r="F1862" t="s">
        <v>2</v>
      </c>
      <c r="G1862" t="s">
        <v>4228</v>
      </c>
      <c r="H1862" t="s">
        <v>7847</v>
      </c>
      <c r="I1862" t="s">
        <v>189</v>
      </c>
      <c r="J1862" t="s">
        <v>2503</v>
      </c>
    </row>
    <row r="1863" spans="1:10" x14ac:dyDescent="0.25">
      <c r="A1863" t="s">
        <v>7848</v>
      </c>
      <c r="B1863" s="3">
        <v>46308</v>
      </c>
      <c r="C1863" t="s">
        <v>617</v>
      </c>
      <c r="D1863" t="s">
        <v>594</v>
      </c>
      <c r="E1863">
        <v>14</v>
      </c>
      <c r="F1863" t="s">
        <v>595</v>
      </c>
      <c r="G1863" t="s">
        <v>4228</v>
      </c>
      <c r="H1863" t="s">
        <v>7849</v>
      </c>
      <c r="I1863" t="s">
        <v>259</v>
      </c>
      <c r="J1863" t="s">
        <v>2509</v>
      </c>
    </row>
    <row r="1864" spans="1:10" x14ac:dyDescent="0.25">
      <c r="A1864" t="s">
        <v>7850</v>
      </c>
      <c r="B1864" s="3">
        <v>46308</v>
      </c>
      <c r="C1864" t="s">
        <v>489</v>
      </c>
      <c r="D1864" t="s">
        <v>490</v>
      </c>
      <c r="E1864">
        <v>11</v>
      </c>
      <c r="F1864" t="s">
        <v>355</v>
      </c>
      <c r="G1864" t="s">
        <v>4228</v>
      </c>
      <c r="H1864" t="s">
        <v>7851</v>
      </c>
      <c r="I1864" t="s">
        <v>183</v>
      </c>
      <c r="J1864" t="s">
        <v>2509</v>
      </c>
    </row>
    <row r="1865" spans="1:10" x14ac:dyDescent="0.25">
      <c r="A1865" t="s">
        <v>7852</v>
      </c>
      <c r="B1865" s="3">
        <v>46308</v>
      </c>
      <c r="C1865" t="s">
        <v>649</v>
      </c>
      <c r="D1865" t="s">
        <v>597</v>
      </c>
      <c r="E1865">
        <v>37</v>
      </c>
      <c r="F1865" t="s">
        <v>355</v>
      </c>
      <c r="G1865" t="s">
        <v>4222</v>
      </c>
      <c r="H1865" t="s">
        <v>7853</v>
      </c>
      <c r="I1865" t="s">
        <v>361</v>
      </c>
      <c r="J1865" t="s">
        <v>2500</v>
      </c>
    </row>
    <row r="1866" spans="1:10" x14ac:dyDescent="0.25">
      <c r="A1866" t="s">
        <v>7854</v>
      </c>
      <c r="B1866" s="3">
        <v>46308</v>
      </c>
      <c r="C1866" t="s">
        <v>288</v>
      </c>
      <c r="D1866" t="s">
        <v>261</v>
      </c>
      <c r="E1866">
        <v>53</v>
      </c>
      <c r="F1866" t="s">
        <v>2</v>
      </c>
      <c r="G1866" t="s">
        <v>4231</v>
      </c>
      <c r="H1866" t="s">
        <v>7855</v>
      </c>
      <c r="I1866" t="s">
        <v>289</v>
      </c>
      <c r="J1866" t="s">
        <v>2509</v>
      </c>
    </row>
    <row r="1867" spans="1:10" x14ac:dyDescent="0.25">
      <c r="A1867" t="s">
        <v>7856</v>
      </c>
      <c r="B1867" s="3">
        <v>46308</v>
      </c>
      <c r="C1867" t="s">
        <v>70</v>
      </c>
      <c r="D1867" t="s">
        <v>1</v>
      </c>
      <c r="E1867">
        <v>55</v>
      </c>
      <c r="F1867" t="s">
        <v>2</v>
      </c>
      <c r="G1867" t="s">
        <v>4231</v>
      </c>
      <c r="H1867" t="s">
        <v>7857</v>
      </c>
      <c r="I1867" t="s">
        <v>71</v>
      </c>
      <c r="J1867" t="s">
        <v>2509</v>
      </c>
    </row>
    <row r="1868" spans="1:10" x14ac:dyDescent="0.25">
      <c r="A1868" t="s">
        <v>7858</v>
      </c>
      <c r="B1868" s="3">
        <v>46308</v>
      </c>
      <c r="C1868" t="s">
        <v>640</v>
      </c>
      <c r="D1868" t="s">
        <v>629</v>
      </c>
      <c r="E1868">
        <v>52</v>
      </c>
      <c r="F1868" t="s">
        <v>355</v>
      </c>
      <c r="G1868" t="s">
        <v>4222</v>
      </c>
      <c r="H1868" t="s">
        <v>7859</v>
      </c>
      <c r="I1868" t="s">
        <v>79</v>
      </c>
      <c r="J1868" t="s">
        <v>2509</v>
      </c>
    </row>
    <row r="1869" spans="1:10" x14ac:dyDescent="0.25">
      <c r="A1869" t="s">
        <v>7860</v>
      </c>
      <c r="B1869" s="3">
        <v>46308</v>
      </c>
      <c r="C1869" t="s">
        <v>577</v>
      </c>
      <c r="D1869" t="s">
        <v>481</v>
      </c>
      <c r="E1869">
        <v>45</v>
      </c>
      <c r="F1869" t="s">
        <v>2</v>
      </c>
      <c r="G1869" t="s">
        <v>4222</v>
      </c>
      <c r="H1869" t="s">
        <v>7861</v>
      </c>
      <c r="I1869" t="s">
        <v>102</v>
      </c>
      <c r="J1869" t="s">
        <v>2500</v>
      </c>
    </row>
    <row r="1870" spans="1:10" x14ac:dyDescent="0.25">
      <c r="A1870" t="s">
        <v>7862</v>
      </c>
      <c r="B1870" s="3">
        <v>46308</v>
      </c>
      <c r="C1870" t="s">
        <v>459</v>
      </c>
      <c r="D1870" t="s">
        <v>351</v>
      </c>
      <c r="E1870">
        <v>8</v>
      </c>
      <c r="F1870" t="s">
        <v>2</v>
      </c>
      <c r="G1870" t="s">
        <v>4228</v>
      </c>
      <c r="H1870" t="s">
        <v>7863</v>
      </c>
      <c r="I1870" t="s">
        <v>77</v>
      </c>
      <c r="J1870" t="s">
        <v>2500</v>
      </c>
    </row>
    <row r="1871" spans="1:10" x14ac:dyDescent="0.25">
      <c r="A1871" t="s">
        <v>7864</v>
      </c>
      <c r="B1871" s="3">
        <v>46308</v>
      </c>
      <c r="C1871" t="s">
        <v>491</v>
      </c>
      <c r="D1871" t="s">
        <v>481</v>
      </c>
      <c r="E1871">
        <v>25</v>
      </c>
      <c r="F1871" t="s">
        <v>2</v>
      </c>
      <c r="G1871" t="s">
        <v>4234</v>
      </c>
      <c r="H1871" t="s">
        <v>7865</v>
      </c>
      <c r="I1871" t="s">
        <v>324</v>
      </c>
      <c r="J1871" t="s">
        <v>2503</v>
      </c>
    </row>
    <row r="1872" spans="1:10" x14ac:dyDescent="0.25">
      <c r="A1872" t="s">
        <v>7866</v>
      </c>
      <c r="B1872" s="3">
        <v>46308</v>
      </c>
      <c r="C1872" t="s">
        <v>39</v>
      </c>
      <c r="D1872" t="s">
        <v>21</v>
      </c>
      <c r="E1872">
        <v>5</v>
      </c>
      <c r="F1872" t="s">
        <v>2</v>
      </c>
      <c r="G1872" t="s">
        <v>4234</v>
      </c>
      <c r="H1872" t="s">
        <v>7241</v>
      </c>
      <c r="I1872" t="s">
        <v>42</v>
      </c>
      <c r="J1872" t="s">
        <v>2513</v>
      </c>
    </row>
    <row r="1873" spans="1:10" x14ac:dyDescent="0.25">
      <c r="A1873" t="s">
        <v>7867</v>
      </c>
      <c r="B1873" s="3">
        <v>46308</v>
      </c>
      <c r="C1873" t="s">
        <v>122</v>
      </c>
      <c r="D1873" t="s">
        <v>54</v>
      </c>
      <c r="E1873">
        <v>54</v>
      </c>
      <c r="F1873" t="s">
        <v>2</v>
      </c>
      <c r="G1873" t="s">
        <v>4234</v>
      </c>
      <c r="H1873" t="s">
        <v>7868</v>
      </c>
      <c r="I1873" t="s">
        <v>98</v>
      </c>
      <c r="J1873" t="s">
        <v>2513</v>
      </c>
    </row>
    <row r="1874" spans="1:10" x14ac:dyDescent="0.25">
      <c r="A1874" t="s">
        <v>7869</v>
      </c>
      <c r="B1874" s="3">
        <v>46308</v>
      </c>
      <c r="C1874" t="s">
        <v>500</v>
      </c>
      <c r="D1874" t="s">
        <v>488</v>
      </c>
      <c r="E1874">
        <v>41</v>
      </c>
      <c r="F1874" t="s">
        <v>469</v>
      </c>
      <c r="G1874" t="s">
        <v>4228</v>
      </c>
      <c r="H1874" t="s">
        <v>7870</v>
      </c>
      <c r="I1874" t="s">
        <v>27</v>
      </c>
      <c r="J1874" t="s">
        <v>2500</v>
      </c>
    </row>
    <row r="1875" spans="1:10" x14ac:dyDescent="0.25">
      <c r="A1875" t="s">
        <v>7871</v>
      </c>
      <c r="B1875" s="3">
        <v>46308</v>
      </c>
      <c r="C1875" t="s">
        <v>403</v>
      </c>
      <c r="D1875" t="s">
        <v>364</v>
      </c>
      <c r="E1875">
        <v>6</v>
      </c>
      <c r="F1875" t="s">
        <v>358</v>
      </c>
      <c r="G1875" t="s">
        <v>4234</v>
      </c>
      <c r="H1875" t="s">
        <v>7872</v>
      </c>
      <c r="I1875" t="s">
        <v>117</v>
      </c>
      <c r="J1875" t="s">
        <v>2509</v>
      </c>
    </row>
    <row r="1876" spans="1:10" x14ac:dyDescent="0.25">
      <c r="A1876" t="s">
        <v>7873</v>
      </c>
      <c r="B1876" s="3">
        <v>46308</v>
      </c>
      <c r="C1876" t="s">
        <v>239</v>
      </c>
      <c r="D1876" t="s">
        <v>240</v>
      </c>
      <c r="E1876">
        <v>29</v>
      </c>
      <c r="F1876" t="s">
        <v>2</v>
      </c>
      <c r="G1876" t="s">
        <v>4231</v>
      </c>
      <c r="H1876" t="s">
        <v>7874</v>
      </c>
      <c r="I1876" t="s">
        <v>100</v>
      </c>
      <c r="J1876" t="s">
        <v>2509</v>
      </c>
    </row>
    <row r="1877" spans="1:10" x14ac:dyDescent="0.25">
      <c r="A1877" t="s">
        <v>7875</v>
      </c>
      <c r="B1877" s="3">
        <v>46308</v>
      </c>
      <c r="C1877" t="s">
        <v>179</v>
      </c>
      <c r="D1877" t="s">
        <v>47</v>
      </c>
      <c r="E1877">
        <v>48</v>
      </c>
      <c r="F1877" t="s">
        <v>2</v>
      </c>
      <c r="G1877" t="s">
        <v>4234</v>
      </c>
      <c r="H1877" t="s">
        <v>7876</v>
      </c>
      <c r="I1877" t="s">
        <v>50</v>
      </c>
      <c r="J1877" t="s">
        <v>2513</v>
      </c>
    </row>
    <row r="1878" spans="1:10" x14ac:dyDescent="0.25">
      <c r="A1878" t="s">
        <v>7877</v>
      </c>
      <c r="B1878" s="3">
        <v>46308</v>
      </c>
      <c r="C1878" t="s">
        <v>691</v>
      </c>
      <c r="D1878" t="s">
        <v>585</v>
      </c>
      <c r="E1878">
        <v>25</v>
      </c>
      <c r="F1878" t="s">
        <v>355</v>
      </c>
      <c r="G1878" t="s">
        <v>4225</v>
      </c>
      <c r="H1878" t="s">
        <v>7878</v>
      </c>
      <c r="I1878" t="s">
        <v>19</v>
      </c>
      <c r="J1878" t="s">
        <v>2500</v>
      </c>
    </row>
    <row r="1879" spans="1:10" x14ac:dyDescent="0.25">
      <c r="A1879" t="s">
        <v>7879</v>
      </c>
      <c r="B1879" s="3">
        <v>46308</v>
      </c>
      <c r="C1879" t="s">
        <v>229</v>
      </c>
      <c r="D1879" t="s">
        <v>218</v>
      </c>
      <c r="E1879">
        <v>29</v>
      </c>
      <c r="F1879" t="s">
        <v>2</v>
      </c>
      <c r="G1879" t="s">
        <v>4228</v>
      </c>
      <c r="H1879" t="s">
        <v>7880</v>
      </c>
      <c r="I1879" t="s">
        <v>230</v>
      </c>
      <c r="J1879" t="s">
        <v>2503</v>
      </c>
    </row>
    <row r="1880" spans="1:10" x14ac:dyDescent="0.25">
      <c r="A1880" t="s">
        <v>7881</v>
      </c>
      <c r="B1880" s="3">
        <v>46308</v>
      </c>
      <c r="C1880" t="s">
        <v>134</v>
      </c>
      <c r="D1880" t="s">
        <v>47</v>
      </c>
      <c r="E1880">
        <v>46</v>
      </c>
      <c r="F1880" t="s">
        <v>2</v>
      </c>
      <c r="G1880" t="s">
        <v>4231</v>
      </c>
      <c r="H1880" t="s">
        <v>7882</v>
      </c>
      <c r="I1880" t="s">
        <v>38</v>
      </c>
      <c r="J1880" t="s">
        <v>2513</v>
      </c>
    </row>
    <row r="1881" spans="1:10" x14ac:dyDescent="0.25">
      <c r="A1881" t="s">
        <v>7883</v>
      </c>
      <c r="B1881" s="3">
        <v>46308</v>
      </c>
      <c r="C1881" t="s">
        <v>606</v>
      </c>
      <c r="D1881" t="s">
        <v>602</v>
      </c>
      <c r="E1881">
        <v>46</v>
      </c>
      <c r="F1881" t="s">
        <v>2</v>
      </c>
      <c r="G1881" t="s">
        <v>4231</v>
      </c>
      <c r="H1881" t="s">
        <v>7884</v>
      </c>
      <c r="I1881" t="s">
        <v>314</v>
      </c>
      <c r="J1881" t="s">
        <v>2500</v>
      </c>
    </row>
    <row r="1882" spans="1:10" x14ac:dyDescent="0.25">
      <c r="A1882" t="s">
        <v>7885</v>
      </c>
      <c r="B1882" s="3">
        <v>46308</v>
      </c>
      <c r="C1882" t="s">
        <v>371</v>
      </c>
      <c r="D1882" t="s">
        <v>364</v>
      </c>
      <c r="E1882">
        <v>52</v>
      </c>
      <c r="F1882" t="s">
        <v>358</v>
      </c>
      <c r="G1882" t="s">
        <v>4234</v>
      </c>
      <c r="H1882" t="s">
        <v>7886</v>
      </c>
      <c r="I1882" t="s">
        <v>121</v>
      </c>
      <c r="J1882" t="s">
        <v>2513</v>
      </c>
    </row>
    <row r="1883" spans="1:10" x14ac:dyDescent="0.25">
      <c r="A1883" t="s">
        <v>7887</v>
      </c>
      <c r="B1883" s="3">
        <v>46308</v>
      </c>
      <c r="C1883" t="s">
        <v>266</v>
      </c>
      <c r="D1883" t="s">
        <v>240</v>
      </c>
      <c r="E1883">
        <v>17</v>
      </c>
      <c r="F1883" t="s">
        <v>2</v>
      </c>
      <c r="G1883" t="s">
        <v>4231</v>
      </c>
      <c r="H1883" t="s">
        <v>7888</v>
      </c>
      <c r="I1883" t="s">
        <v>108</v>
      </c>
      <c r="J1883" t="s">
        <v>2500</v>
      </c>
    </row>
    <row r="1884" spans="1:10" x14ac:dyDescent="0.25">
      <c r="A1884" t="s">
        <v>7889</v>
      </c>
      <c r="B1884" s="3">
        <v>46308</v>
      </c>
      <c r="C1884" t="s">
        <v>442</v>
      </c>
      <c r="D1884" t="s">
        <v>382</v>
      </c>
      <c r="E1884">
        <v>49</v>
      </c>
      <c r="F1884" t="s">
        <v>383</v>
      </c>
      <c r="G1884" t="s">
        <v>4225</v>
      </c>
      <c r="H1884" t="s">
        <v>7890</v>
      </c>
      <c r="I1884" t="s">
        <v>203</v>
      </c>
      <c r="J1884" t="s">
        <v>2509</v>
      </c>
    </row>
    <row r="1885" spans="1:10" x14ac:dyDescent="0.25">
      <c r="A1885" t="s">
        <v>7891</v>
      </c>
      <c r="B1885" s="3">
        <v>46308</v>
      </c>
      <c r="C1885" t="s">
        <v>199</v>
      </c>
      <c r="D1885" t="s">
        <v>163</v>
      </c>
      <c r="E1885">
        <v>28</v>
      </c>
      <c r="F1885" t="s">
        <v>2</v>
      </c>
      <c r="G1885" t="s">
        <v>4231</v>
      </c>
      <c r="H1885" t="s">
        <v>7892</v>
      </c>
      <c r="I1885" t="s">
        <v>75</v>
      </c>
      <c r="J1885" t="s">
        <v>2503</v>
      </c>
    </row>
    <row r="1886" spans="1:10" x14ac:dyDescent="0.25">
      <c r="A1886" t="s">
        <v>7893</v>
      </c>
      <c r="B1886" s="3">
        <v>46308</v>
      </c>
      <c r="C1886" t="s">
        <v>232</v>
      </c>
      <c r="D1886" t="s">
        <v>225</v>
      </c>
      <c r="E1886">
        <v>50</v>
      </c>
      <c r="F1886" t="s">
        <v>2</v>
      </c>
      <c r="G1886" t="s">
        <v>4225</v>
      </c>
      <c r="H1886" t="s">
        <v>7297</v>
      </c>
      <c r="I1886" t="s">
        <v>30</v>
      </c>
      <c r="J1886" t="s">
        <v>2500</v>
      </c>
    </row>
    <row r="1887" spans="1:10" x14ac:dyDescent="0.25">
      <c r="A1887" t="s">
        <v>7894</v>
      </c>
      <c r="B1887" s="3">
        <v>46308</v>
      </c>
      <c r="C1887" t="s">
        <v>553</v>
      </c>
      <c r="D1887" t="s">
        <v>476</v>
      </c>
      <c r="E1887">
        <v>6</v>
      </c>
      <c r="F1887" t="s">
        <v>477</v>
      </c>
      <c r="G1887" t="s">
        <v>4234</v>
      </c>
      <c r="H1887" t="s">
        <v>7895</v>
      </c>
      <c r="I1887" t="s">
        <v>324</v>
      </c>
      <c r="J1887" t="s">
        <v>2500</v>
      </c>
    </row>
    <row r="1888" spans="1:10" x14ac:dyDescent="0.25">
      <c r="A1888" t="s">
        <v>7896</v>
      </c>
      <c r="B1888" s="3">
        <v>46308</v>
      </c>
      <c r="C1888" t="s">
        <v>326</v>
      </c>
      <c r="D1888" t="s">
        <v>223</v>
      </c>
      <c r="E1888">
        <v>18</v>
      </c>
      <c r="F1888" t="s">
        <v>2</v>
      </c>
      <c r="G1888" t="s">
        <v>4234</v>
      </c>
      <c r="H1888" t="s">
        <v>7897</v>
      </c>
      <c r="I1888" t="s">
        <v>327</v>
      </c>
      <c r="J1888" t="s">
        <v>2509</v>
      </c>
    </row>
    <row r="1889" spans="1:10" x14ac:dyDescent="0.25">
      <c r="A1889" t="s">
        <v>7898</v>
      </c>
      <c r="B1889" s="3">
        <v>46308</v>
      </c>
      <c r="C1889" t="s">
        <v>615</v>
      </c>
      <c r="D1889" t="s">
        <v>589</v>
      </c>
      <c r="E1889">
        <v>44</v>
      </c>
      <c r="F1889" t="s">
        <v>469</v>
      </c>
      <c r="G1889" t="s">
        <v>4234</v>
      </c>
      <c r="H1889" t="s">
        <v>7899</v>
      </c>
      <c r="I1889" t="s">
        <v>95</v>
      </c>
      <c r="J1889" t="s">
        <v>2513</v>
      </c>
    </row>
    <row r="1890" spans="1:10" x14ac:dyDescent="0.25">
      <c r="A1890" t="s">
        <v>7900</v>
      </c>
      <c r="B1890" s="3">
        <v>46308</v>
      </c>
      <c r="C1890" t="s">
        <v>353</v>
      </c>
      <c r="D1890" t="s">
        <v>354</v>
      </c>
      <c r="E1890">
        <v>4</v>
      </c>
      <c r="F1890" t="s">
        <v>355</v>
      </c>
      <c r="G1890" t="s">
        <v>4231</v>
      </c>
      <c r="H1890" t="s">
        <v>7901</v>
      </c>
      <c r="I1890" t="s">
        <v>312</v>
      </c>
      <c r="J1890" t="s">
        <v>2509</v>
      </c>
    </row>
    <row r="1891" spans="1:10" x14ac:dyDescent="0.25">
      <c r="A1891" t="s">
        <v>7902</v>
      </c>
      <c r="B1891" s="3">
        <v>46308</v>
      </c>
      <c r="C1891" t="s">
        <v>565</v>
      </c>
      <c r="D1891" t="s">
        <v>474</v>
      </c>
      <c r="E1891">
        <v>9</v>
      </c>
      <c r="F1891" t="s">
        <v>2</v>
      </c>
      <c r="G1891" t="s">
        <v>4222</v>
      </c>
      <c r="H1891" t="s">
        <v>7903</v>
      </c>
      <c r="I1891" t="s">
        <v>45</v>
      </c>
      <c r="J1891" t="s">
        <v>2500</v>
      </c>
    </row>
    <row r="1892" spans="1:10" x14ac:dyDescent="0.25">
      <c r="A1892" t="s">
        <v>7904</v>
      </c>
      <c r="B1892" s="3">
        <v>46308</v>
      </c>
      <c r="C1892" t="s">
        <v>575</v>
      </c>
      <c r="D1892" t="s">
        <v>467</v>
      </c>
      <c r="E1892">
        <v>23</v>
      </c>
      <c r="F1892" t="s">
        <v>469</v>
      </c>
      <c r="G1892" t="s">
        <v>4225</v>
      </c>
      <c r="H1892" t="s">
        <v>7905</v>
      </c>
      <c r="I1892" t="s">
        <v>108</v>
      </c>
      <c r="J1892" t="s">
        <v>2513</v>
      </c>
    </row>
    <row r="1893" spans="1:10" x14ac:dyDescent="0.25">
      <c r="A1893" t="s">
        <v>7906</v>
      </c>
      <c r="B1893" s="3">
        <v>46308</v>
      </c>
      <c r="C1893" t="s">
        <v>653</v>
      </c>
      <c r="D1893" t="s">
        <v>585</v>
      </c>
      <c r="E1893">
        <v>36</v>
      </c>
      <c r="F1893" t="s">
        <v>355</v>
      </c>
      <c r="G1893" t="s">
        <v>4234</v>
      </c>
      <c r="H1893" t="s">
        <v>7907</v>
      </c>
      <c r="I1893" t="s">
        <v>250</v>
      </c>
      <c r="J1893" t="s">
        <v>2509</v>
      </c>
    </row>
    <row r="1894" spans="1:10" x14ac:dyDescent="0.25">
      <c r="A1894" t="s">
        <v>7908</v>
      </c>
      <c r="B1894" s="3">
        <v>46308</v>
      </c>
      <c r="C1894" t="s">
        <v>559</v>
      </c>
      <c r="D1894" t="s">
        <v>502</v>
      </c>
      <c r="E1894">
        <v>18</v>
      </c>
      <c r="F1894" t="s">
        <v>469</v>
      </c>
      <c r="G1894" t="s">
        <v>4231</v>
      </c>
      <c r="H1894" t="s">
        <v>7909</v>
      </c>
      <c r="I1894" t="s">
        <v>324</v>
      </c>
      <c r="J1894" t="s">
        <v>2509</v>
      </c>
    </row>
    <row r="1895" spans="1:10" x14ac:dyDescent="0.25">
      <c r="A1895" t="s">
        <v>7910</v>
      </c>
      <c r="B1895" s="3">
        <v>46308</v>
      </c>
      <c r="C1895" t="s">
        <v>527</v>
      </c>
      <c r="D1895" t="s">
        <v>467</v>
      </c>
      <c r="E1895">
        <v>24</v>
      </c>
      <c r="F1895" t="s">
        <v>469</v>
      </c>
      <c r="G1895" t="s">
        <v>4222</v>
      </c>
      <c r="H1895" t="s">
        <v>7911</v>
      </c>
      <c r="I1895" t="s">
        <v>289</v>
      </c>
      <c r="J1895" t="s">
        <v>2509</v>
      </c>
    </row>
    <row r="1896" spans="1:10" x14ac:dyDescent="0.25">
      <c r="A1896" t="s">
        <v>7912</v>
      </c>
      <c r="B1896" s="3">
        <v>46308</v>
      </c>
      <c r="C1896" t="s">
        <v>424</v>
      </c>
      <c r="D1896" t="s">
        <v>349</v>
      </c>
      <c r="E1896">
        <v>8</v>
      </c>
      <c r="F1896" t="s">
        <v>2</v>
      </c>
      <c r="G1896" t="s">
        <v>4228</v>
      </c>
      <c r="H1896" t="s">
        <v>7913</v>
      </c>
      <c r="I1896" t="s">
        <v>152</v>
      </c>
      <c r="J1896" t="s">
        <v>2513</v>
      </c>
    </row>
    <row r="1897" spans="1:10" x14ac:dyDescent="0.25">
      <c r="A1897" t="s">
        <v>7914</v>
      </c>
      <c r="B1897" s="3">
        <v>46308</v>
      </c>
      <c r="C1897" t="s">
        <v>427</v>
      </c>
      <c r="D1897" t="s">
        <v>364</v>
      </c>
      <c r="E1897">
        <v>41</v>
      </c>
      <c r="F1897" t="s">
        <v>358</v>
      </c>
      <c r="G1897" t="s">
        <v>4234</v>
      </c>
      <c r="H1897" t="s">
        <v>7915</v>
      </c>
      <c r="I1897" t="s">
        <v>106</v>
      </c>
      <c r="J1897" t="s">
        <v>2513</v>
      </c>
    </row>
    <row r="1898" spans="1:10" x14ac:dyDescent="0.25">
      <c r="A1898" t="s">
        <v>7916</v>
      </c>
      <c r="B1898" s="3">
        <v>46308</v>
      </c>
      <c r="C1898" t="s">
        <v>509</v>
      </c>
      <c r="D1898" t="s">
        <v>471</v>
      </c>
      <c r="E1898">
        <v>36</v>
      </c>
      <c r="F1898" t="s">
        <v>355</v>
      </c>
      <c r="G1898" t="s">
        <v>4228</v>
      </c>
      <c r="H1898" t="s">
        <v>7917</v>
      </c>
      <c r="I1898" t="s">
        <v>287</v>
      </c>
      <c r="J1898" t="s">
        <v>2513</v>
      </c>
    </row>
    <row r="1899" spans="1:10" x14ac:dyDescent="0.25">
      <c r="A1899" t="s">
        <v>7918</v>
      </c>
      <c r="B1899" s="3">
        <v>46308</v>
      </c>
      <c r="C1899" t="s">
        <v>430</v>
      </c>
      <c r="D1899" t="s">
        <v>349</v>
      </c>
      <c r="E1899">
        <v>53</v>
      </c>
      <c r="F1899" t="s">
        <v>2</v>
      </c>
      <c r="G1899" t="s">
        <v>4225</v>
      </c>
      <c r="H1899" t="s">
        <v>7919</v>
      </c>
      <c r="I1899" t="s">
        <v>64</v>
      </c>
      <c r="J1899" t="s">
        <v>2503</v>
      </c>
    </row>
    <row r="1900" spans="1:10" x14ac:dyDescent="0.25">
      <c r="A1900" t="s">
        <v>7920</v>
      </c>
      <c r="B1900" s="3">
        <v>46308</v>
      </c>
      <c r="C1900" t="s">
        <v>503</v>
      </c>
      <c r="D1900" t="s">
        <v>476</v>
      </c>
      <c r="E1900">
        <v>14</v>
      </c>
      <c r="F1900" t="s">
        <v>477</v>
      </c>
      <c r="G1900" t="s">
        <v>4234</v>
      </c>
      <c r="H1900" t="s">
        <v>7921</v>
      </c>
      <c r="I1900" t="s">
        <v>259</v>
      </c>
      <c r="J1900" t="s">
        <v>2509</v>
      </c>
    </row>
    <row r="1901" spans="1:10" x14ac:dyDescent="0.25">
      <c r="A1901" t="s">
        <v>7922</v>
      </c>
      <c r="B1901" s="3">
        <v>46308</v>
      </c>
      <c r="C1901" t="s">
        <v>638</v>
      </c>
      <c r="D1901" t="s">
        <v>612</v>
      </c>
      <c r="E1901">
        <v>32</v>
      </c>
      <c r="F1901" t="s">
        <v>2</v>
      </c>
      <c r="G1901" t="s">
        <v>4225</v>
      </c>
      <c r="H1901" t="s">
        <v>7923</v>
      </c>
      <c r="I1901" t="s">
        <v>100</v>
      </c>
      <c r="J1901" t="s">
        <v>2500</v>
      </c>
    </row>
    <row r="1902" spans="1:10" x14ac:dyDescent="0.25">
      <c r="A1902" t="s">
        <v>7924</v>
      </c>
      <c r="B1902" s="3">
        <v>46309</v>
      </c>
      <c r="C1902" t="s">
        <v>515</v>
      </c>
      <c r="D1902" t="s">
        <v>488</v>
      </c>
      <c r="E1902">
        <v>17</v>
      </c>
      <c r="F1902" t="s">
        <v>469</v>
      </c>
      <c r="G1902" t="s">
        <v>4228</v>
      </c>
      <c r="H1902" t="s">
        <v>7925</v>
      </c>
      <c r="I1902" t="s">
        <v>292</v>
      </c>
      <c r="J1902" t="s">
        <v>2500</v>
      </c>
    </row>
    <row r="1903" spans="1:10" x14ac:dyDescent="0.25">
      <c r="A1903" t="s">
        <v>7926</v>
      </c>
      <c r="B1903" s="3">
        <v>46309</v>
      </c>
      <c r="C1903" t="s">
        <v>350</v>
      </c>
      <c r="D1903" t="s">
        <v>351</v>
      </c>
      <c r="E1903">
        <v>51</v>
      </c>
      <c r="F1903" t="s">
        <v>2</v>
      </c>
      <c r="G1903" t="s">
        <v>4225</v>
      </c>
      <c r="H1903" t="s">
        <v>7927</v>
      </c>
      <c r="I1903" t="s">
        <v>110</v>
      </c>
      <c r="J1903" t="s">
        <v>2500</v>
      </c>
    </row>
    <row r="1904" spans="1:10" x14ac:dyDescent="0.25">
      <c r="A1904" t="s">
        <v>7928</v>
      </c>
      <c r="B1904" s="3">
        <v>46309</v>
      </c>
      <c r="C1904" t="s">
        <v>492</v>
      </c>
      <c r="D1904" t="s">
        <v>467</v>
      </c>
      <c r="E1904">
        <v>25</v>
      </c>
      <c r="F1904" t="s">
        <v>469</v>
      </c>
      <c r="G1904" t="s">
        <v>4231</v>
      </c>
      <c r="H1904" t="s">
        <v>7929</v>
      </c>
      <c r="I1904" t="s">
        <v>102</v>
      </c>
      <c r="J1904" t="s">
        <v>2500</v>
      </c>
    </row>
    <row r="1905" spans="1:10" x14ac:dyDescent="0.25">
      <c r="A1905" t="s">
        <v>7930</v>
      </c>
      <c r="B1905" s="3">
        <v>46309</v>
      </c>
      <c r="C1905" t="s">
        <v>535</v>
      </c>
      <c r="D1905" t="s">
        <v>467</v>
      </c>
      <c r="E1905">
        <v>9</v>
      </c>
      <c r="F1905" t="s">
        <v>469</v>
      </c>
      <c r="G1905" t="s">
        <v>4234</v>
      </c>
      <c r="H1905" t="s">
        <v>7931</v>
      </c>
      <c r="I1905" t="s">
        <v>327</v>
      </c>
      <c r="J1905" t="s">
        <v>2503</v>
      </c>
    </row>
    <row r="1906" spans="1:10" x14ac:dyDescent="0.25">
      <c r="A1906" t="s">
        <v>7932</v>
      </c>
      <c r="B1906" s="3">
        <v>46309</v>
      </c>
      <c r="C1906" t="s">
        <v>621</v>
      </c>
      <c r="D1906" t="s">
        <v>582</v>
      </c>
      <c r="E1906">
        <v>3</v>
      </c>
      <c r="F1906" t="s">
        <v>2</v>
      </c>
      <c r="G1906" t="s">
        <v>4228</v>
      </c>
      <c r="H1906" t="s">
        <v>7933</v>
      </c>
      <c r="I1906" t="s">
        <v>312</v>
      </c>
      <c r="J1906" t="s">
        <v>2500</v>
      </c>
    </row>
    <row r="1907" spans="1:10" x14ac:dyDescent="0.25">
      <c r="A1907" t="s">
        <v>7934</v>
      </c>
      <c r="B1907" s="3">
        <v>46309</v>
      </c>
      <c r="C1907" t="s">
        <v>651</v>
      </c>
      <c r="D1907" t="s">
        <v>612</v>
      </c>
      <c r="E1907">
        <v>22</v>
      </c>
      <c r="F1907" t="s">
        <v>2</v>
      </c>
      <c r="G1907" t="s">
        <v>4225</v>
      </c>
      <c r="H1907" t="s">
        <v>7935</v>
      </c>
      <c r="I1907" t="s">
        <v>294</v>
      </c>
      <c r="J1907" t="s">
        <v>2509</v>
      </c>
    </row>
    <row r="1908" spans="1:10" x14ac:dyDescent="0.25">
      <c r="A1908" t="s">
        <v>7936</v>
      </c>
      <c r="B1908" s="3">
        <v>46309</v>
      </c>
      <c r="C1908" t="s">
        <v>620</v>
      </c>
      <c r="D1908" t="s">
        <v>587</v>
      </c>
      <c r="E1908">
        <v>55</v>
      </c>
      <c r="F1908" t="s">
        <v>2</v>
      </c>
      <c r="G1908" t="s">
        <v>4228</v>
      </c>
      <c r="H1908" t="s">
        <v>7937</v>
      </c>
      <c r="I1908" t="s">
        <v>129</v>
      </c>
      <c r="J1908" t="s">
        <v>2503</v>
      </c>
    </row>
    <row r="1909" spans="1:10" x14ac:dyDescent="0.25">
      <c r="A1909" t="s">
        <v>7938</v>
      </c>
      <c r="B1909" s="3">
        <v>46309</v>
      </c>
      <c r="C1909" t="s">
        <v>165</v>
      </c>
      <c r="D1909" t="s">
        <v>15</v>
      </c>
      <c r="E1909">
        <v>32</v>
      </c>
      <c r="F1909" t="s">
        <v>2</v>
      </c>
      <c r="G1909" t="s">
        <v>4234</v>
      </c>
      <c r="H1909" t="s">
        <v>7939</v>
      </c>
      <c r="I1909" t="s">
        <v>166</v>
      </c>
      <c r="J1909" t="s">
        <v>2509</v>
      </c>
    </row>
    <row r="1910" spans="1:10" x14ac:dyDescent="0.25">
      <c r="A1910" t="s">
        <v>7940</v>
      </c>
      <c r="B1910" s="3">
        <v>46309</v>
      </c>
      <c r="C1910" t="s">
        <v>153</v>
      </c>
      <c r="D1910" t="s">
        <v>26</v>
      </c>
      <c r="E1910">
        <v>26</v>
      </c>
      <c r="F1910" t="s">
        <v>2</v>
      </c>
      <c r="G1910" t="s">
        <v>4222</v>
      </c>
      <c r="H1910" t="s">
        <v>7941</v>
      </c>
      <c r="I1910" t="s">
        <v>93</v>
      </c>
      <c r="J1910" t="s">
        <v>2500</v>
      </c>
    </row>
    <row r="1911" spans="1:10" x14ac:dyDescent="0.25">
      <c r="A1911" t="s">
        <v>7942</v>
      </c>
      <c r="B1911" s="3">
        <v>46309</v>
      </c>
      <c r="C1911" t="s">
        <v>369</v>
      </c>
      <c r="D1911" t="s">
        <v>351</v>
      </c>
      <c r="E1911">
        <v>53</v>
      </c>
      <c r="F1911" t="s">
        <v>2</v>
      </c>
      <c r="G1911" t="s">
        <v>4222</v>
      </c>
      <c r="H1911" t="s">
        <v>7943</v>
      </c>
      <c r="I1911" t="s">
        <v>312</v>
      </c>
      <c r="J1911" t="s">
        <v>2503</v>
      </c>
    </row>
    <row r="1912" spans="1:10" x14ac:dyDescent="0.25">
      <c r="A1912" t="s">
        <v>7944</v>
      </c>
      <c r="B1912" s="3">
        <v>46309</v>
      </c>
      <c r="C1912" t="s">
        <v>613</v>
      </c>
      <c r="D1912" t="s">
        <v>597</v>
      </c>
      <c r="E1912">
        <v>28</v>
      </c>
      <c r="F1912" t="s">
        <v>355</v>
      </c>
      <c r="G1912" t="s">
        <v>4231</v>
      </c>
      <c r="H1912" t="s">
        <v>7945</v>
      </c>
      <c r="I1912" t="s">
        <v>221</v>
      </c>
      <c r="J1912" t="s">
        <v>2513</v>
      </c>
    </row>
    <row r="1913" spans="1:10" x14ac:dyDescent="0.25">
      <c r="A1913" t="s">
        <v>7946</v>
      </c>
      <c r="B1913" s="3">
        <v>46309</v>
      </c>
      <c r="C1913" t="s">
        <v>209</v>
      </c>
      <c r="D1913" t="s">
        <v>210</v>
      </c>
      <c r="E1913">
        <v>20</v>
      </c>
      <c r="F1913" t="s">
        <v>2</v>
      </c>
      <c r="G1913" t="s">
        <v>4231</v>
      </c>
      <c r="H1913" t="s">
        <v>7947</v>
      </c>
      <c r="I1913" t="s">
        <v>183</v>
      </c>
      <c r="J1913" t="s">
        <v>2513</v>
      </c>
    </row>
    <row r="1914" spans="1:10" x14ac:dyDescent="0.25">
      <c r="A1914" t="s">
        <v>7948</v>
      </c>
      <c r="B1914" s="3">
        <v>46309</v>
      </c>
      <c r="C1914" t="s">
        <v>141</v>
      </c>
      <c r="D1914" t="s">
        <v>66</v>
      </c>
      <c r="E1914">
        <v>5</v>
      </c>
      <c r="F1914" t="s">
        <v>2</v>
      </c>
      <c r="G1914" t="s">
        <v>4225</v>
      </c>
      <c r="H1914" t="s">
        <v>7949</v>
      </c>
      <c r="I1914" t="s">
        <v>142</v>
      </c>
      <c r="J1914" t="s">
        <v>2500</v>
      </c>
    </row>
    <row r="1915" spans="1:10" x14ac:dyDescent="0.25">
      <c r="A1915" t="s">
        <v>7950</v>
      </c>
      <c r="B1915" s="3">
        <v>46309</v>
      </c>
      <c r="C1915" t="s">
        <v>620</v>
      </c>
      <c r="D1915" t="s">
        <v>587</v>
      </c>
      <c r="E1915">
        <v>42</v>
      </c>
      <c r="F1915" t="s">
        <v>2</v>
      </c>
      <c r="G1915" t="s">
        <v>4234</v>
      </c>
      <c r="H1915" t="s">
        <v>7951</v>
      </c>
      <c r="I1915" t="s">
        <v>129</v>
      </c>
      <c r="J1915" t="s">
        <v>2503</v>
      </c>
    </row>
    <row r="1916" spans="1:10" x14ac:dyDescent="0.25">
      <c r="A1916" t="s">
        <v>7952</v>
      </c>
      <c r="B1916" s="3">
        <v>46309</v>
      </c>
      <c r="C1916" t="s">
        <v>167</v>
      </c>
      <c r="D1916" t="s">
        <v>26</v>
      </c>
      <c r="E1916">
        <v>15</v>
      </c>
      <c r="F1916" t="s">
        <v>2</v>
      </c>
      <c r="G1916" t="s">
        <v>4222</v>
      </c>
      <c r="H1916" t="s">
        <v>7953</v>
      </c>
      <c r="I1916" t="s">
        <v>64</v>
      </c>
      <c r="J1916" t="s">
        <v>2503</v>
      </c>
    </row>
    <row r="1917" spans="1:10" x14ac:dyDescent="0.25">
      <c r="A1917" t="s">
        <v>7954</v>
      </c>
      <c r="B1917" s="3">
        <v>46309</v>
      </c>
      <c r="C1917" t="s">
        <v>686</v>
      </c>
      <c r="D1917" t="s">
        <v>589</v>
      </c>
      <c r="E1917">
        <v>2</v>
      </c>
      <c r="F1917" t="s">
        <v>469</v>
      </c>
      <c r="G1917" t="s">
        <v>4222</v>
      </c>
      <c r="H1917" t="s">
        <v>7955</v>
      </c>
      <c r="I1917" t="s">
        <v>185</v>
      </c>
      <c r="J1917" t="s">
        <v>2500</v>
      </c>
    </row>
    <row r="1918" spans="1:10" x14ac:dyDescent="0.25">
      <c r="A1918" t="s">
        <v>7956</v>
      </c>
      <c r="B1918" s="3">
        <v>46309</v>
      </c>
      <c r="C1918" t="s">
        <v>442</v>
      </c>
      <c r="D1918" t="s">
        <v>382</v>
      </c>
      <c r="E1918">
        <v>10</v>
      </c>
      <c r="F1918" t="s">
        <v>383</v>
      </c>
      <c r="G1918" t="s">
        <v>4225</v>
      </c>
      <c r="H1918" t="s">
        <v>7060</v>
      </c>
      <c r="I1918" t="s">
        <v>203</v>
      </c>
      <c r="J1918" t="s">
        <v>2500</v>
      </c>
    </row>
    <row r="1919" spans="1:10" x14ac:dyDescent="0.25">
      <c r="A1919" t="s">
        <v>7957</v>
      </c>
      <c r="B1919" s="3">
        <v>46309</v>
      </c>
      <c r="C1919" t="s">
        <v>272</v>
      </c>
      <c r="D1919" t="s">
        <v>213</v>
      </c>
      <c r="E1919">
        <v>18</v>
      </c>
      <c r="F1919" t="s">
        <v>2</v>
      </c>
      <c r="G1919" t="s">
        <v>4222</v>
      </c>
      <c r="H1919" t="s">
        <v>7958</v>
      </c>
      <c r="I1919" t="s">
        <v>113</v>
      </c>
      <c r="J1919" t="s">
        <v>2503</v>
      </c>
    </row>
    <row r="1920" spans="1:10" x14ac:dyDescent="0.25">
      <c r="A1920" t="s">
        <v>7959</v>
      </c>
      <c r="B1920" s="3">
        <v>46309</v>
      </c>
      <c r="C1920" t="s">
        <v>619</v>
      </c>
      <c r="D1920" t="s">
        <v>594</v>
      </c>
      <c r="E1920">
        <v>28</v>
      </c>
      <c r="F1920" t="s">
        <v>595</v>
      </c>
      <c r="G1920" t="s">
        <v>4234</v>
      </c>
      <c r="H1920" t="s">
        <v>7960</v>
      </c>
      <c r="I1920" t="s">
        <v>206</v>
      </c>
      <c r="J1920" t="s">
        <v>2513</v>
      </c>
    </row>
    <row r="1921" spans="1:10" x14ac:dyDescent="0.25">
      <c r="A1921" t="s">
        <v>7961</v>
      </c>
      <c r="B1921" s="3">
        <v>46309</v>
      </c>
      <c r="C1921" t="s">
        <v>170</v>
      </c>
      <c r="D1921" t="s">
        <v>66</v>
      </c>
      <c r="E1921">
        <v>49</v>
      </c>
      <c r="F1921" t="s">
        <v>2</v>
      </c>
      <c r="G1921" t="s">
        <v>4225</v>
      </c>
      <c r="H1921" t="s">
        <v>7962</v>
      </c>
      <c r="I1921" t="s">
        <v>171</v>
      </c>
      <c r="J1921" t="s">
        <v>2509</v>
      </c>
    </row>
    <row r="1922" spans="1:10" x14ac:dyDescent="0.25">
      <c r="A1922" t="s">
        <v>7963</v>
      </c>
      <c r="B1922" s="3">
        <v>46309</v>
      </c>
      <c r="C1922" t="s">
        <v>501</v>
      </c>
      <c r="D1922" t="s">
        <v>502</v>
      </c>
      <c r="E1922">
        <v>13</v>
      </c>
      <c r="F1922" t="s">
        <v>469</v>
      </c>
      <c r="G1922" t="s">
        <v>4225</v>
      </c>
      <c r="H1922" t="s">
        <v>7964</v>
      </c>
      <c r="I1922" t="s">
        <v>292</v>
      </c>
      <c r="J1922" t="s">
        <v>2513</v>
      </c>
    </row>
    <row r="1923" spans="1:10" x14ac:dyDescent="0.25">
      <c r="A1923" t="s">
        <v>7965</v>
      </c>
      <c r="B1923" s="3">
        <v>46309</v>
      </c>
      <c r="C1923" t="s">
        <v>65</v>
      </c>
      <c r="D1923" t="s">
        <v>66</v>
      </c>
      <c r="E1923">
        <v>49</v>
      </c>
      <c r="F1923" t="s">
        <v>2</v>
      </c>
      <c r="G1923" t="s">
        <v>4222</v>
      </c>
      <c r="H1923" t="s">
        <v>7966</v>
      </c>
      <c r="I1923" t="s">
        <v>67</v>
      </c>
      <c r="J1923" t="s">
        <v>2503</v>
      </c>
    </row>
    <row r="1924" spans="1:10" x14ac:dyDescent="0.25">
      <c r="A1924" t="s">
        <v>7967</v>
      </c>
      <c r="B1924" s="3">
        <v>46309</v>
      </c>
      <c r="C1924" t="s">
        <v>636</v>
      </c>
      <c r="D1924" t="s">
        <v>602</v>
      </c>
      <c r="E1924">
        <v>45</v>
      </c>
      <c r="F1924" t="s">
        <v>2</v>
      </c>
      <c r="G1924" t="s">
        <v>4225</v>
      </c>
      <c r="H1924" t="s">
        <v>7968</v>
      </c>
      <c r="I1924" t="s">
        <v>183</v>
      </c>
      <c r="J1924" t="s">
        <v>2509</v>
      </c>
    </row>
    <row r="1925" spans="1:10" x14ac:dyDescent="0.25">
      <c r="A1925" t="s">
        <v>7969</v>
      </c>
      <c r="B1925" s="3">
        <v>46309</v>
      </c>
      <c r="C1925" t="s">
        <v>176</v>
      </c>
      <c r="D1925" t="s">
        <v>21</v>
      </c>
      <c r="E1925">
        <v>30</v>
      </c>
      <c r="F1925" t="s">
        <v>2</v>
      </c>
      <c r="G1925" t="s">
        <v>4222</v>
      </c>
      <c r="H1925" t="s">
        <v>7970</v>
      </c>
      <c r="I1925" t="s">
        <v>177</v>
      </c>
      <c r="J1925" t="s">
        <v>2513</v>
      </c>
    </row>
    <row r="1926" spans="1:10" x14ac:dyDescent="0.25">
      <c r="A1926" t="s">
        <v>7971</v>
      </c>
      <c r="B1926" s="3">
        <v>46309</v>
      </c>
      <c r="C1926" t="s">
        <v>176</v>
      </c>
      <c r="D1926" t="s">
        <v>21</v>
      </c>
      <c r="E1926">
        <v>31</v>
      </c>
      <c r="F1926" t="s">
        <v>2</v>
      </c>
      <c r="G1926" t="s">
        <v>4234</v>
      </c>
      <c r="H1926" t="s">
        <v>7909</v>
      </c>
      <c r="I1926" t="s">
        <v>177</v>
      </c>
      <c r="J1926" t="s">
        <v>2500</v>
      </c>
    </row>
    <row r="1927" spans="1:10" x14ac:dyDescent="0.25">
      <c r="A1927" t="s">
        <v>7972</v>
      </c>
      <c r="B1927" s="3">
        <v>46309</v>
      </c>
      <c r="C1927" t="s">
        <v>442</v>
      </c>
      <c r="D1927" t="s">
        <v>382</v>
      </c>
      <c r="E1927">
        <v>12</v>
      </c>
      <c r="F1927" t="s">
        <v>383</v>
      </c>
      <c r="G1927" t="s">
        <v>4228</v>
      </c>
      <c r="H1927" t="s">
        <v>7973</v>
      </c>
      <c r="I1927" t="s">
        <v>203</v>
      </c>
      <c r="J1927" t="s">
        <v>2500</v>
      </c>
    </row>
    <row r="1928" spans="1:10" x14ac:dyDescent="0.25">
      <c r="A1928" t="s">
        <v>7974</v>
      </c>
      <c r="B1928" s="3">
        <v>46309</v>
      </c>
      <c r="C1928" t="s">
        <v>472</v>
      </c>
      <c r="D1928" t="s">
        <v>467</v>
      </c>
      <c r="E1928">
        <v>50</v>
      </c>
      <c r="F1928" t="s">
        <v>469</v>
      </c>
      <c r="G1928" t="s">
        <v>4228</v>
      </c>
      <c r="H1928" t="s">
        <v>7975</v>
      </c>
      <c r="I1928" t="s">
        <v>119</v>
      </c>
      <c r="J1928" t="s">
        <v>2503</v>
      </c>
    </row>
    <row r="1929" spans="1:10" x14ac:dyDescent="0.25">
      <c r="A1929" t="s">
        <v>7976</v>
      </c>
      <c r="B1929" s="3">
        <v>46309</v>
      </c>
      <c r="C1929" t="s">
        <v>178</v>
      </c>
      <c r="D1929" t="s">
        <v>163</v>
      </c>
      <c r="E1929">
        <v>5</v>
      </c>
      <c r="F1929" t="s">
        <v>2</v>
      </c>
      <c r="G1929" t="s">
        <v>4234</v>
      </c>
      <c r="H1929" t="s">
        <v>7977</v>
      </c>
      <c r="I1929" t="s">
        <v>110</v>
      </c>
      <c r="J1929" t="s">
        <v>2503</v>
      </c>
    </row>
    <row r="1930" spans="1:10" x14ac:dyDescent="0.25">
      <c r="A1930" t="s">
        <v>7978</v>
      </c>
      <c r="B1930" s="3">
        <v>46309</v>
      </c>
      <c r="C1930" t="s">
        <v>531</v>
      </c>
      <c r="D1930" t="s">
        <v>479</v>
      </c>
      <c r="E1930">
        <v>32</v>
      </c>
      <c r="F1930" t="s">
        <v>469</v>
      </c>
      <c r="G1930" t="s">
        <v>4228</v>
      </c>
      <c r="H1930" t="s">
        <v>7979</v>
      </c>
      <c r="I1930" t="s">
        <v>129</v>
      </c>
      <c r="J1930" t="s">
        <v>2503</v>
      </c>
    </row>
    <row r="1931" spans="1:10" x14ac:dyDescent="0.25">
      <c r="A1931" t="s">
        <v>7980</v>
      </c>
      <c r="B1931" s="3">
        <v>46309</v>
      </c>
      <c r="C1931" t="s">
        <v>548</v>
      </c>
      <c r="D1931" t="s">
        <v>502</v>
      </c>
      <c r="E1931">
        <v>18</v>
      </c>
      <c r="F1931" t="s">
        <v>469</v>
      </c>
      <c r="G1931" t="s">
        <v>4231</v>
      </c>
      <c r="H1931" t="s">
        <v>7981</v>
      </c>
      <c r="I1931" t="s">
        <v>181</v>
      </c>
      <c r="J1931" t="s">
        <v>2503</v>
      </c>
    </row>
    <row r="1932" spans="1:10" x14ac:dyDescent="0.25">
      <c r="A1932" t="s">
        <v>7982</v>
      </c>
      <c r="B1932" s="3">
        <v>46309</v>
      </c>
      <c r="C1932" t="s">
        <v>249</v>
      </c>
      <c r="D1932" t="s">
        <v>216</v>
      </c>
      <c r="E1932">
        <v>39</v>
      </c>
      <c r="F1932" t="s">
        <v>2</v>
      </c>
      <c r="G1932" t="s">
        <v>4225</v>
      </c>
      <c r="H1932" t="s">
        <v>6821</v>
      </c>
      <c r="I1932" t="s">
        <v>250</v>
      </c>
      <c r="J1932" t="s">
        <v>2513</v>
      </c>
    </row>
    <row r="1933" spans="1:10" x14ac:dyDescent="0.25">
      <c r="A1933" t="s">
        <v>7983</v>
      </c>
      <c r="B1933" s="3">
        <v>46309</v>
      </c>
      <c r="C1933" t="s">
        <v>624</v>
      </c>
      <c r="D1933" t="s">
        <v>602</v>
      </c>
      <c r="E1933">
        <v>50</v>
      </c>
      <c r="F1933" t="s">
        <v>2</v>
      </c>
      <c r="G1933" t="s">
        <v>4225</v>
      </c>
      <c r="H1933" t="s">
        <v>7984</v>
      </c>
      <c r="I1933" t="s">
        <v>181</v>
      </c>
      <c r="J1933" t="s">
        <v>2513</v>
      </c>
    </row>
    <row r="1934" spans="1:10" x14ac:dyDescent="0.25">
      <c r="A1934" t="s">
        <v>7985</v>
      </c>
      <c r="B1934" s="3">
        <v>46309</v>
      </c>
      <c r="C1934" t="s">
        <v>323</v>
      </c>
      <c r="D1934" t="s">
        <v>240</v>
      </c>
      <c r="E1934">
        <v>23</v>
      </c>
      <c r="F1934" t="s">
        <v>2</v>
      </c>
      <c r="G1934" t="s">
        <v>4228</v>
      </c>
      <c r="H1934" t="s">
        <v>7986</v>
      </c>
      <c r="I1934" t="s">
        <v>324</v>
      </c>
      <c r="J1934" t="s">
        <v>2503</v>
      </c>
    </row>
    <row r="1935" spans="1:10" x14ac:dyDescent="0.25">
      <c r="A1935" t="s">
        <v>7987</v>
      </c>
      <c r="B1935" s="3">
        <v>46309</v>
      </c>
      <c r="C1935" t="s">
        <v>341</v>
      </c>
      <c r="D1935" t="s">
        <v>234</v>
      </c>
      <c r="E1935">
        <v>53</v>
      </c>
      <c r="F1935" t="s">
        <v>2</v>
      </c>
      <c r="G1935" t="s">
        <v>4225</v>
      </c>
      <c r="H1935" t="s">
        <v>7988</v>
      </c>
      <c r="I1935" t="s">
        <v>161</v>
      </c>
      <c r="J1935" t="s">
        <v>2503</v>
      </c>
    </row>
    <row r="1936" spans="1:10" x14ac:dyDescent="0.25">
      <c r="A1936" t="s">
        <v>7989</v>
      </c>
      <c r="B1936" s="3">
        <v>46309</v>
      </c>
      <c r="C1936" t="s">
        <v>544</v>
      </c>
      <c r="D1936" t="s">
        <v>488</v>
      </c>
      <c r="E1936">
        <v>21</v>
      </c>
      <c r="F1936" t="s">
        <v>469</v>
      </c>
      <c r="G1936" t="s">
        <v>4231</v>
      </c>
      <c r="H1936" t="s">
        <v>7990</v>
      </c>
      <c r="I1936" t="s">
        <v>219</v>
      </c>
      <c r="J1936" t="s">
        <v>2513</v>
      </c>
    </row>
    <row r="1937" spans="1:10" x14ac:dyDescent="0.25">
      <c r="A1937" t="s">
        <v>7991</v>
      </c>
      <c r="B1937" s="3">
        <v>46309</v>
      </c>
      <c r="C1937" t="s">
        <v>527</v>
      </c>
      <c r="D1937" t="s">
        <v>467</v>
      </c>
      <c r="E1937">
        <v>53</v>
      </c>
      <c r="F1937" t="s">
        <v>469</v>
      </c>
      <c r="G1937" t="s">
        <v>4228</v>
      </c>
      <c r="H1937" t="s">
        <v>7992</v>
      </c>
      <c r="I1937" t="s">
        <v>289</v>
      </c>
      <c r="J1937" t="s">
        <v>2500</v>
      </c>
    </row>
    <row r="1938" spans="1:10" x14ac:dyDescent="0.25">
      <c r="A1938" t="s">
        <v>7993</v>
      </c>
      <c r="B1938" s="3">
        <v>46309</v>
      </c>
      <c r="C1938" t="s">
        <v>116</v>
      </c>
      <c r="D1938" t="s">
        <v>54</v>
      </c>
      <c r="E1938">
        <v>49</v>
      </c>
      <c r="F1938" t="s">
        <v>2</v>
      </c>
      <c r="G1938" t="s">
        <v>4225</v>
      </c>
      <c r="H1938" t="s">
        <v>7994</v>
      </c>
      <c r="I1938" t="s">
        <v>117</v>
      </c>
      <c r="J1938" t="s">
        <v>2500</v>
      </c>
    </row>
    <row r="1939" spans="1:10" x14ac:dyDescent="0.25">
      <c r="A1939" t="s">
        <v>7995</v>
      </c>
      <c r="B1939" s="3">
        <v>46309</v>
      </c>
      <c r="C1939" t="s">
        <v>529</v>
      </c>
      <c r="D1939" t="s">
        <v>481</v>
      </c>
      <c r="E1939">
        <v>27</v>
      </c>
      <c r="F1939" t="s">
        <v>2</v>
      </c>
      <c r="G1939" t="s">
        <v>4231</v>
      </c>
      <c r="H1939" t="s">
        <v>7996</v>
      </c>
      <c r="I1939" t="s">
        <v>327</v>
      </c>
      <c r="J1939" t="s">
        <v>2509</v>
      </c>
    </row>
    <row r="1940" spans="1:10" x14ac:dyDescent="0.25">
      <c r="A1940" t="s">
        <v>7997</v>
      </c>
      <c r="B1940" s="3">
        <v>46310</v>
      </c>
      <c r="C1940" t="s">
        <v>618</v>
      </c>
      <c r="D1940" t="s">
        <v>587</v>
      </c>
      <c r="E1940">
        <v>42</v>
      </c>
      <c r="F1940" t="s">
        <v>2</v>
      </c>
      <c r="G1940" t="s">
        <v>4234</v>
      </c>
      <c r="H1940" t="s">
        <v>6777</v>
      </c>
      <c r="I1940" t="s">
        <v>79</v>
      </c>
      <c r="J1940" t="s">
        <v>2509</v>
      </c>
    </row>
    <row r="1941" spans="1:10" x14ac:dyDescent="0.25">
      <c r="A1941" t="s">
        <v>7998</v>
      </c>
      <c r="B1941" s="3">
        <v>46310</v>
      </c>
      <c r="C1941" t="s">
        <v>570</v>
      </c>
      <c r="D1941" t="s">
        <v>484</v>
      </c>
      <c r="E1941">
        <v>52</v>
      </c>
      <c r="F1941" t="s">
        <v>469</v>
      </c>
      <c r="G1941" t="s">
        <v>4222</v>
      </c>
      <c r="H1941" t="s">
        <v>7999</v>
      </c>
      <c r="I1941" t="s">
        <v>106</v>
      </c>
      <c r="J1941" t="s">
        <v>2509</v>
      </c>
    </row>
    <row r="1942" spans="1:10" x14ac:dyDescent="0.25">
      <c r="A1942" t="s">
        <v>8000</v>
      </c>
      <c r="B1942" s="3">
        <v>46310</v>
      </c>
      <c r="C1942" t="s">
        <v>74</v>
      </c>
      <c r="D1942" t="s">
        <v>15</v>
      </c>
      <c r="E1942">
        <v>44</v>
      </c>
      <c r="F1942" t="s">
        <v>2</v>
      </c>
      <c r="G1942" t="s">
        <v>4228</v>
      </c>
      <c r="H1942" t="s">
        <v>8001</v>
      </c>
      <c r="I1942" t="s">
        <v>75</v>
      </c>
      <c r="J1942" t="s">
        <v>2503</v>
      </c>
    </row>
    <row r="1943" spans="1:10" x14ac:dyDescent="0.25">
      <c r="A1943" t="s">
        <v>8002</v>
      </c>
      <c r="B1943" s="3">
        <v>46310</v>
      </c>
      <c r="C1943" t="s">
        <v>684</v>
      </c>
      <c r="D1943" t="s">
        <v>602</v>
      </c>
      <c r="E1943">
        <v>9</v>
      </c>
      <c r="F1943" t="s">
        <v>2</v>
      </c>
      <c r="G1943" t="s">
        <v>4228</v>
      </c>
      <c r="H1943" t="s">
        <v>8003</v>
      </c>
      <c r="I1943" t="s">
        <v>142</v>
      </c>
      <c r="J1943" t="s">
        <v>2513</v>
      </c>
    </row>
    <row r="1944" spans="1:10" x14ac:dyDescent="0.25">
      <c r="A1944" t="s">
        <v>8004</v>
      </c>
      <c r="B1944" s="3">
        <v>46310</v>
      </c>
      <c r="C1944" t="s">
        <v>363</v>
      </c>
      <c r="D1944" t="s">
        <v>364</v>
      </c>
      <c r="E1944">
        <v>1</v>
      </c>
      <c r="F1944" t="s">
        <v>358</v>
      </c>
      <c r="G1944" t="s">
        <v>4225</v>
      </c>
      <c r="H1944" t="s">
        <v>8005</v>
      </c>
      <c r="I1944" t="s">
        <v>57</v>
      </c>
      <c r="J1944" t="s">
        <v>2509</v>
      </c>
    </row>
    <row r="1945" spans="1:10" x14ac:dyDescent="0.25">
      <c r="A1945" t="s">
        <v>8006</v>
      </c>
      <c r="B1945" s="3">
        <v>46310</v>
      </c>
      <c r="C1945" t="s">
        <v>450</v>
      </c>
      <c r="D1945" t="s">
        <v>349</v>
      </c>
      <c r="E1945">
        <v>32</v>
      </c>
      <c r="F1945" t="s">
        <v>2</v>
      </c>
      <c r="G1945" t="s">
        <v>4234</v>
      </c>
      <c r="H1945" t="s">
        <v>8007</v>
      </c>
      <c r="I1945" t="s">
        <v>121</v>
      </c>
      <c r="J1945" t="s">
        <v>2503</v>
      </c>
    </row>
    <row r="1946" spans="1:10" x14ac:dyDescent="0.25">
      <c r="A1946" t="s">
        <v>8008</v>
      </c>
      <c r="B1946" s="3">
        <v>46310</v>
      </c>
      <c r="C1946" t="s">
        <v>178</v>
      </c>
      <c r="D1946" t="s">
        <v>163</v>
      </c>
      <c r="E1946">
        <v>49</v>
      </c>
      <c r="F1946" t="s">
        <v>2</v>
      </c>
      <c r="G1946" t="s">
        <v>4234</v>
      </c>
      <c r="H1946" t="s">
        <v>8009</v>
      </c>
      <c r="I1946" t="s">
        <v>110</v>
      </c>
      <c r="J1946" t="s">
        <v>2500</v>
      </c>
    </row>
    <row r="1947" spans="1:10" x14ac:dyDescent="0.25">
      <c r="A1947" t="s">
        <v>8010</v>
      </c>
      <c r="B1947" s="3">
        <v>46310</v>
      </c>
      <c r="C1947" t="s">
        <v>554</v>
      </c>
      <c r="D1947" t="s">
        <v>502</v>
      </c>
      <c r="E1947">
        <v>10</v>
      </c>
      <c r="F1947" t="s">
        <v>469</v>
      </c>
      <c r="G1947" t="s">
        <v>4234</v>
      </c>
      <c r="H1947" t="s">
        <v>8011</v>
      </c>
      <c r="I1947" t="s">
        <v>265</v>
      </c>
      <c r="J1947" t="s">
        <v>2509</v>
      </c>
    </row>
    <row r="1948" spans="1:10" x14ac:dyDescent="0.25">
      <c r="A1948" t="s">
        <v>8012</v>
      </c>
      <c r="B1948" s="3">
        <v>46310</v>
      </c>
      <c r="C1948" t="s">
        <v>508</v>
      </c>
      <c r="D1948" t="s">
        <v>476</v>
      </c>
      <c r="E1948">
        <v>15</v>
      </c>
      <c r="F1948" t="s">
        <v>477</v>
      </c>
      <c r="G1948" t="s">
        <v>4225</v>
      </c>
      <c r="H1948" t="s">
        <v>8013</v>
      </c>
      <c r="I1948" t="s">
        <v>89</v>
      </c>
      <c r="J1948" t="s">
        <v>2500</v>
      </c>
    </row>
    <row r="1949" spans="1:10" x14ac:dyDescent="0.25">
      <c r="A1949" t="s">
        <v>8014</v>
      </c>
      <c r="B1949" s="3">
        <v>46310</v>
      </c>
      <c r="C1949" t="s">
        <v>373</v>
      </c>
      <c r="D1949" t="s">
        <v>364</v>
      </c>
      <c r="E1949">
        <v>38</v>
      </c>
      <c r="F1949" t="s">
        <v>358</v>
      </c>
      <c r="G1949" t="s">
        <v>4231</v>
      </c>
      <c r="H1949" t="s">
        <v>8015</v>
      </c>
      <c r="I1949" t="s">
        <v>206</v>
      </c>
      <c r="J1949" t="s">
        <v>2509</v>
      </c>
    </row>
    <row r="1950" spans="1:10" x14ac:dyDescent="0.25">
      <c r="A1950" t="s">
        <v>8016</v>
      </c>
      <c r="B1950" s="3">
        <v>46310</v>
      </c>
      <c r="C1950" t="s">
        <v>231</v>
      </c>
      <c r="D1950" t="s">
        <v>227</v>
      </c>
      <c r="E1950">
        <v>23</v>
      </c>
      <c r="F1950" t="s">
        <v>2</v>
      </c>
      <c r="G1950" t="s">
        <v>4231</v>
      </c>
      <c r="H1950" t="s">
        <v>8017</v>
      </c>
      <c r="I1950" t="s">
        <v>30</v>
      </c>
      <c r="J1950" t="s">
        <v>2513</v>
      </c>
    </row>
    <row r="1951" spans="1:10" x14ac:dyDescent="0.25">
      <c r="A1951" t="s">
        <v>8018</v>
      </c>
      <c r="B1951" s="3">
        <v>46310</v>
      </c>
      <c r="C1951" t="s">
        <v>614</v>
      </c>
      <c r="D1951" t="s">
        <v>587</v>
      </c>
      <c r="E1951">
        <v>26</v>
      </c>
      <c r="F1951" t="s">
        <v>2</v>
      </c>
      <c r="G1951" t="s">
        <v>4222</v>
      </c>
      <c r="H1951" t="s">
        <v>8019</v>
      </c>
      <c r="I1951" t="s">
        <v>193</v>
      </c>
      <c r="J1951" t="s">
        <v>2500</v>
      </c>
    </row>
    <row r="1952" spans="1:10" x14ac:dyDescent="0.25">
      <c r="A1952" t="s">
        <v>8020</v>
      </c>
      <c r="B1952" s="3">
        <v>46310</v>
      </c>
      <c r="C1952" t="s">
        <v>447</v>
      </c>
      <c r="D1952" t="s">
        <v>349</v>
      </c>
      <c r="E1952">
        <v>11</v>
      </c>
      <c r="F1952" t="s">
        <v>2</v>
      </c>
      <c r="G1952" t="s">
        <v>4225</v>
      </c>
      <c r="H1952" t="s">
        <v>8021</v>
      </c>
      <c r="I1952" t="s">
        <v>440</v>
      </c>
      <c r="J1952" t="s">
        <v>2500</v>
      </c>
    </row>
    <row r="1953" spans="1:10" x14ac:dyDescent="0.25">
      <c r="A1953" t="s">
        <v>8022</v>
      </c>
      <c r="B1953" s="3">
        <v>46310</v>
      </c>
      <c r="C1953" t="s">
        <v>555</v>
      </c>
      <c r="D1953" t="s">
        <v>502</v>
      </c>
      <c r="E1953">
        <v>8</v>
      </c>
      <c r="F1953" t="s">
        <v>469</v>
      </c>
      <c r="G1953" t="s">
        <v>4225</v>
      </c>
      <c r="H1953" t="s">
        <v>7829</v>
      </c>
      <c r="I1953" t="s">
        <v>124</v>
      </c>
      <c r="J1953" t="s">
        <v>2503</v>
      </c>
    </row>
    <row r="1954" spans="1:10" x14ac:dyDescent="0.25">
      <c r="A1954" t="s">
        <v>8023</v>
      </c>
      <c r="B1954" s="3">
        <v>46310</v>
      </c>
      <c r="C1954" t="s">
        <v>654</v>
      </c>
      <c r="D1954" t="s">
        <v>582</v>
      </c>
      <c r="E1954">
        <v>37</v>
      </c>
      <c r="F1954" t="s">
        <v>2</v>
      </c>
      <c r="G1954" t="s">
        <v>4231</v>
      </c>
      <c r="H1954" t="s">
        <v>8024</v>
      </c>
      <c r="I1954" t="s">
        <v>108</v>
      </c>
      <c r="J1954" t="s">
        <v>2503</v>
      </c>
    </row>
    <row r="1955" spans="1:10" x14ac:dyDescent="0.25">
      <c r="A1955" t="s">
        <v>8025</v>
      </c>
      <c r="B1955" s="3">
        <v>46310</v>
      </c>
      <c r="C1955" t="s">
        <v>414</v>
      </c>
      <c r="D1955" t="s">
        <v>378</v>
      </c>
      <c r="E1955">
        <v>38</v>
      </c>
      <c r="F1955" t="s">
        <v>2</v>
      </c>
      <c r="G1955" t="s">
        <v>4231</v>
      </c>
      <c r="H1955" t="s">
        <v>8026</v>
      </c>
      <c r="I1955" t="s">
        <v>147</v>
      </c>
      <c r="J1955" t="s">
        <v>2509</v>
      </c>
    </row>
    <row r="1956" spans="1:10" x14ac:dyDescent="0.25">
      <c r="A1956" t="s">
        <v>8027</v>
      </c>
      <c r="B1956" s="3">
        <v>46310</v>
      </c>
      <c r="C1956" t="s">
        <v>301</v>
      </c>
      <c r="D1956" t="s">
        <v>240</v>
      </c>
      <c r="E1956">
        <v>7</v>
      </c>
      <c r="F1956" t="s">
        <v>2</v>
      </c>
      <c r="G1956" t="s">
        <v>4228</v>
      </c>
      <c r="H1956" t="s">
        <v>8028</v>
      </c>
      <c r="I1956" t="s">
        <v>259</v>
      </c>
      <c r="J1956" t="s">
        <v>2513</v>
      </c>
    </row>
    <row r="1957" spans="1:10" x14ac:dyDescent="0.25">
      <c r="A1957" t="s">
        <v>8029</v>
      </c>
      <c r="B1957" s="3">
        <v>46310</v>
      </c>
      <c r="C1957" t="s">
        <v>454</v>
      </c>
      <c r="D1957" t="s">
        <v>344</v>
      </c>
      <c r="E1957">
        <v>6</v>
      </c>
      <c r="F1957" t="s">
        <v>346</v>
      </c>
      <c r="G1957" t="s">
        <v>4231</v>
      </c>
      <c r="H1957" t="s">
        <v>8030</v>
      </c>
      <c r="I1957" t="s">
        <v>455</v>
      </c>
      <c r="J1957" t="s">
        <v>2500</v>
      </c>
    </row>
    <row r="1958" spans="1:10" x14ac:dyDescent="0.25">
      <c r="A1958" t="s">
        <v>8031</v>
      </c>
      <c r="B1958" s="3">
        <v>46310</v>
      </c>
      <c r="C1958" t="s">
        <v>606</v>
      </c>
      <c r="D1958" t="s">
        <v>602</v>
      </c>
      <c r="E1958">
        <v>28</v>
      </c>
      <c r="F1958" t="s">
        <v>2</v>
      </c>
      <c r="G1958" t="s">
        <v>4228</v>
      </c>
      <c r="H1958" t="s">
        <v>8032</v>
      </c>
      <c r="I1958" t="s">
        <v>314</v>
      </c>
      <c r="J1958" t="s">
        <v>2513</v>
      </c>
    </row>
    <row r="1959" spans="1:10" x14ac:dyDescent="0.25">
      <c r="A1959" t="s">
        <v>8033</v>
      </c>
      <c r="B1959" s="3">
        <v>46310</v>
      </c>
      <c r="C1959" t="s">
        <v>687</v>
      </c>
      <c r="D1959" t="s">
        <v>612</v>
      </c>
      <c r="E1959">
        <v>15</v>
      </c>
      <c r="F1959" t="s">
        <v>2</v>
      </c>
      <c r="G1959" t="s">
        <v>4225</v>
      </c>
      <c r="H1959" t="s">
        <v>8034</v>
      </c>
      <c r="I1959" t="s">
        <v>59</v>
      </c>
      <c r="J1959" t="s">
        <v>2509</v>
      </c>
    </row>
    <row r="1960" spans="1:10" x14ac:dyDescent="0.25">
      <c r="A1960" t="s">
        <v>8035</v>
      </c>
      <c r="B1960" s="3">
        <v>46310</v>
      </c>
      <c r="C1960" t="s">
        <v>446</v>
      </c>
      <c r="D1960" t="s">
        <v>382</v>
      </c>
      <c r="E1960">
        <v>22</v>
      </c>
      <c r="F1960" t="s">
        <v>383</v>
      </c>
      <c r="G1960" t="s">
        <v>4222</v>
      </c>
      <c r="H1960" t="s">
        <v>8036</v>
      </c>
      <c r="I1960" t="s">
        <v>183</v>
      </c>
      <c r="J1960" t="s">
        <v>2500</v>
      </c>
    </row>
    <row r="1961" spans="1:10" x14ac:dyDescent="0.25">
      <c r="A1961" t="s">
        <v>8037</v>
      </c>
      <c r="B1961" s="3">
        <v>46310</v>
      </c>
      <c r="C1961" t="s">
        <v>293</v>
      </c>
      <c r="D1961" t="s">
        <v>210</v>
      </c>
      <c r="E1961">
        <v>13</v>
      </c>
      <c r="F1961" t="s">
        <v>2</v>
      </c>
      <c r="G1961" t="s">
        <v>4234</v>
      </c>
      <c r="H1961" t="s">
        <v>8038</v>
      </c>
      <c r="I1961" t="s">
        <v>294</v>
      </c>
      <c r="J1961" t="s">
        <v>2509</v>
      </c>
    </row>
    <row r="1962" spans="1:10" x14ac:dyDescent="0.25">
      <c r="A1962" t="s">
        <v>8039</v>
      </c>
      <c r="B1962" s="3">
        <v>46310</v>
      </c>
      <c r="C1962" t="s">
        <v>441</v>
      </c>
      <c r="D1962" t="s">
        <v>366</v>
      </c>
      <c r="E1962">
        <v>36</v>
      </c>
      <c r="F1962" t="s">
        <v>2</v>
      </c>
      <c r="G1962" t="s">
        <v>4222</v>
      </c>
      <c r="H1962" t="s">
        <v>8040</v>
      </c>
      <c r="I1962" t="s">
        <v>314</v>
      </c>
      <c r="J1962" t="s">
        <v>2513</v>
      </c>
    </row>
    <row r="1963" spans="1:10" x14ac:dyDescent="0.25">
      <c r="A1963" t="s">
        <v>8041</v>
      </c>
      <c r="B1963" s="3">
        <v>46310</v>
      </c>
      <c r="C1963" t="s">
        <v>309</v>
      </c>
      <c r="D1963" t="s">
        <v>225</v>
      </c>
      <c r="E1963">
        <v>19</v>
      </c>
      <c r="F1963" t="s">
        <v>2</v>
      </c>
      <c r="G1963" t="s">
        <v>4222</v>
      </c>
      <c r="H1963" t="s">
        <v>8042</v>
      </c>
      <c r="I1963" t="s">
        <v>310</v>
      </c>
      <c r="J1963" t="s">
        <v>2509</v>
      </c>
    </row>
    <row r="1964" spans="1:10" x14ac:dyDescent="0.25">
      <c r="A1964" t="s">
        <v>8043</v>
      </c>
      <c r="B1964" s="3">
        <v>46310</v>
      </c>
      <c r="C1964" t="s">
        <v>74</v>
      </c>
      <c r="D1964" t="s">
        <v>15</v>
      </c>
      <c r="E1964">
        <v>51</v>
      </c>
      <c r="F1964" t="s">
        <v>2</v>
      </c>
      <c r="G1964" t="s">
        <v>4222</v>
      </c>
      <c r="H1964" t="s">
        <v>8044</v>
      </c>
      <c r="I1964" t="s">
        <v>75</v>
      </c>
      <c r="J1964" t="s">
        <v>2500</v>
      </c>
    </row>
    <row r="1965" spans="1:10" x14ac:dyDescent="0.25">
      <c r="A1965" t="s">
        <v>8045</v>
      </c>
      <c r="B1965" s="3">
        <v>46310</v>
      </c>
      <c r="C1965" t="s">
        <v>258</v>
      </c>
      <c r="D1965" t="s">
        <v>210</v>
      </c>
      <c r="E1965">
        <v>21</v>
      </c>
      <c r="F1965" t="s">
        <v>2</v>
      </c>
      <c r="G1965" t="s">
        <v>4225</v>
      </c>
      <c r="H1965" t="s">
        <v>8046</v>
      </c>
      <c r="I1965" t="s">
        <v>259</v>
      </c>
      <c r="J1965" t="s">
        <v>2513</v>
      </c>
    </row>
    <row r="1966" spans="1:10" x14ac:dyDescent="0.25">
      <c r="A1966" t="s">
        <v>8047</v>
      </c>
      <c r="B1966" s="3">
        <v>46310</v>
      </c>
      <c r="C1966" t="s">
        <v>58</v>
      </c>
      <c r="D1966" t="s">
        <v>21</v>
      </c>
      <c r="E1966">
        <v>39</v>
      </c>
      <c r="F1966" t="s">
        <v>2</v>
      </c>
      <c r="G1966" t="s">
        <v>4234</v>
      </c>
      <c r="H1966" t="s">
        <v>8048</v>
      </c>
      <c r="I1966" t="s">
        <v>59</v>
      </c>
      <c r="J1966" t="s">
        <v>2500</v>
      </c>
    </row>
    <row r="1967" spans="1:10" x14ac:dyDescent="0.25">
      <c r="A1967" t="s">
        <v>8049</v>
      </c>
      <c r="B1967" s="3">
        <v>46310</v>
      </c>
      <c r="C1967" t="s">
        <v>541</v>
      </c>
      <c r="D1967" t="s">
        <v>490</v>
      </c>
      <c r="E1967">
        <v>21</v>
      </c>
      <c r="F1967" t="s">
        <v>355</v>
      </c>
      <c r="G1967" t="s">
        <v>4222</v>
      </c>
      <c r="H1967" t="s">
        <v>8050</v>
      </c>
      <c r="I1967" t="s">
        <v>106</v>
      </c>
      <c r="J1967" t="s">
        <v>2500</v>
      </c>
    </row>
    <row r="1968" spans="1:10" x14ac:dyDescent="0.25">
      <c r="A1968" t="s">
        <v>8051</v>
      </c>
      <c r="B1968" s="3">
        <v>46310</v>
      </c>
      <c r="C1968" t="s">
        <v>517</v>
      </c>
      <c r="D1968" t="s">
        <v>488</v>
      </c>
      <c r="E1968">
        <v>18</v>
      </c>
      <c r="F1968" t="s">
        <v>469</v>
      </c>
      <c r="G1968" t="s">
        <v>4228</v>
      </c>
      <c r="H1968" t="s">
        <v>8052</v>
      </c>
      <c r="I1968" t="s">
        <v>67</v>
      </c>
      <c r="J1968" t="s">
        <v>2500</v>
      </c>
    </row>
    <row r="1969" spans="1:10" x14ac:dyDescent="0.25">
      <c r="A1969" t="s">
        <v>8053</v>
      </c>
      <c r="B1969" s="3">
        <v>46310</v>
      </c>
      <c r="C1969" t="s">
        <v>500</v>
      </c>
      <c r="D1969" t="s">
        <v>488</v>
      </c>
      <c r="E1969">
        <v>20</v>
      </c>
      <c r="F1969" t="s">
        <v>469</v>
      </c>
      <c r="G1969" t="s">
        <v>4222</v>
      </c>
      <c r="H1969" t="s">
        <v>8054</v>
      </c>
      <c r="I1969" t="s">
        <v>27</v>
      </c>
      <c r="J1969" t="s">
        <v>2513</v>
      </c>
    </row>
    <row r="1970" spans="1:10" x14ac:dyDescent="0.25">
      <c r="A1970" t="s">
        <v>8055</v>
      </c>
      <c r="B1970" s="3">
        <v>46310</v>
      </c>
      <c r="C1970" t="s">
        <v>531</v>
      </c>
      <c r="D1970" t="s">
        <v>479</v>
      </c>
      <c r="E1970">
        <v>12</v>
      </c>
      <c r="F1970" t="s">
        <v>469</v>
      </c>
      <c r="G1970" t="s">
        <v>4234</v>
      </c>
      <c r="H1970" t="s">
        <v>8056</v>
      </c>
      <c r="I1970" t="s">
        <v>129</v>
      </c>
      <c r="J1970" t="s">
        <v>2509</v>
      </c>
    </row>
    <row r="1971" spans="1:10" x14ac:dyDescent="0.25">
      <c r="A1971" t="s">
        <v>8057</v>
      </c>
      <c r="B1971" s="3">
        <v>46310</v>
      </c>
      <c r="C1971" t="s">
        <v>91</v>
      </c>
      <c r="D1971" t="s">
        <v>47</v>
      </c>
      <c r="E1971">
        <v>24</v>
      </c>
      <c r="F1971" t="s">
        <v>2</v>
      </c>
      <c r="G1971" t="s">
        <v>4231</v>
      </c>
      <c r="H1971" t="s">
        <v>8058</v>
      </c>
      <c r="I1971" t="s">
        <v>83</v>
      </c>
      <c r="J1971" t="s">
        <v>2500</v>
      </c>
    </row>
    <row r="1972" spans="1:10" x14ac:dyDescent="0.25">
      <c r="A1972" t="s">
        <v>8059</v>
      </c>
      <c r="B1972" s="3">
        <v>46310</v>
      </c>
      <c r="C1972" t="s">
        <v>456</v>
      </c>
      <c r="D1972" t="s">
        <v>351</v>
      </c>
      <c r="E1972">
        <v>25</v>
      </c>
      <c r="F1972" t="s">
        <v>2</v>
      </c>
      <c r="G1972" t="s">
        <v>4234</v>
      </c>
      <c r="H1972" t="s">
        <v>8060</v>
      </c>
      <c r="I1972" t="s">
        <v>119</v>
      </c>
      <c r="J1972" t="s">
        <v>2513</v>
      </c>
    </row>
    <row r="1973" spans="1:10" x14ac:dyDescent="0.25">
      <c r="A1973" t="s">
        <v>8061</v>
      </c>
      <c r="B1973" s="3">
        <v>46310</v>
      </c>
      <c r="C1973" t="s">
        <v>375</v>
      </c>
      <c r="D1973" t="s">
        <v>364</v>
      </c>
      <c r="E1973">
        <v>3</v>
      </c>
      <c r="F1973" t="s">
        <v>358</v>
      </c>
      <c r="G1973" t="s">
        <v>4228</v>
      </c>
      <c r="H1973" t="s">
        <v>8062</v>
      </c>
      <c r="I1973" t="s">
        <v>110</v>
      </c>
      <c r="J1973" t="s">
        <v>2500</v>
      </c>
    </row>
    <row r="1974" spans="1:10" x14ac:dyDescent="0.25">
      <c r="A1974" t="s">
        <v>8063</v>
      </c>
      <c r="B1974" s="3">
        <v>46310</v>
      </c>
      <c r="C1974" t="s">
        <v>564</v>
      </c>
      <c r="D1974" t="s">
        <v>481</v>
      </c>
      <c r="E1974">
        <v>32</v>
      </c>
      <c r="F1974" t="s">
        <v>2</v>
      </c>
      <c r="G1974" t="s">
        <v>4222</v>
      </c>
      <c r="H1974" t="s">
        <v>7410</v>
      </c>
      <c r="I1974" t="s">
        <v>164</v>
      </c>
      <c r="J1974" t="s">
        <v>2509</v>
      </c>
    </row>
    <row r="1975" spans="1:10" x14ac:dyDescent="0.25">
      <c r="A1975" t="s">
        <v>8064</v>
      </c>
      <c r="B1975" s="3">
        <v>46310</v>
      </c>
      <c r="C1975" t="s">
        <v>496</v>
      </c>
      <c r="D1975" t="s">
        <v>490</v>
      </c>
      <c r="E1975">
        <v>2</v>
      </c>
      <c r="F1975" t="s">
        <v>355</v>
      </c>
      <c r="G1975" t="s">
        <v>4231</v>
      </c>
      <c r="H1975" t="s">
        <v>8065</v>
      </c>
      <c r="I1975" t="s">
        <v>42</v>
      </c>
      <c r="J1975" t="s">
        <v>2513</v>
      </c>
    </row>
    <row r="1976" spans="1:10" x14ac:dyDescent="0.25">
      <c r="A1976" t="s">
        <v>8066</v>
      </c>
      <c r="B1976" s="3">
        <v>46310</v>
      </c>
      <c r="C1976" t="s">
        <v>557</v>
      </c>
      <c r="D1976" t="s">
        <v>474</v>
      </c>
      <c r="E1976">
        <v>48</v>
      </c>
      <c r="F1976" t="s">
        <v>2</v>
      </c>
      <c r="G1976" t="s">
        <v>4234</v>
      </c>
      <c r="H1976" t="s">
        <v>8067</v>
      </c>
      <c r="I1976" t="s">
        <v>297</v>
      </c>
      <c r="J1976" t="s">
        <v>2500</v>
      </c>
    </row>
    <row r="1977" spans="1:10" x14ac:dyDescent="0.25">
      <c r="A1977" t="s">
        <v>8068</v>
      </c>
      <c r="B1977" s="3">
        <v>46310</v>
      </c>
      <c r="C1977" t="s">
        <v>519</v>
      </c>
      <c r="D1977" t="s">
        <v>488</v>
      </c>
      <c r="E1977">
        <v>15</v>
      </c>
      <c r="F1977" t="s">
        <v>469</v>
      </c>
      <c r="G1977" t="s">
        <v>4222</v>
      </c>
      <c r="H1977" t="s">
        <v>8069</v>
      </c>
      <c r="I1977" t="s">
        <v>126</v>
      </c>
      <c r="J1977" t="s">
        <v>2500</v>
      </c>
    </row>
    <row r="1978" spans="1:10" x14ac:dyDescent="0.25">
      <c r="A1978" t="s">
        <v>8070</v>
      </c>
      <c r="B1978" s="3">
        <v>46310</v>
      </c>
      <c r="C1978" t="s">
        <v>435</v>
      </c>
      <c r="D1978" t="s">
        <v>357</v>
      </c>
      <c r="E1978">
        <v>11</v>
      </c>
      <c r="F1978" t="s">
        <v>358</v>
      </c>
      <c r="G1978" t="s">
        <v>4225</v>
      </c>
      <c r="H1978" t="s">
        <v>8071</v>
      </c>
      <c r="I1978" t="s">
        <v>183</v>
      </c>
      <c r="J1978" t="s">
        <v>2509</v>
      </c>
    </row>
    <row r="1979" spans="1:10" x14ac:dyDescent="0.25">
      <c r="A1979" t="s">
        <v>8072</v>
      </c>
      <c r="B1979" s="3">
        <v>46310</v>
      </c>
      <c r="C1979" t="s">
        <v>448</v>
      </c>
      <c r="D1979" t="s">
        <v>360</v>
      </c>
      <c r="E1979">
        <v>33</v>
      </c>
      <c r="F1979" t="s">
        <v>358</v>
      </c>
      <c r="G1979" t="s">
        <v>4231</v>
      </c>
      <c r="H1979" t="s">
        <v>8073</v>
      </c>
      <c r="I1979" t="s">
        <v>24</v>
      </c>
      <c r="J1979" t="s">
        <v>2503</v>
      </c>
    </row>
    <row r="1980" spans="1:10" x14ac:dyDescent="0.25">
      <c r="A1980" t="s">
        <v>8074</v>
      </c>
      <c r="B1980" s="3">
        <v>46310</v>
      </c>
      <c r="C1980" t="s">
        <v>249</v>
      </c>
      <c r="D1980" t="s">
        <v>216</v>
      </c>
      <c r="E1980">
        <v>25</v>
      </c>
      <c r="F1980" t="s">
        <v>2</v>
      </c>
      <c r="G1980" t="s">
        <v>4228</v>
      </c>
      <c r="H1980" t="s">
        <v>8075</v>
      </c>
      <c r="I1980" t="s">
        <v>250</v>
      </c>
      <c r="J1980" t="s">
        <v>2509</v>
      </c>
    </row>
    <row r="1981" spans="1:10" x14ac:dyDescent="0.25">
      <c r="A1981" t="s">
        <v>8076</v>
      </c>
      <c r="B1981" s="3">
        <v>46310</v>
      </c>
      <c r="C1981" t="s">
        <v>557</v>
      </c>
      <c r="D1981" t="s">
        <v>474</v>
      </c>
      <c r="E1981">
        <v>35</v>
      </c>
      <c r="F1981" t="s">
        <v>2</v>
      </c>
      <c r="G1981" t="s">
        <v>4222</v>
      </c>
      <c r="H1981" t="s">
        <v>6759</v>
      </c>
      <c r="I1981" t="s">
        <v>297</v>
      </c>
      <c r="J1981" t="s">
        <v>2509</v>
      </c>
    </row>
    <row r="1982" spans="1:10" x14ac:dyDescent="0.25">
      <c r="A1982" t="s">
        <v>8077</v>
      </c>
      <c r="B1982" s="3">
        <v>46310</v>
      </c>
      <c r="C1982" t="s">
        <v>498</v>
      </c>
      <c r="D1982" t="s">
        <v>488</v>
      </c>
      <c r="E1982">
        <v>26</v>
      </c>
      <c r="F1982" t="s">
        <v>469</v>
      </c>
      <c r="G1982" t="s">
        <v>4222</v>
      </c>
      <c r="H1982" t="s">
        <v>8078</v>
      </c>
      <c r="I1982" t="s">
        <v>52</v>
      </c>
      <c r="J1982" t="s">
        <v>2513</v>
      </c>
    </row>
    <row r="1983" spans="1:10" x14ac:dyDescent="0.25">
      <c r="A1983" t="s">
        <v>8079</v>
      </c>
      <c r="B1983" s="3">
        <v>46310</v>
      </c>
      <c r="C1983" t="s">
        <v>507</v>
      </c>
      <c r="D1983" t="s">
        <v>471</v>
      </c>
      <c r="E1983">
        <v>5</v>
      </c>
      <c r="F1983" t="s">
        <v>355</v>
      </c>
      <c r="G1983" t="s">
        <v>4225</v>
      </c>
      <c r="H1983" t="s">
        <v>8080</v>
      </c>
      <c r="I1983" t="s">
        <v>19</v>
      </c>
      <c r="J1983" t="s">
        <v>2513</v>
      </c>
    </row>
    <row r="1984" spans="1:10" x14ac:dyDescent="0.25">
      <c r="A1984" t="s">
        <v>8081</v>
      </c>
      <c r="B1984" s="3">
        <v>46311</v>
      </c>
      <c r="C1984" t="s">
        <v>485</v>
      </c>
      <c r="D1984" t="s">
        <v>474</v>
      </c>
      <c r="E1984">
        <v>12</v>
      </c>
      <c r="F1984" t="s">
        <v>2</v>
      </c>
      <c r="G1984" t="s">
        <v>4225</v>
      </c>
      <c r="H1984" t="s">
        <v>8082</v>
      </c>
      <c r="I1984" t="s">
        <v>171</v>
      </c>
      <c r="J1984" t="s">
        <v>2500</v>
      </c>
    </row>
    <row r="1985" spans="1:10" x14ac:dyDescent="0.25">
      <c r="A1985" t="s">
        <v>8083</v>
      </c>
      <c r="B1985" s="3">
        <v>46311</v>
      </c>
      <c r="C1985" t="s">
        <v>402</v>
      </c>
      <c r="D1985" t="s">
        <v>344</v>
      </c>
      <c r="E1985">
        <v>13</v>
      </c>
      <c r="F1985" t="s">
        <v>346</v>
      </c>
      <c r="G1985" t="s">
        <v>4228</v>
      </c>
      <c r="H1985" t="s">
        <v>8084</v>
      </c>
      <c r="I1985" t="s">
        <v>27</v>
      </c>
      <c r="J1985" t="s">
        <v>2503</v>
      </c>
    </row>
    <row r="1986" spans="1:10" x14ac:dyDescent="0.25">
      <c r="A1986" t="s">
        <v>8085</v>
      </c>
      <c r="B1986" s="3">
        <v>46311</v>
      </c>
      <c r="C1986" t="s">
        <v>260</v>
      </c>
      <c r="D1986" t="s">
        <v>261</v>
      </c>
      <c r="E1986">
        <v>24</v>
      </c>
      <c r="F1986" t="s">
        <v>2</v>
      </c>
      <c r="G1986" t="s">
        <v>4231</v>
      </c>
      <c r="H1986" t="s">
        <v>8086</v>
      </c>
      <c r="I1986" t="s">
        <v>45</v>
      </c>
      <c r="J1986" t="s">
        <v>2513</v>
      </c>
    </row>
    <row r="1987" spans="1:10" x14ac:dyDescent="0.25">
      <c r="A1987" t="s">
        <v>8087</v>
      </c>
      <c r="B1987" s="3">
        <v>46311</v>
      </c>
      <c r="C1987" t="s">
        <v>127</v>
      </c>
      <c r="D1987" t="s">
        <v>26</v>
      </c>
      <c r="E1987">
        <v>6</v>
      </c>
      <c r="F1987" t="s">
        <v>2</v>
      </c>
      <c r="G1987" t="s">
        <v>4222</v>
      </c>
      <c r="H1987" t="s">
        <v>7897</v>
      </c>
      <c r="I1987" t="s">
        <v>100</v>
      </c>
      <c r="J1987" t="s">
        <v>2513</v>
      </c>
    </row>
    <row r="1988" spans="1:10" x14ac:dyDescent="0.25">
      <c r="A1988" t="s">
        <v>8088</v>
      </c>
      <c r="B1988" s="3">
        <v>46311</v>
      </c>
      <c r="C1988" t="s">
        <v>96</v>
      </c>
      <c r="D1988" t="s">
        <v>26</v>
      </c>
      <c r="E1988">
        <v>9</v>
      </c>
      <c r="F1988" t="s">
        <v>2</v>
      </c>
      <c r="G1988" t="s">
        <v>4234</v>
      </c>
      <c r="H1988" t="s">
        <v>8089</v>
      </c>
      <c r="I1988" t="s">
        <v>59</v>
      </c>
      <c r="J1988" t="s">
        <v>2513</v>
      </c>
    </row>
    <row r="1989" spans="1:10" x14ac:dyDescent="0.25">
      <c r="A1989" t="s">
        <v>8090</v>
      </c>
      <c r="B1989" s="3">
        <v>46311</v>
      </c>
      <c r="C1989" t="s">
        <v>226</v>
      </c>
      <c r="D1989" t="s">
        <v>227</v>
      </c>
      <c r="E1989">
        <v>30</v>
      </c>
      <c r="F1989" t="s">
        <v>2</v>
      </c>
      <c r="G1989" t="s">
        <v>4234</v>
      </c>
      <c r="H1989" t="s">
        <v>8091</v>
      </c>
      <c r="I1989" t="s">
        <v>201</v>
      </c>
      <c r="J1989" t="s">
        <v>2500</v>
      </c>
    </row>
    <row r="1990" spans="1:10" x14ac:dyDescent="0.25">
      <c r="A1990" t="s">
        <v>8092</v>
      </c>
      <c r="B1990" s="3">
        <v>46311</v>
      </c>
      <c r="C1990" t="s">
        <v>165</v>
      </c>
      <c r="D1990" t="s">
        <v>15</v>
      </c>
      <c r="E1990">
        <v>55</v>
      </c>
      <c r="F1990" t="s">
        <v>2</v>
      </c>
      <c r="G1990" t="s">
        <v>4228</v>
      </c>
      <c r="H1990" t="s">
        <v>8093</v>
      </c>
      <c r="I1990" t="s">
        <v>166</v>
      </c>
      <c r="J1990" t="s">
        <v>2509</v>
      </c>
    </row>
    <row r="1991" spans="1:10" x14ac:dyDescent="0.25">
      <c r="A1991" t="s">
        <v>8094</v>
      </c>
      <c r="B1991" s="3">
        <v>46311</v>
      </c>
      <c r="C1991" t="s">
        <v>278</v>
      </c>
      <c r="D1991" t="s">
        <v>261</v>
      </c>
      <c r="E1991">
        <v>6</v>
      </c>
      <c r="F1991" t="s">
        <v>2</v>
      </c>
      <c r="G1991" t="s">
        <v>4234</v>
      </c>
      <c r="H1991" t="s">
        <v>8095</v>
      </c>
      <c r="I1991" t="s">
        <v>279</v>
      </c>
      <c r="J1991" t="s">
        <v>2503</v>
      </c>
    </row>
    <row r="1992" spans="1:10" x14ac:dyDescent="0.25">
      <c r="A1992" t="s">
        <v>8096</v>
      </c>
      <c r="B1992" s="3">
        <v>46311</v>
      </c>
      <c r="C1992" t="s">
        <v>606</v>
      </c>
      <c r="D1992" t="s">
        <v>602</v>
      </c>
      <c r="E1992">
        <v>17</v>
      </c>
      <c r="F1992" t="s">
        <v>2</v>
      </c>
      <c r="G1992" t="s">
        <v>4228</v>
      </c>
      <c r="H1992" t="s">
        <v>8097</v>
      </c>
      <c r="I1992" t="s">
        <v>314</v>
      </c>
      <c r="J1992" t="s">
        <v>2513</v>
      </c>
    </row>
    <row r="1993" spans="1:10" x14ac:dyDescent="0.25">
      <c r="A1993" t="s">
        <v>8098</v>
      </c>
      <c r="B1993" s="3">
        <v>46311</v>
      </c>
      <c r="C1993" t="s">
        <v>637</v>
      </c>
      <c r="D1993" t="s">
        <v>629</v>
      </c>
      <c r="E1993">
        <v>10</v>
      </c>
      <c r="F1993" t="s">
        <v>355</v>
      </c>
      <c r="G1993" t="s">
        <v>4222</v>
      </c>
      <c r="H1993" t="s">
        <v>8099</v>
      </c>
      <c r="I1993" t="s">
        <v>19</v>
      </c>
      <c r="J1993" t="s">
        <v>2500</v>
      </c>
    </row>
    <row r="1994" spans="1:10" x14ac:dyDescent="0.25">
      <c r="A1994" t="s">
        <v>8100</v>
      </c>
      <c r="B1994" s="3">
        <v>46311</v>
      </c>
      <c r="C1994" t="s">
        <v>311</v>
      </c>
      <c r="D1994" t="s">
        <v>227</v>
      </c>
      <c r="E1994">
        <v>12</v>
      </c>
      <c r="F1994" t="s">
        <v>2</v>
      </c>
      <c r="G1994" t="s">
        <v>4228</v>
      </c>
      <c r="H1994" t="s">
        <v>8101</v>
      </c>
      <c r="I1994" t="s">
        <v>312</v>
      </c>
      <c r="J1994" t="s">
        <v>2500</v>
      </c>
    </row>
    <row r="1995" spans="1:10" x14ac:dyDescent="0.25">
      <c r="A1995" t="s">
        <v>8102</v>
      </c>
      <c r="B1995" s="3">
        <v>46311</v>
      </c>
      <c r="C1995" t="s">
        <v>670</v>
      </c>
      <c r="D1995" t="s">
        <v>599</v>
      </c>
      <c r="E1995">
        <v>51</v>
      </c>
      <c r="F1995" t="s">
        <v>2</v>
      </c>
      <c r="G1995" t="s">
        <v>4231</v>
      </c>
      <c r="H1995" t="s">
        <v>8103</v>
      </c>
      <c r="I1995" t="s">
        <v>93</v>
      </c>
      <c r="J1995" t="s">
        <v>2513</v>
      </c>
    </row>
    <row r="1996" spans="1:10" x14ac:dyDescent="0.25">
      <c r="A1996" t="s">
        <v>8104</v>
      </c>
      <c r="B1996" s="3">
        <v>46311</v>
      </c>
      <c r="C1996" t="s">
        <v>96</v>
      </c>
      <c r="D1996" t="s">
        <v>26</v>
      </c>
      <c r="E1996">
        <v>45</v>
      </c>
      <c r="F1996" t="s">
        <v>2</v>
      </c>
      <c r="G1996" t="s">
        <v>4225</v>
      </c>
      <c r="H1996" t="s">
        <v>8105</v>
      </c>
      <c r="I1996" t="s">
        <v>59</v>
      </c>
      <c r="J1996" t="s">
        <v>2500</v>
      </c>
    </row>
    <row r="1997" spans="1:10" x14ac:dyDescent="0.25">
      <c r="A1997" t="s">
        <v>8106</v>
      </c>
      <c r="B1997" s="3">
        <v>46311</v>
      </c>
      <c r="C1997" t="s">
        <v>676</v>
      </c>
      <c r="D1997" t="s">
        <v>612</v>
      </c>
      <c r="E1997">
        <v>11</v>
      </c>
      <c r="F1997" t="s">
        <v>2</v>
      </c>
      <c r="G1997" t="s">
        <v>4231</v>
      </c>
      <c r="H1997" t="s">
        <v>8107</v>
      </c>
      <c r="I1997" t="s">
        <v>677</v>
      </c>
      <c r="J1997" t="s">
        <v>2509</v>
      </c>
    </row>
    <row r="1998" spans="1:10" x14ac:dyDescent="0.25">
      <c r="A1998" t="s">
        <v>8108</v>
      </c>
      <c r="B1998" s="3">
        <v>46311</v>
      </c>
      <c r="C1998" t="s">
        <v>618</v>
      </c>
      <c r="D1998" t="s">
        <v>587</v>
      </c>
      <c r="E1998">
        <v>55</v>
      </c>
      <c r="F1998" t="s">
        <v>2</v>
      </c>
      <c r="G1998" t="s">
        <v>4228</v>
      </c>
      <c r="H1998" t="s">
        <v>7927</v>
      </c>
      <c r="I1998" t="s">
        <v>79</v>
      </c>
      <c r="J1998" t="s">
        <v>2509</v>
      </c>
    </row>
    <row r="1999" spans="1:10" x14ac:dyDescent="0.25">
      <c r="A1999" t="s">
        <v>8109</v>
      </c>
      <c r="B1999" s="3">
        <v>46311</v>
      </c>
      <c r="C1999" t="s">
        <v>290</v>
      </c>
      <c r="D1999" t="s">
        <v>210</v>
      </c>
      <c r="E1999">
        <v>17</v>
      </c>
      <c r="F1999" t="s">
        <v>2</v>
      </c>
      <c r="G1999" t="s">
        <v>4222</v>
      </c>
      <c r="H1999" t="s">
        <v>8110</v>
      </c>
      <c r="I1999" t="s">
        <v>124</v>
      </c>
      <c r="J1999" t="s">
        <v>2500</v>
      </c>
    </row>
    <row r="2000" spans="1:10" x14ac:dyDescent="0.25">
      <c r="A2000" t="s">
        <v>8111</v>
      </c>
      <c r="B2000" s="3">
        <v>46311</v>
      </c>
      <c r="C2000" t="s">
        <v>439</v>
      </c>
      <c r="D2000" t="s">
        <v>378</v>
      </c>
      <c r="E2000">
        <v>3</v>
      </c>
      <c r="F2000" t="s">
        <v>2</v>
      </c>
      <c r="G2000" t="s">
        <v>4231</v>
      </c>
      <c r="H2000" t="s">
        <v>8112</v>
      </c>
      <c r="I2000" t="s">
        <v>440</v>
      </c>
      <c r="J2000" t="s">
        <v>2503</v>
      </c>
    </row>
    <row r="2001" spans="1:10" x14ac:dyDescent="0.25">
      <c r="A2001" t="s">
        <v>8113</v>
      </c>
      <c r="B2001" s="3">
        <v>46311</v>
      </c>
      <c r="C2001" t="s">
        <v>533</v>
      </c>
      <c r="D2001" t="s">
        <v>474</v>
      </c>
      <c r="E2001">
        <v>30</v>
      </c>
      <c r="F2001" t="s">
        <v>2</v>
      </c>
      <c r="G2001" t="s">
        <v>4234</v>
      </c>
      <c r="H2001" t="s">
        <v>8114</v>
      </c>
      <c r="I2001" t="s">
        <v>59</v>
      </c>
      <c r="J2001" t="s">
        <v>2503</v>
      </c>
    </row>
    <row r="2002" spans="1:10" x14ac:dyDescent="0.25">
      <c r="A2002" t="s">
        <v>8115</v>
      </c>
      <c r="B2002" s="3">
        <v>46311</v>
      </c>
      <c r="C2002" t="s">
        <v>681</v>
      </c>
      <c r="D2002" t="s">
        <v>589</v>
      </c>
      <c r="E2002">
        <v>17</v>
      </c>
      <c r="F2002" t="s">
        <v>469</v>
      </c>
      <c r="G2002" t="s">
        <v>4228</v>
      </c>
      <c r="H2002" t="s">
        <v>8116</v>
      </c>
      <c r="I2002" t="s">
        <v>259</v>
      </c>
      <c r="J2002" t="s">
        <v>2503</v>
      </c>
    </row>
    <row r="2003" spans="1:10" x14ac:dyDescent="0.25">
      <c r="A2003" t="s">
        <v>8117</v>
      </c>
      <c r="B2003" s="3">
        <v>46311</v>
      </c>
      <c r="C2003" t="s">
        <v>606</v>
      </c>
      <c r="D2003" t="s">
        <v>602</v>
      </c>
      <c r="E2003">
        <v>36</v>
      </c>
      <c r="F2003" t="s">
        <v>2</v>
      </c>
      <c r="G2003" t="s">
        <v>4231</v>
      </c>
      <c r="H2003" t="s">
        <v>8118</v>
      </c>
      <c r="I2003" t="s">
        <v>314</v>
      </c>
      <c r="J2003" t="s">
        <v>2503</v>
      </c>
    </row>
    <row r="2004" spans="1:10" x14ac:dyDescent="0.25">
      <c r="A2004" t="s">
        <v>8119</v>
      </c>
      <c r="B2004" s="3">
        <v>46311</v>
      </c>
      <c r="C2004" t="s">
        <v>236</v>
      </c>
      <c r="D2004" t="s">
        <v>223</v>
      </c>
      <c r="E2004">
        <v>49</v>
      </c>
      <c r="F2004" t="s">
        <v>2</v>
      </c>
      <c r="G2004" t="s">
        <v>4231</v>
      </c>
      <c r="H2004" t="s">
        <v>8120</v>
      </c>
      <c r="I2004" t="s">
        <v>34</v>
      </c>
      <c r="J2004" t="s">
        <v>2513</v>
      </c>
    </row>
    <row r="2005" spans="1:10" x14ac:dyDescent="0.25">
      <c r="A2005" t="s">
        <v>8121</v>
      </c>
      <c r="B2005" s="3">
        <v>46311</v>
      </c>
      <c r="C2005" t="s">
        <v>532</v>
      </c>
      <c r="D2005" t="s">
        <v>488</v>
      </c>
      <c r="E2005">
        <v>32</v>
      </c>
      <c r="F2005" t="s">
        <v>469</v>
      </c>
      <c r="G2005" t="s">
        <v>4234</v>
      </c>
      <c r="H2005" t="s">
        <v>8122</v>
      </c>
      <c r="I2005" t="s">
        <v>106</v>
      </c>
      <c r="J2005" t="s">
        <v>2509</v>
      </c>
    </row>
    <row r="2006" spans="1:10" x14ac:dyDescent="0.25">
      <c r="A2006" t="s">
        <v>8123</v>
      </c>
      <c r="B2006" s="3">
        <v>46311</v>
      </c>
      <c r="C2006" t="s">
        <v>387</v>
      </c>
      <c r="D2006" t="s">
        <v>378</v>
      </c>
      <c r="E2006">
        <v>20</v>
      </c>
      <c r="F2006" t="s">
        <v>2</v>
      </c>
      <c r="G2006" t="s">
        <v>4228</v>
      </c>
      <c r="H2006" t="s">
        <v>8124</v>
      </c>
      <c r="I2006" t="s">
        <v>171</v>
      </c>
      <c r="J2006" t="s">
        <v>2513</v>
      </c>
    </row>
    <row r="2007" spans="1:10" x14ac:dyDescent="0.25">
      <c r="A2007" t="s">
        <v>8125</v>
      </c>
      <c r="B2007" s="3">
        <v>46311</v>
      </c>
      <c r="C2007" t="s">
        <v>280</v>
      </c>
      <c r="D2007" t="s">
        <v>210</v>
      </c>
      <c r="E2007">
        <v>51</v>
      </c>
      <c r="F2007" t="s">
        <v>2</v>
      </c>
      <c r="G2007" t="s">
        <v>4222</v>
      </c>
      <c r="H2007" t="s">
        <v>8126</v>
      </c>
      <c r="I2007" t="s">
        <v>126</v>
      </c>
      <c r="J2007" t="s">
        <v>2509</v>
      </c>
    </row>
    <row r="2008" spans="1:10" x14ac:dyDescent="0.25">
      <c r="A2008" t="s">
        <v>8127</v>
      </c>
      <c r="B2008" s="3">
        <v>46311</v>
      </c>
      <c r="C2008" t="s">
        <v>169</v>
      </c>
      <c r="D2008" t="s">
        <v>54</v>
      </c>
      <c r="E2008">
        <v>22</v>
      </c>
      <c r="F2008" t="s">
        <v>2</v>
      </c>
      <c r="G2008" t="s">
        <v>4231</v>
      </c>
      <c r="H2008" t="s">
        <v>8128</v>
      </c>
      <c r="I2008" t="s">
        <v>119</v>
      </c>
      <c r="J2008" t="s">
        <v>2509</v>
      </c>
    </row>
    <row r="2009" spans="1:10" x14ac:dyDescent="0.25">
      <c r="A2009" t="s">
        <v>8129</v>
      </c>
      <c r="B2009" s="3">
        <v>46311</v>
      </c>
      <c r="C2009" t="s">
        <v>526</v>
      </c>
      <c r="D2009" t="s">
        <v>476</v>
      </c>
      <c r="E2009">
        <v>17</v>
      </c>
      <c r="F2009" t="s">
        <v>477</v>
      </c>
      <c r="G2009" t="s">
        <v>4228</v>
      </c>
      <c r="H2009" t="s">
        <v>8130</v>
      </c>
      <c r="I2009" t="s">
        <v>75</v>
      </c>
      <c r="J2009" t="s">
        <v>2513</v>
      </c>
    </row>
    <row r="2010" spans="1:10" x14ac:dyDescent="0.25">
      <c r="A2010" t="s">
        <v>8131</v>
      </c>
      <c r="B2010" s="3">
        <v>46311</v>
      </c>
      <c r="C2010" t="s">
        <v>399</v>
      </c>
      <c r="D2010" t="s">
        <v>360</v>
      </c>
      <c r="E2010">
        <v>30</v>
      </c>
      <c r="F2010" t="s">
        <v>358</v>
      </c>
      <c r="G2010" t="s">
        <v>4228</v>
      </c>
      <c r="H2010" t="s">
        <v>8132</v>
      </c>
      <c r="I2010" t="s">
        <v>164</v>
      </c>
      <c r="J2010" t="s">
        <v>2509</v>
      </c>
    </row>
    <row r="2011" spans="1:10" x14ac:dyDescent="0.25">
      <c r="A2011" t="s">
        <v>8133</v>
      </c>
      <c r="B2011" s="3">
        <v>46311</v>
      </c>
      <c r="C2011" t="s">
        <v>391</v>
      </c>
      <c r="D2011" t="s">
        <v>357</v>
      </c>
      <c r="E2011">
        <v>52</v>
      </c>
      <c r="F2011" t="s">
        <v>358</v>
      </c>
      <c r="G2011" t="s">
        <v>4222</v>
      </c>
      <c r="H2011" t="s">
        <v>8134</v>
      </c>
      <c r="I2011" t="s">
        <v>221</v>
      </c>
      <c r="J2011" t="s">
        <v>2503</v>
      </c>
    </row>
    <row r="2012" spans="1:10" x14ac:dyDescent="0.25">
      <c r="A2012" t="s">
        <v>8135</v>
      </c>
      <c r="B2012" s="3">
        <v>46311</v>
      </c>
      <c r="C2012" t="s">
        <v>127</v>
      </c>
      <c r="D2012" t="s">
        <v>26</v>
      </c>
      <c r="E2012">
        <v>11</v>
      </c>
      <c r="F2012" t="s">
        <v>2</v>
      </c>
      <c r="G2012" t="s">
        <v>4222</v>
      </c>
      <c r="H2012" t="s">
        <v>6841</v>
      </c>
      <c r="I2012" t="s">
        <v>100</v>
      </c>
      <c r="J2012" t="s">
        <v>2503</v>
      </c>
    </row>
    <row r="2013" spans="1:10" x14ac:dyDescent="0.25">
      <c r="A2013" t="s">
        <v>8136</v>
      </c>
      <c r="B2013" s="3">
        <v>46311</v>
      </c>
      <c r="C2013" t="s">
        <v>483</v>
      </c>
      <c r="D2013" t="s">
        <v>484</v>
      </c>
      <c r="E2013">
        <v>5</v>
      </c>
      <c r="F2013" t="s">
        <v>469</v>
      </c>
      <c r="G2013" t="s">
        <v>4222</v>
      </c>
      <c r="H2013" t="s">
        <v>8137</v>
      </c>
      <c r="I2013" t="s">
        <v>368</v>
      </c>
      <c r="J2013" t="s">
        <v>2503</v>
      </c>
    </row>
    <row r="2014" spans="1:10" x14ac:dyDescent="0.25">
      <c r="A2014" t="s">
        <v>8138</v>
      </c>
      <c r="B2014" s="3">
        <v>46311</v>
      </c>
      <c r="C2014" t="s">
        <v>641</v>
      </c>
      <c r="D2014" t="s">
        <v>589</v>
      </c>
      <c r="E2014">
        <v>45</v>
      </c>
      <c r="F2014" t="s">
        <v>469</v>
      </c>
      <c r="G2014" t="s">
        <v>4225</v>
      </c>
      <c r="H2014" t="s">
        <v>8139</v>
      </c>
      <c r="I2014" t="s">
        <v>124</v>
      </c>
      <c r="J2014" t="s">
        <v>2513</v>
      </c>
    </row>
    <row r="2015" spans="1:10" x14ac:dyDescent="0.25">
      <c r="A2015" t="s">
        <v>8140</v>
      </c>
      <c r="B2015" s="3">
        <v>46311</v>
      </c>
      <c r="C2015" t="s">
        <v>505</v>
      </c>
      <c r="D2015" t="s">
        <v>479</v>
      </c>
      <c r="E2015">
        <v>4</v>
      </c>
      <c r="F2015" t="s">
        <v>469</v>
      </c>
      <c r="G2015" t="s">
        <v>4228</v>
      </c>
      <c r="H2015" t="s">
        <v>8141</v>
      </c>
      <c r="I2015" t="s">
        <v>69</v>
      </c>
      <c r="J2015" t="s">
        <v>2503</v>
      </c>
    </row>
    <row r="2016" spans="1:10" x14ac:dyDescent="0.25">
      <c r="A2016" t="s">
        <v>8142</v>
      </c>
      <c r="B2016" s="3">
        <v>46311</v>
      </c>
      <c r="C2016" t="s">
        <v>634</v>
      </c>
      <c r="D2016" t="s">
        <v>597</v>
      </c>
      <c r="E2016">
        <v>31</v>
      </c>
      <c r="F2016" t="s">
        <v>355</v>
      </c>
      <c r="G2016" t="s">
        <v>4231</v>
      </c>
      <c r="H2016" t="s">
        <v>8143</v>
      </c>
      <c r="I2016" t="s">
        <v>265</v>
      </c>
      <c r="J2016" t="s">
        <v>2509</v>
      </c>
    </row>
    <row r="2017" spans="1:10" x14ac:dyDescent="0.25">
      <c r="A2017" t="s">
        <v>8144</v>
      </c>
      <c r="B2017" s="3">
        <v>46311</v>
      </c>
      <c r="C2017" t="s">
        <v>543</v>
      </c>
      <c r="D2017" t="s">
        <v>484</v>
      </c>
      <c r="E2017">
        <v>10</v>
      </c>
      <c r="F2017" t="s">
        <v>469</v>
      </c>
      <c r="G2017" t="s">
        <v>4231</v>
      </c>
      <c r="H2017" t="s">
        <v>8145</v>
      </c>
      <c r="I2017" t="s">
        <v>77</v>
      </c>
      <c r="J2017" t="s">
        <v>2509</v>
      </c>
    </row>
    <row r="2018" spans="1:10" x14ac:dyDescent="0.25">
      <c r="A2018" t="s">
        <v>8146</v>
      </c>
      <c r="B2018" s="3">
        <v>46311</v>
      </c>
      <c r="C2018" t="s">
        <v>588</v>
      </c>
      <c r="D2018" t="s">
        <v>589</v>
      </c>
      <c r="E2018">
        <v>47</v>
      </c>
      <c r="F2018" t="s">
        <v>469</v>
      </c>
      <c r="G2018" t="s">
        <v>4234</v>
      </c>
      <c r="H2018" t="s">
        <v>8147</v>
      </c>
      <c r="I2018" t="s">
        <v>19</v>
      </c>
      <c r="J2018" t="s">
        <v>2500</v>
      </c>
    </row>
    <row r="2019" spans="1:10" x14ac:dyDescent="0.25">
      <c r="A2019" t="s">
        <v>8148</v>
      </c>
      <c r="B2019" s="3">
        <v>46311</v>
      </c>
      <c r="C2019" t="s">
        <v>536</v>
      </c>
      <c r="D2019" t="s">
        <v>481</v>
      </c>
      <c r="E2019">
        <v>17</v>
      </c>
      <c r="F2019" t="s">
        <v>2</v>
      </c>
      <c r="G2019" t="s">
        <v>4228</v>
      </c>
      <c r="H2019" t="s">
        <v>8149</v>
      </c>
      <c r="I2019" t="s">
        <v>221</v>
      </c>
      <c r="J2019" t="s">
        <v>2500</v>
      </c>
    </row>
    <row r="2020" spans="1:10" x14ac:dyDescent="0.25">
      <c r="A2020" t="s">
        <v>8150</v>
      </c>
      <c r="B2020" s="3">
        <v>46311</v>
      </c>
      <c r="C2020" t="s">
        <v>504</v>
      </c>
      <c r="D2020" t="s">
        <v>474</v>
      </c>
      <c r="E2020">
        <v>37</v>
      </c>
      <c r="F2020" t="s">
        <v>2</v>
      </c>
      <c r="G2020" t="s">
        <v>4228</v>
      </c>
      <c r="H2020" t="s">
        <v>8151</v>
      </c>
      <c r="I2020" t="s">
        <v>274</v>
      </c>
      <c r="J2020" t="s">
        <v>2513</v>
      </c>
    </row>
    <row r="2021" spans="1:10" x14ac:dyDescent="0.25">
      <c r="A2021" t="s">
        <v>8152</v>
      </c>
      <c r="B2021" s="3">
        <v>46311</v>
      </c>
      <c r="C2021" t="s">
        <v>97</v>
      </c>
      <c r="D2021" t="s">
        <v>1</v>
      </c>
      <c r="E2021">
        <v>29</v>
      </c>
      <c r="F2021" t="s">
        <v>2</v>
      </c>
      <c r="G2021" t="s">
        <v>4234</v>
      </c>
      <c r="H2021" t="s">
        <v>8153</v>
      </c>
      <c r="I2021" t="s">
        <v>98</v>
      </c>
      <c r="J2021" t="s">
        <v>2509</v>
      </c>
    </row>
    <row r="2022" spans="1:10" x14ac:dyDescent="0.25">
      <c r="A2022" t="s">
        <v>8154</v>
      </c>
      <c r="B2022" s="3">
        <v>46311</v>
      </c>
      <c r="C2022" t="s">
        <v>309</v>
      </c>
      <c r="D2022" t="s">
        <v>225</v>
      </c>
      <c r="E2022">
        <v>38</v>
      </c>
      <c r="F2022" t="s">
        <v>2</v>
      </c>
      <c r="G2022" t="s">
        <v>4228</v>
      </c>
      <c r="H2022" t="s">
        <v>8155</v>
      </c>
      <c r="I2022" t="s">
        <v>310</v>
      </c>
      <c r="J2022" t="s">
        <v>2509</v>
      </c>
    </row>
    <row r="2023" spans="1:10" x14ac:dyDescent="0.25">
      <c r="A2023" t="s">
        <v>8156</v>
      </c>
      <c r="B2023" s="3">
        <v>46311</v>
      </c>
      <c r="C2023" t="s">
        <v>558</v>
      </c>
      <c r="D2023" t="s">
        <v>471</v>
      </c>
      <c r="E2023">
        <v>40</v>
      </c>
      <c r="F2023" t="s">
        <v>355</v>
      </c>
      <c r="G2023" t="s">
        <v>4222</v>
      </c>
      <c r="H2023" t="s">
        <v>8157</v>
      </c>
      <c r="I2023" t="s">
        <v>246</v>
      </c>
      <c r="J2023" t="s">
        <v>2500</v>
      </c>
    </row>
    <row r="2024" spans="1:10" x14ac:dyDescent="0.25">
      <c r="A2024" t="s">
        <v>8158</v>
      </c>
      <c r="B2024" s="3">
        <v>46311</v>
      </c>
      <c r="C2024" t="s">
        <v>168</v>
      </c>
      <c r="D2024" t="s">
        <v>1</v>
      </c>
      <c r="E2024">
        <v>5</v>
      </c>
      <c r="F2024" t="s">
        <v>2</v>
      </c>
      <c r="G2024" t="s">
        <v>4231</v>
      </c>
      <c r="H2024" t="s">
        <v>8159</v>
      </c>
      <c r="I2024" t="s">
        <v>124</v>
      </c>
      <c r="J2024" t="s">
        <v>2513</v>
      </c>
    </row>
    <row r="2025" spans="1:10" x14ac:dyDescent="0.25">
      <c r="A2025" t="s">
        <v>8160</v>
      </c>
      <c r="B2025" s="3">
        <v>46311</v>
      </c>
      <c r="C2025" t="s">
        <v>431</v>
      </c>
      <c r="D2025" t="s">
        <v>354</v>
      </c>
      <c r="E2025">
        <v>54</v>
      </c>
      <c r="F2025" t="s">
        <v>355</v>
      </c>
      <c r="G2025" t="s">
        <v>4225</v>
      </c>
      <c r="H2025" t="s">
        <v>8161</v>
      </c>
      <c r="I2025" t="s">
        <v>87</v>
      </c>
      <c r="J2025" t="s">
        <v>2503</v>
      </c>
    </row>
    <row r="2026" spans="1:10" x14ac:dyDescent="0.25">
      <c r="A2026" t="s">
        <v>8162</v>
      </c>
      <c r="B2026" s="3">
        <v>46311</v>
      </c>
      <c r="C2026" t="s">
        <v>302</v>
      </c>
      <c r="D2026" t="s">
        <v>261</v>
      </c>
      <c r="E2026">
        <v>49</v>
      </c>
      <c r="F2026" t="s">
        <v>2</v>
      </c>
      <c r="G2026" t="s">
        <v>4222</v>
      </c>
      <c r="H2026" t="s">
        <v>8163</v>
      </c>
      <c r="I2026" t="s">
        <v>133</v>
      </c>
      <c r="J2026" t="s">
        <v>2509</v>
      </c>
    </row>
    <row r="2027" spans="1:10" x14ac:dyDescent="0.25">
      <c r="A2027" t="s">
        <v>8164</v>
      </c>
      <c r="B2027" s="3">
        <v>46311</v>
      </c>
      <c r="C2027" t="s">
        <v>674</v>
      </c>
      <c r="D2027" t="s">
        <v>587</v>
      </c>
      <c r="E2027">
        <v>16</v>
      </c>
      <c r="F2027" t="s">
        <v>2</v>
      </c>
      <c r="G2027" t="s">
        <v>4222</v>
      </c>
      <c r="H2027" t="s">
        <v>8165</v>
      </c>
      <c r="I2027" t="s">
        <v>75</v>
      </c>
      <c r="J2027" t="s">
        <v>2503</v>
      </c>
    </row>
    <row r="2028" spans="1:10" x14ac:dyDescent="0.25">
      <c r="A2028" t="s">
        <v>8166</v>
      </c>
      <c r="B2028" s="3">
        <v>46311</v>
      </c>
      <c r="C2028" t="s">
        <v>550</v>
      </c>
      <c r="D2028" t="s">
        <v>481</v>
      </c>
      <c r="E2028">
        <v>46</v>
      </c>
      <c r="F2028" t="s">
        <v>2</v>
      </c>
      <c r="G2028" t="s">
        <v>4234</v>
      </c>
      <c r="H2028" t="s">
        <v>8167</v>
      </c>
      <c r="I2028" t="s">
        <v>59</v>
      </c>
      <c r="J2028" t="s">
        <v>2500</v>
      </c>
    </row>
    <row r="2029" spans="1:10" x14ac:dyDescent="0.25">
      <c r="A2029" t="s">
        <v>8168</v>
      </c>
      <c r="B2029" s="3">
        <v>46311</v>
      </c>
      <c r="C2029" t="s">
        <v>580</v>
      </c>
      <c r="D2029" t="s">
        <v>490</v>
      </c>
      <c r="E2029">
        <v>22</v>
      </c>
      <c r="F2029" t="s">
        <v>355</v>
      </c>
      <c r="G2029" t="s">
        <v>4228</v>
      </c>
      <c r="H2029" t="s">
        <v>8169</v>
      </c>
      <c r="I2029" t="s">
        <v>69</v>
      </c>
      <c r="J2029" t="s">
        <v>2500</v>
      </c>
    </row>
    <row r="2030" spans="1:10" x14ac:dyDescent="0.25">
      <c r="A2030" t="s">
        <v>8170</v>
      </c>
      <c r="B2030" s="3">
        <v>46311</v>
      </c>
      <c r="C2030" t="s">
        <v>263</v>
      </c>
      <c r="D2030" t="s">
        <v>213</v>
      </c>
      <c r="E2030">
        <v>32</v>
      </c>
      <c r="F2030" t="s">
        <v>2</v>
      </c>
      <c r="G2030" t="s">
        <v>4228</v>
      </c>
      <c r="H2030" t="s">
        <v>8171</v>
      </c>
      <c r="I2030" t="s">
        <v>175</v>
      </c>
      <c r="J2030" t="s">
        <v>2509</v>
      </c>
    </row>
    <row r="2031" spans="1:10" x14ac:dyDescent="0.25">
      <c r="A2031" t="s">
        <v>8172</v>
      </c>
      <c r="B2031" s="3">
        <v>46312</v>
      </c>
      <c r="C2031" t="s">
        <v>313</v>
      </c>
      <c r="D2031" t="s">
        <v>225</v>
      </c>
      <c r="E2031">
        <v>54</v>
      </c>
      <c r="F2031" t="s">
        <v>2</v>
      </c>
      <c r="G2031" t="s">
        <v>4231</v>
      </c>
      <c r="H2031" t="s">
        <v>8173</v>
      </c>
      <c r="I2031" t="s">
        <v>314</v>
      </c>
      <c r="J2031" t="s">
        <v>2509</v>
      </c>
    </row>
    <row r="2032" spans="1:10" x14ac:dyDescent="0.25">
      <c r="A2032" t="s">
        <v>8174</v>
      </c>
      <c r="B2032" s="3">
        <v>46312</v>
      </c>
      <c r="C2032" t="s">
        <v>681</v>
      </c>
      <c r="D2032" t="s">
        <v>589</v>
      </c>
      <c r="E2032">
        <v>44</v>
      </c>
      <c r="F2032" t="s">
        <v>469</v>
      </c>
      <c r="G2032" t="s">
        <v>4228</v>
      </c>
      <c r="H2032" t="s">
        <v>8175</v>
      </c>
      <c r="I2032" t="s">
        <v>259</v>
      </c>
      <c r="J2032" t="s">
        <v>2509</v>
      </c>
    </row>
    <row r="2033" spans="1:10" x14ac:dyDescent="0.25">
      <c r="A2033" t="s">
        <v>8176</v>
      </c>
      <c r="B2033" s="3">
        <v>46312</v>
      </c>
      <c r="C2033" t="s">
        <v>640</v>
      </c>
      <c r="D2033" t="s">
        <v>629</v>
      </c>
      <c r="E2033">
        <v>16</v>
      </c>
      <c r="F2033" t="s">
        <v>355</v>
      </c>
      <c r="G2033" t="s">
        <v>4222</v>
      </c>
      <c r="H2033" t="s">
        <v>8177</v>
      </c>
      <c r="I2033" t="s">
        <v>79</v>
      </c>
      <c r="J2033" t="s">
        <v>2500</v>
      </c>
    </row>
    <row r="2034" spans="1:10" x14ac:dyDescent="0.25">
      <c r="A2034" t="s">
        <v>8178</v>
      </c>
      <c r="B2034" s="3">
        <v>46312</v>
      </c>
      <c r="C2034" t="s">
        <v>444</v>
      </c>
      <c r="D2034" t="s">
        <v>364</v>
      </c>
      <c r="E2034">
        <v>22</v>
      </c>
      <c r="F2034" t="s">
        <v>358</v>
      </c>
      <c r="G2034" t="s">
        <v>4222</v>
      </c>
      <c r="H2034" t="s">
        <v>8179</v>
      </c>
      <c r="I2034" t="s">
        <v>330</v>
      </c>
      <c r="J2034" t="s">
        <v>2509</v>
      </c>
    </row>
    <row r="2035" spans="1:10" x14ac:dyDescent="0.25">
      <c r="A2035" t="s">
        <v>8180</v>
      </c>
      <c r="B2035" s="3">
        <v>46312</v>
      </c>
      <c r="C2035" t="s">
        <v>581</v>
      </c>
      <c r="D2035" t="s">
        <v>582</v>
      </c>
      <c r="E2035">
        <v>48</v>
      </c>
      <c r="F2035" t="s">
        <v>2</v>
      </c>
      <c r="G2035" t="s">
        <v>4222</v>
      </c>
      <c r="H2035" t="s">
        <v>8181</v>
      </c>
      <c r="I2035" t="s">
        <v>512</v>
      </c>
      <c r="J2035" t="s">
        <v>2509</v>
      </c>
    </row>
    <row r="2036" spans="1:10" x14ac:dyDescent="0.25">
      <c r="A2036" t="s">
        <v>8182</v>
      </c>
      <c r="B2036" s="3">
        <v>46312</v>
      </c>
      <c r="C2036" t="s">
        <v>487</v>
      </c>
      <c r="D2036" t="s">
        <v>488</v>
      </c>
      <c r="E2036">
        <v>41</v>
      </c>
      <c r="F2036" t="s">
        <v>469</v>
      </c>
      <c r="G2036" t="s">
        <v>4222</v>
      </c>
      <c r="H2036" t="s">
        <v>8183</v>
      </c>
      <c r="I2036" t="s">
        <v>142</v>
      </c>
      <c r="J2036" t="s">
        <v>2500</v>
      </c>
    </row>
    <row r="2037" spans="1:10" x14ac:dyDescent="0.25">
      <c r="A2037" t="s">
        <v>8184</v>
      </c>
      <c r="B2037" s="3">
        <v>46312</v>
      </c>
      <c r="C2037" t="s">
        <v>199</v>
      </c>
      <c r="D2037" t="s">
        <v>163</v>
      </c>
      <c r="E2037">
        <v>43</v>
      </c>
      <c r="F2037" t="s">
        <v>2</v>
      </c>
      <c r="G2037" t="s">
        <v>4228</v>
      </c>
      <c r="H2037" t="s">
        <v>8185</v>
      </c>
      <c r="I2037" t="s">
        <v>75</v>
      </c>
      <c r="J2037" t="s">
        <v>2509</v>
      </c>
    </row>
    <row r="2038" spans="1:10" x14ac:dyDescent="0.25">
      <c r="A2038" t="s">
        <v>8186</v>
      </c>
      <c r="B2038" s="3">
        <v>46312</v>
      </c>
      <c r="C2038" t="s">
        <v>675</v>
      </c>
      <c r="D2038" t="s">
        <v>594</v>
      </c>
      <c r="E2038">
        <v>38</v>
      </c>
      <c r="F2038" t="s">
        <v>595</v>
      </c>
      <c r="G2038" t="s">
        <v>4225</v>
      </c>
      <c r="H2038" t="s">
        <v>8187</v>
      </c>
      <c r="I2038" t="s">
        <v>361</v>
      </c>
      <c r="J2038" t="s">
        <v>2509</v>
      </c>
    </row>
    <row r="2039" spans="1:10" x14ac:dyDescent="0.25">
      <c r="A2039" t="s">
        <v>8188</v>
      </c>
      <c r="B2039" s="3">
        <v>46312</v>
      </c>
      <c r="C2039" t="s">
        <v>682</v>
      </c>
      <c r="D2039" t="s">
        <v>602</v>
      </c>
      <c r="E2039">
        <v>18</v>
      </c>
      <c r="F2039" t="s">
        <v>2</v>
      </c>
      <c r="G2039" t="s">
        <v>4231</v>
      </c>
      <c r="H2039" t="s">
        <v>8189</v>
      </c>
      <c r="I2039" t="s">
        <v>287</v>
      </c>
      <c r="J2039" t="s">
        <v>2500</v>
      </c>
    </row>
    <row r="2040" spans="1:10" x14ac:dyDescent="0.25">
      <c r="A2040" t="s">
        <v>8190</v>
      </c>
      <c r="B2040" s="3">
        <v>46312</v>
      </c>
      <c r="C2040" t="s">
        <v>271</v>
      </c>
      <c r="D2040" t="s">
        <v>225</v>
      </c>
      <c r="E2040">
        <v>43</v>
      </c>
      <c r="F2040" t="s">
        <v>2</v>
      </c>
      <c r="G2040" t="s">
        <v>4222</v>
      </c>
      <c r="H2040" t="s">
        <v>8191</v>
      </c>
      <c r="I2040" t="s">
        <v>147</v>
      </c>
      <c r="J2040" t="s">
        <v>2500</v>
      </c>
    </row>
    <row r="2041" spans="1:10" x14ac:dyDescent="0.25">
      <c r="A2041" t="s">
        <v>8192</v>
      </c>
      <c r="B2041" s="3">
        <v>46312</v>
      </c>
      <c r="C2041" t="s">
        <v>616</v>
      </c>
      <c r="D2041" t="s">
        <v>589</v>
      </c>
      <c r="E2041">
        <v>50</v>
      </c>
      <c r="F2041" t="s">
        <v>469</v>
      </c>
      <c r="G2041" t="s">
        <v>4222</v>
      </c>
      <c r="H2041" t="s">
        <v>8193</v>
      </c>
      <c r="I2041" t="s">
        <v>110</v>
      </c>
      <c r="J2041" t="s">
        <v>2509</v>
      </c>
    </row>
    <row r="2042" spans="1:10" x14ac:dyDescent="0.25">
      <c r="A2042" t="s">
        <v>8194</v>
      </c>
      <c r="B2042" s="3">
        <v>46312</v>
      </c>
      <c r="C2042" t="s">
        <v>135</v>
      </c>
      <c r="D2042" t="s">
        <v>44</v>
      </c>
      <c r="E2042">
        <v>14</v>
      </c>
      <c r="F2042" t="s">
        <v>2</v>
      </c>
      <c r="G2042" t="s">
        <v>4228</v>
      </c>
      <c r="H2042" t="s">
        <v>8195</v>
      </c>
      <c r="I2042" t="s">
        <v>73</v>
      </c>
      <c r="J2042" t="s">
        <v>2503</v>
      </c>
    </row>
    <row r="2043" spans="1:10" x14ac:dyDescent="0.25">
      <c r="A2043" t="s">
        <v>8196</v>
      </c>
      <c r="B2043" s="3">
        <v>46312</v>
      </c>
      <c r="C2043" t="s">
        <v>465</v>
      </c>
      <c r="D2043" t="s">
        <v>357</v>
      </c>
      <c r="E2043">
        <v>20</v>
      </c>
      <c r="F2043" t="s">
        <v>358</v>
      </c>
      <c r="G2043" t="s">
        <v>4228</v>
      </c>
      <c r="H2043" t="s">
        <v>8197</v>
      </c>
      <c r="I2043" t="s">
        <v>221</v>
      </c>
      <c r="J2043" t="s">
        <v>2503</v>
      </c>
    </row>
    <row r="2044" spans="1:10" x14ac:dyDescent="0.25">
      <c r="A2044" t="s">
        <v>8198</v>
      </c>
      <c r="B2044" s="3">
        <v>46312</v>
      </c>
      <c r="C2044" t="s">
        <v>290</v>
      </c>
      <c r="D2044" t="s">
        <v>210</v>
      </c>
      <c r="E2044">
        <v>27</v>
      </c>
      <c r="F2044" t="s">
        <v>2</v>
      </c>
      <c r="G2044" t="s">
        <v>4225</v>
      </c>
      <c r="H2044" t="s">
        <v>8199</v>
      </c>
      <c r="I2044" t="s">
        <v>124</v>
      </c>
      <c r="J2044" t="s">
        <v>2513</v>
      </c>
    </row>
    <row r="2045" spans="1:10" x14ac:dyDescent="0.25">
      <c r="A2045" t="s">
        <v>8200</v>
      </c>
      <c r="B2045" s="3">
        <v>46312</v>
      </c>
      <c r="C2045" t="s">
        <v>420</v>
      </c>
      <c r="D2045" t="s">
        <v>344</v>
      </c>
      <c r="E2045">
        <v>46</v>
      </c>
      <c r="F2045" t="s">
        <v>346</v>
      </c>
      <c r="G2045" t="s">
        <v>4225</v>
      </c>
      <c r="H2045" t="s">
        <v>8201</v>
      </c>
      <c r="I2045" t="s">
        <v>38</v>
      </c>
      <c r="J2045" t="s">
        <v>2500</v>
      </c>
    </row>
    <row r="2046" spans="1:10" x14ac:dyDescent="0.25">
      <c r="A2046" t="s">
        <v>8202</v>
      </c>
      <c r="B2046" s="3">
        <v>46312</v>
      </c>
      <c r="C2046" t="s">
        <v>665</v>
      </c>
      <c r="D2046" t="s">
        <v>589</v>
      </c>
      <c r="E2046">
        <v>40</v>
      </c>
      <c r="F2046" t="s">
        <v>469</v>
      </c>
      <c r="G2046" t="s">
        <v>4231</v>
      </c>
      <c r="H2046" t="s">
        <v>8203</v>
      </c>
      <c r="I2046" t="s">
        <v>274</v>
      </c>
      <c r="J2046" t="s">
        <v>2500</v>
      </c>
    </row>
    <row r="2047" spans="1:10" x14ac:dyDescent="0.25">
      <c r="A2047" t="s">
        <v>8204</v>
      </c>
      <c r="B2047" s="3">
        <v>46312</v>
      </c>
      <c r="C2047" t="s">
        <v>441</v>
      </c>
      <c r="D2047" t="s">
        <v>366</v>
      </c>
      <c r="E2047">
        <v>22</v>
      </c>
      <c r="F2047" t="s">
        <v>2</v>
      </c>
      <c r="G2047" t="s">
        <v>4228</v>
      </c>
      <c r="H2047" t="s">
        <v>8205</v>
      </c>
      <c r="I2047" t="s">
        <v>314</v>
      </c>
      <c r="J2047" t="s">
        <v>2500</v>
      </c>
    </row>
    <row r="2048" spans="1:10" x14ac:dyDescent="0.25">
      <c r="A2048" t="s">
        <v>8206</v>
      </c>
      <c r="B2048" s="3">
        <v>46312</v>
      </c>
      <c r="C2048" t="s">
        <v>554</v>
      </c>
      <c r="D2048" t="s">
        <v>502</v>
      </c>
      <c r="E2048">
        <v>41</v>
      </c>
      <c r="F2048" t="s">
        <v>469</v>
      </c>
      <c r="G2048" t="s">
        <v>4228</v>
      </c>
      <c r="H2048" t="s">
        <v>8207</v>
      </c>
      <c r="I2048" t="s">
        <v>265</v>
      </c>
      <c r="J2048" t="s">
        <v>2513</v>
      </c>
    </row>
    <row r="2049" spans="1:10" x14ac:dyDescent="0.25">
      <c r="A2049" t="s">
        <v>8208</v>
      </c>
      <c r="B2049" s="3">
        <v>46312</v>
      </c>
      <c r="C2049" t="s">
        <v>263</v>
      </c>
      <c r="D2049" t="s">
        <v>213</v>
      </c>
      <c r="E2049">
        <v>19</v>
      </c>
      <c r="F2049" t="s">
        <v>2</v>
      </c>
      <c r="G2049" t="s">
        <v>4231</v>
      </c>
      <c r="H2049" t="s">
        <v>8209</v>
      </c>
      <c r="I2049" t="s">
        <v>175</v>
      </c>
      <c r="J2049" t="s">
        <v>2509</v>
      </c>
    </row>
    <row r="2050" spans="1:10" x14ac:dyDescent="0.25">
      <c r="A2050" t="s">
        <v>8210</v>
      </c>
      <c r="B2050" s="3">
        <v>46312</v>
      </c>
      <c r="C2050" t="s">
        <v>436</v>
      </c>
      <c r="D2050" t="s">
        <v>366</v>
      </c>
      <c r="E2050">
        <v>37</v>
      </c>
      <c r="F2050" t="s">
        <v>2</v>
      </c>
      <c r="G2050" t="s">
        <v>4231</v>
      </c>
      <c r="H2050" t="s">
        <v>8211</v>
      </c>
      <c r="I2050" t="s">
        <v>19</v>
      </c>
      <c r="J2050" t="s">
        <v>2513</v>
      </c>
    </row>
    <row r="2051" spans="1:10" x14ac:dyDescent="0.25">
      <c r="A2051" t="s">
        <v>8212</v>
      </c>
      <c r="B2051" s="3">
        <v>46312</v>
      </c>
      <c r="C2051" t="s">
        <v>662</v>
      </c>
      <c r="D2051" t="s">
        <v>599</v>
      </c>
      <c r="E2051">
        <v>16</v>
      </c>
      <c r="F2051" t="s">
        <v>2</v>
      </c>
      <c r="G2051" t="s">
        <v>4231</v>
      </c>
      <c r="H2051" t="s">
        <v>8213</v>
      </c>
      <c r="I2051" t="s">
        <v>83</v>
      </c>
      <c r="J2051" t="s">
        <v>2503</v>
      </c>
    </row>
    <row r="2052" spans="1:10" x14ac:dyDescent="0.25">
      <c r="A2052" t="s">
        <v>8214</v>
      </c>
      <c r="B2052" s="3">
        <v>46312</v>
      </c>
      <c r="C2052" t="s">
        <v>302</v>
      </c>
      <c r="D2052" t="s">
        <v>261</v>
      </c>
      <c r="E2052">
        <v>35</v>
      </c>
      <c r="F2052" t="s">
        <v>2</v>
      </c>
      <c r="G2052" t="s">
        <v>4231</v>
      </c>
      <c r="H2052" t="s">
        <v>8215</v>
      </c>
      <c r="I2052" t="s">
        <v>133</v>
      </c>
      <c r="J2052" t="s">
        <v>2503</v>
      </c>
    </row>
    <row r="2053" spans="1:10" x14ac:dyDescent="0.25">
      <c r="A2053" t="s">
        <v>8216</v>
      </c>
      <c r="B2053" s="3">
        <v>46312</v>
      </c>
      <c r="C2053" t="s">
        <v>331</v>
      </c>
      <c r="D2053" t="s">
        <v>234</v>
      </c>
      <c r="E2053">
        <v>47</v>
      </c>
      <c r="F2053" t="s">
        <v>2</v>
      </c>
      <c r="G2053" t="s">
        <v>4231</v>
      </c>
      <c r="H2053" t="s">
        <v>8217</v>
      </c>
      <c r="I2053" t="s">
        <v>57</v>
      </c>
      <c r="J2053" t="s">
        <v>2513</v>
      </c>
    </row>
    <row r="2054" spans="1:10" x14ac:dyDescent="0.25">
      <c r="A2054" t="s">
        <v>8218</v>
      </c>
      <c r="B2054" s="3">
        <v>46312</v>
      </c>
      <c r="C2054" t="s">
        <v>417</v>
      </c>
      <c r="D2054" t="s">
        <v>349</v>
      </c>
      <c r="E2054">
        <v>26</v>
      </c>
      <c r="F2054" t="s">
        <v>2</v>
      </c>
      <c r="G2054" t="s">
        <v>4222</v>
      </c>
      <c r="H2054" t="s">
        <v>8219</v>
      </c>
      <c r="I2054" t="s">
        <v>75</v>
      </c>
      <c r="J2054" t="s">
        <v>2503</v>
      </c>
    </row>
    <row r="2055" spans="1:10" x14ac:dyDescent="0.25">
      <c r="A2055" t="s">
        <v>8220</v>
      </c>
      <c r="B2055" s="3">
        <v>46312</v>
      </c>
      <c r="C2055" t="s">
        <v>575</v>
      </c>
      <c r="D2055" t="s">
        <v>467</v>
      </c>
      <c r="E2055">
        <v>52</v>
      </c>
      <c r="F2055" t="s">
        <v>469</v>
      </c>
      <c r="G2055" t="s">
        <v>4222</v>
      </c>
      <c r="H2055" t="s">
        <v>8221</v>
      </c>
      <c r="I2055" t="s">
        <v>108</v>
      </c>
      <c r="J2055" t="s">
        <v>2503</v>
      </c>
    </row>
    <row r="2056" spans="1:10" x14ac:dyDescent="0.25">
      <c r="A2056" t="s">
        <v>8222</v>
      </c>
      <c r="B2056" s="3">
        <v>46312</v>
      </c>
      <c r="C2056" t="s">
        <v>398</v>
      </c>
      <c r="D2056" t="s">
        <v>344</v>
      </c>
      <c r="E2056">
        <v>49</v>
      </c>
      <c r="F2056" t="s">
        <v>346</v>
      </c>
      <c r="G2056" t="s">
        <v>4225</v>
      </c>
      <c r="H2056" t="s">
        <v>8223</v>
      </c>
      <c r="I2056" t="s">
        <v>108</v>
      </c>
      <c r="J2056" t="s">
        <v>2500</v>
      </c>
    </row>
    <row r="2057" spans="1:10" x14ac:dyDescent="0.25">
      <c r="A2057" t="s">
        <v>8224</v>
      </c>
      <c r="B2057" s="3">
        <v>46312</v>
      </c>
      <c r="C2057" t="s">
        <v>606</v>
      </c>
      <c r="D2057" t="s">
        <v>602</v>
      </c>
      <c r="E2057">
        <v>43</v>
      </c>
      <c r="F2057" t="s">
        <v>2</v>
      </c>
      <c r="G2057" t="s">
        <v>4228</v>
      </c>
      <c r="H2057" t="s">
        <v>8225</v>
      </c>
      <c r="I2057" t="s">
        <v>314</v>
      </c>
      <c r="J2057" t="s">
        <v>2500</v>
      </c>
    </row>
    <row r="2058" spans="1:10" x14ac:dyDescent="0.25">
      <c r="A2058" t="s">
        <v>8226</v>
      </c>
      <c r="B2058" s="3">
        <v>46312</v>
      </c>
      <c r="C2058" t="s">
        <v>647</v>
      </c>
      <c r="D2058" t="s">
        <v>629</v>
      </c>
      <c r="E2058">
        <v>51</v>
      </c>
      <c r="F2058" t="s">
        <v>355</v>
      </c>
      <c r="G2058" t="s">
        <v>4228</v>
      </c>
      <c r="H2058" t="s">
        <v>8227</v>
      </c>
      <c r="I2058" t="s">
        <v>230</v>
      </c>
      <c r="J2058" t="s">
        <v>2500</v>
      </c>
    </row>
    <row r="2059" spans="1:10" x14ac:dyDescent="0.25">
      <c r="A2059" t="s">
        <v>8228</v>
      </c>
      <c r="B2059" s="3">
        <v>46312</v>
      </c>
      <c r="C2059" t="s">
        <v>160</v>
      </c>
      <c r="D2059" t="s">
        <v>47</v>
      </c>
      <c r="E2059">
        <v>22</v>
      </c>
      <c r="F2059" t="s">
        <v>2</v>
      </c>
      <c r="G2059" t="s">
        <v>4231</v>
      </c>
      <c r="H2059" t="s">
        <v>8229</v>
      </c>
      <c r="I2059" t="s">
        <v>161</v>
      </c>
      <c r="J2059" t="s">
        <v>2513</v>
      </c>
    </row>
    <row r="2060" spans="1:10" x14ac:dyDescent="0.25">
      <c r="A2060" t="s">
        <v>8230</v>
      </c>
      <c r="B2060" s="3">
        <v>46312</v>
      </c>
      <c r="C2060" t="s">
        <v>350</v>
      </c>
      <c r="D2060" t="s">
        <v>351</v>
      </c>
      <c r="E2060">
        <v>51</v>
      </c>
      <c r="F2060" t="s">
        <v>2</v>
      </c>
      <c r="G2060" t="s">
        <v>4222</v>
      </c>
      <c r="H2060" t="s">
        <v>8231</v>
      </c>
      <c r="I2060" t="s">
        <v>110</v>
      </c>
      <c r="J2060" t="s">
        <v>2513</v>
      </c>
    </row>
    <row r="2061" spans="1:10" x14ac:dyDescent="0.25">
      <c r="A2061" t="s">
        <v>8232</v>
      </c>
      <c r="B2061" s="3">
        <v>46312</v>
      </c>
      <c r="C2061" t="s">
        <v>412</v>
      </c>
      <c r="D2061" t="s">
        <v>351</v>
      </c>
      <c r="E2061">
        <v>42</v>
      </c>
      <c r="F2061" t="s">
        <v>2</v>
      </c>
      <c r="G2061" t="s">
        <v>4225</v>
      </c>
      <c r="H2061" t="s">
        <v>7882</v>
      </c>
      <c r="I2061" t="s">
        <v>140</v>
      </c>
      <c r="J2061" t="s">
        <v>2513</v>
      </c>
    </row>
    <row r="2062" spans="1:10" x14ac:dyDescent="0.25">
      <c r="A2062" t="s">
        <v>8233</v>
      </c>
      <c r="B2062" s="3">
        <v>46312</v>
      </c>
      <c r="C2062" t="s">
        <v>217</v>
      </c>
      <c r="D2062" t="s">
        <v>218</v>
      </c>
      <c r="E2062">
        <v>7</v>
      </c>
      <c r="F2062" t="s">
        <v>2</v>
      </c>
      <c r="G2062" t="s">
        <v>4234</v>
      </c>
      <c r="H2062" t="s">
        <v>7913</v>
      </c>
      <c r="I2062" t="s">
        <v>219</v>
      </c>
      <c r="J2062" t="s">
        <v>2500</v>
      </c>
    </row>
    <row r="2063" spans="1:10" x14ac:dyDescent="0.25">
      <c r="A2063" t="s">
        <v>8234</v>
      </c>
      <c r="B2063" s="3">
        <v>46312</v>
      </c>
      <c r="C2063" t="s">
        <v>660</v>
      </c>
      <c r="D2063" t="s">
        <v>629</v>
      </c>
      <c r="E2063">
        <v>2</v>
      </c>
      <c r="F2063" t="s">
        <v>355</v>
      </c>
      <c r="G2063" t="s">
        <v>4222</v>
      </c>
      <c r="H2063" t="s">
        <v>8235</v>
      </c>
      <c r="I2063" t="s">
        <v>312</v>
      </c>
      <c r="J2063" t="s">
        <v>2509</v>
      </c>
    </row>
    <row r="2064" spans="1:10" x14ac:dyDescent="0.25">
      <c r="A2064" t="s">
        <v>8236</v>
      </c>
      <c r="B2064" s="3">
        <v>46312</v>
      </c>
      <c r="C2064" t="s">
        <v>693</v>
      </c>
      <c r="D2064" t="s">
        <v>582</v>
      </c>
      <c r="E2064">
        <v>39</v>
      </c>
      <c r="F2064" t="s">
        <v>2</v>
      </c>
      <c r="G2064" t="s">
        <v>4228</v>
      </c>
      <c r="H2064" t="s">
        <v>8237</v>
      </c>
      <c r="I2064" t="s">
        <v>175</v>
      </c>
      <c r="J2064" t="s">
        <v>2503</v>
      </c>
    </row>
    <row r="2065" spans="1:10" x14ac:dyDescent="0.25">
      <c r="A2065" t="s">
        <v>8238</v>
      </c>
      <c r="B2065" s="3">
        <v>46312</v>
      </c>
      <c r="C2065" t="s">
        <v>170</v>
      </c>
      <c r="D2065" t="s">
        <v>66</v>
      </c>
      <c r="E2065">
        <v>42</v>
      </c>
      <c r="F2065" t="s">
        <v>2</v>
      </c>
      <c r="G2065" t="s">
        <v>4222</v>
      </c>
      <c r="H2065" t="s">
        <v>8239</v>
      </c>
      <c r="I2065" t="s">
        <v>171</v>
      </c>
      <c r="J2065" t="s">
        <v>2503</v>
      </c>
    </row>
    <row r="2066" spans="1:10" x14ac:dyDescent="0.25">
      <c r="A2066" t="s">
        <v>8240</v>
      </c>
      <c r="B2066" s="3">
        <v>46312</v>
      </c>
      <c r="C2066" t="s">
        <v>266</v>
      </c>
      <c r="D2066" t="s">
        <v>240</v>
      </c>
      <c r="E2066">
        <v>24</v>
      </c>
      <c r="F2066" t="s">
        <v>2</v>
      </c>
      <c r="G2066" t="s">
        <v>4231</v>
      </c>
      <c r="H2066" t="s">
        <v>8241</v>
      </c>
      <c r="I2066" t="s">
        <v>108</v>
      </c>
      <c r="J2066" t="s">
        <v>2500</v>
      </c>
    </row>
    <row r="2067" spans="1:10" x14ac:dyDescent="0.25">
      <c r="A2067" t="s">
        <v>8242</v>
      </c>
      <c r="B2067" s="3">
        <v>46312</v>
      </c>
      <c r="C2067" t="s">
        <v>306</v>
      </c>
      <c r="D2067" t="s">
        <v>223</v>
      </c>
      <c r="E2067">
        <v>9</v>
      </c>
      <c r="F2067" t="s">
        <v>2</v>
      </c>
      <c r="G2067" t="s">
        <v>4225</v>
      </c>
      <c r="H2067" t="s">
        <v>8243</v>
      </c>
      <c r="I2067" t="s">
        <v>274</v>
      </c>
      <c r="J2067" t="s">
        <v>2503</v>
      </c>
    </row>
    <row r="2068" spans="1:10" x14ac:dyDescent="0.25">
      <c r="A2068" t="s">
        <v>8244</v>
      </c>
      <c r="B2068" s="3">
        <v>46312</v>
      </c>
      <c r="C2068" t="s">
        <v>639</v>
      </c>
      <c r="D2068" t="s">
        <v>585</v>
      </c>
      <c r="E2068">
        <v>37</v>
      </c>
      <c r="F2068" t="s">
        <v>355</v>
      </c>
      <c r="G2068" t="s">
        <v>4222</v>
      </c>
      <c r="H2068" t="s">
        <v>7319</v>
      </c>
      <c r="I2068" t="s">
        <v>64</v>
      </c>
      <c r="J2068" t="s">
        <v>2513</v>
      </c>
    </row>
    <row r="2069" spans="1:10" x14ac:dyDescent="0.25">
      <c r="A2069" t="s">
        <v>8245</v>
      </c>
      <c r="B2069" s="3">
        <v>46312</v>
      </c>
      <c r="C2069" t="s">
        <v>691</v>
      </c>
      <c r="D2069" t="s">
        <v>585</v>
      </c>
      <c r="E2069">
        <v>24</v>
      </c>
      <c r="F2069" t="s">
        <v>355</v>
      </c>
      <c r="G2069" t="s">
        <v>4225</v>
      </c>
      <c r="H2069" t="s">
        <v>8246</v>
      </c>
      <c r="I2069" t="s">
        <v>19</v>
      </c>
      <c r="J2069" t="s">
        <v>2513</v>
      </c>
    </row>
    <row r="2070" spans="1:10" x14ac:dyDescent="0.25">
      <c r="A2070" t="s">
        <v>8247</v>
      </c>
      <c r="B2070" s="3">
        <v>46312</v>
      </c>
      <c r="C2070" t="s">
        <v>326</v>
      </c>
      <c r="D2070" t="s">
        <v>223</v>
      </c>
      <c r="E2070">
        <v>34</v>
      </c>
      <c r="F2070" t="s">
        <v>2</v>
      </c>
      <c r="G2070" t="s">
        <v>4228</v>
      </c>
      <c r="H2070" t="s">
        <v>8248</v>
      </c>
      <c r="I2070" t="s">
        <v>327</v>
      </c>
      <c r="J2070" t="s">
        <v>2513</v>
      </c>
    </row>
    <row r="2071" spans="1:10" x14ac:dyDescent="0.25">
      <c r="A2071" t="s">
        <v>8249</v>
      </c>
      <c r="B2071" s="3">
        <v>46312</v>
      </c>
      <c r="C2071" t="s">
        <v>505</v>
      </c>
      <c r="D2071" t="s">
        <v>479</v>
      </c>
      <c r="E2071">
        <v>12</v>
      </c>
      <c r="F2071" t="s">
        <v>469</v>
      </c>
      <c r="G2071" t="s">
        <v>4225</v>
      </c>
      <c r="H2071" t="s">
        <v>8250</v>
      </c>
      <c r="I2071" t="s">
        <v>69</v>
      </c>
      <c r="J2071" t="s">
        <v>2513</v>
      </c>
    </row>
    <row r="2072" spans="1:10" x14ac:dyDescent="0.25">
      <c r="A2072" t="s">
        <v>8251</v>
      </c>
      <c r="B2072" s="3">
        <v>46312</v>
      </c>
      <c r="C2072" t="s">
        <v>669</v>
      </c>
      <c r="D2072" t="s">
        <v>594</v>
      </c>
      <c r="E2072">
        <v>39</v>
      </c>
      <c r="F2072" t="s">
        <v>595</v>
      </c>
      <c r="G2072" t="s">
        <v>4231</v>
      </c>
      <c r="H2072" t="s">
        <v>8252</v>
      </c>
      <c r="I2072" t="s">
        <v>410</v>
      </c>
      <c r="J2072" t="s">
        <v>2500</v>
      </c>
    </row>
    <row r="2073" spans="1:10" x14ac:dyDescent="0.25">
      <c r="A2073" t="s">
        <v>8253</v>
      </c>
      <c r="B2073" s="3">
        <v>46312</v>
      </c>
      <c r="C2073" t="s">
        <v>188</v>
      </c>
      <c r="D2073" t="s">
        <v>29</v>
      </c>
      <c r="E2073">
        <v>49</v>
      </c>
      <c r="F2073" t="s">
        <v>2</v>
      </c>
      <c r="G2073" t="s">
        <v>4225</v>
      </c>
      <c r="H2073" t="s">
        <v>8254</v>
      </c>
      <c r="I2073" t="s">
        <v>189</v>
      </c>
      <c r="J2073" t="s">
        <v>2500</v>
      </c>
    </row>
    <row r="2074" spans="1:10" x14ac:dyDescent="0.25">
      <c r="A2074" t="s">
        <v>8255</v>
      </c>
      <c r="B2074" s="3">
        <v>46312</v>
      </c>
      <c r="C2074" t="s">
        <v>566</v>
      </c>
      <c r="D2074" t="s">
        <v>479</v>
      </c>
      <c r="E2074">
        <v>30</v>
      </c>
      <c r="F2074" t="s">
        <v>469</v>
      </c>
      <c r="G2074" t="s">
        <v>4222</v>
      </c>
      <c r="H2074" t="s">
        <v>8256</v>
      </c>
      <c r="I2074" t="s">
        <v>64</v>
      </c>
      <c r="J2074" t="s">
        <v>2513</v>
      </c>
    </row>
    <row r="2075" spans="1:10" x14ac:dyDescent="0.25">
      <c r="A2075" t="s">
        <v>8257</v>
      </c>
      <c r="B2075" s="3">
        <v>46312</v>
      </c>
      <c r="C2075" t="s">
        <v>194</v>
      </c>
      <c r="D2075" t="s">
        <v>47</v>
      </c>
      <c r="E2075">
        <v>2</v>
      </c>
      <c r="F2075" t="s">
        <v>2</v>
      </c>
      <c r="G2075" t="s">
        <v>4231</v>
      </c>
      <c r="H2075" t="s">
        <v>8258</v>
      </c>
      <c r="I2075" t="s">
        <v>195</v>
      </c>
      <c r="J2075" t="s">
        <v>2509</v>
      </c>
    </row>
    <row r="2076" spans="1:10" x14ac:dyDescent="0.25">
      <c r="A2076" t="s">
        <v>8259</v>
      </c>
      <c r="B2076" s="3">
        <v>46312</v>
      </c>
      <c r="C2076" t="s">
        <v>576</v>
      </c>
      <c r="D2076" t="s">
        <v>471</v>
      </c>
      <c r="E2076">
        <v>1</v>
      </c>
      <c r="F2076" t="s">
        <v>355</v>
      </c>
      <c r="G2076" t="s">
        <v>4234</v>
      </c>
      <c r="H2076" t="s">
        <v>8260</v>
      </c>
      <c r="I2076" t="s">
        <v>106</v>
      </c>
      <c r="J2076" t="s">
        <v>2500</v>
      </c>
    </row>
    <row r="2077" spans="1:10" x14ac:dyDescent="0.25">
      <c r="A2077" t="s">
        <v>8261</v>
      </c>
      <c r="B2077" s="3">
        <v>46312</v>
      </c>
      <c r="C2077" t="s">
        <v>579</v>
      </c>
      <c r="D2077" t="s">
        <v>490</v>
      </c>
      <c r="E2077">
        <v>25</v>
      </c>
      <c r="F2077" t="s">
        <v>355</v>
      </c>
      <c r="G2077" t="s">
        <v>4231</v>
      </c>
      <c r="H2077" t="s">
        <v>8262</v>
      </c>
      <c r="I2077" t="s">
        <v>93</v>
      </c>
      <c r="J2077" t="s">
        <v>2509</v>
      </c>
    </row>
    <row r="2078" spans="1:10" x14ac:dyDescent="0.25">
      <c r="A2078" t="s">
        <v>8263</v>
      </c>
      <c r="B2078" s="3">
        <v>46312</v>
      </c>
      <c r="C2078" t="s">
        <v>494</v>
      </c>
      <c r="D2078" t="s">
        <v>471</v>
      </c>
      <c r="E2078">
        <v>11</v>
      </c>
      <c r="F2078" t="s">
        <v>355</v>
      </c>
      <c r="G2078" t="s">
        <v>4228</v>
      </c>
      <c r="H2078" t="s">
        <v>8264</v>
      </c>
      <c r="I2078" t="s">
        <v>181</v>
      </c>
      <c r="J2078" t="s">
        <v>2500</v>
      </c>
    </row>
    <row r="2079" spans="1:10" x14ac:dyDescent="0.25">
      <c r="A2079" t="s">
        <v>8265</v>
      </c>
      <c r="B2079" s="3">
        <v>46312</v>
      </c>
      <c r="C2079" t="s">
        <v>196</v>
      </c>
      <c r="D2079" t="s">
        <v>47</v>
      </c>
      <c r="E2079">
        <v>23</v>
      </c>
      <c r="F2079" t="s">
        <v>2</v>
      </c>
      <c r="G2079" t="s">
        <v>4225</v>
      </c>
      <c r="H2079" t="s">
        <v>8266</v>
      </c>
      <c r="I2079" t="s">
        <v>164</v>
      </c>
      <c r="J2079" t="s">
        <v>2509</v>
      </c>
    </row>
    <row r="2080" spans="1:10" x14ac:dyDescent="0.25">
      <c r="A2080" t="s">
        <v>8267</v>
      </c>
      <c r="B2080" s="3">
        <v>46312</v>
      </c>
      <c r="C2080" t="s">
        <v>376</v>
      </c>
      <c r="D2080" t="s">
        <v>351</v>
      </c>
      <c r="E2080">
        <v>18</v>
      </c>
      <c r="F2080" t="s">
        <v>2</v>
      </c>
      <c r="G2080" t="s">
        <v>4222</v>
      </c>
      <c r="H2080" t="s">
        <v>7168</v>
      </c>
      <c r="I2080" t="s">
        <v>259</v>
      </c>
      <c r="J2080" t="s">
        <v>2503</v>
      </c>
    </row>
    <row r="2081" spans="1:10" x14ac:dyDescent="0.25">
      <c r="A2081" t="s">
        <v>8268</v>
      </c>
      <c r="B2081" s="3">
        <v>46313</v>
      </c>
      <c r="C2081" t="s">
        <v>187</v>
      </c>
      <c r="D2081" t="s">
        <v>54</v>
      </c>
      <c r="E2081">
        <v>17</v>
      </c>
      <c r="F2081" t="s">
        <v>2</v>
      </c>
      <c r="G2081" t="s">
        <v>4225</v>
      </c>
      <c r="H2081" t="s">
        <v>8269</v>
      </c>
      <c r="I2081" t="s">
        <v>110</v>
      </c>
      <c r="J2081" t="s">
        <v>2503</v>
      </c>
    </row>
    <row r="2082" spans="1:10" x14ac:dyDescent="0.25">
      <c r="A2082" t="s">
        <v>8270</v>
      </c>
      <c r="B2082" s="3">
        <v>46313</v>
      </c>
      <c r="C2082" t="s">
        <v>632</v>
      </c>
      <c r="D2082" t="s">
        <v>587</v>
      </c>
      <c r="E2082">
        <v>21</v>
      </c>
      <c r="F2082" t="s">
        <v>2</v>
      </c>
      <c r="G2082" t="s">
        <v>4222</v>
      </c>
      <c r="H2082" t="s">
        <v>8271</v>
      </c>
      <c r="I2082" t="s">
        <v>327</v>
      </c>
      <c r="J2082" t="s">
        <v>2509</v>
      </c>
    </row>
    <row r="2083" spans="1:10" x14ac:dyDescent="0.25">
      <c r="A2083" t="s">
        <v>8272</v>
      </c>
      <c r="B2083" s="3">
        <v>46313</v>
      </c>
      <c r="C2083" t="s">
        <v>278</v>
      </c>
      <c r="D2083" t="s">
        <v>261</v>
      </c>
      <c r="E2083">
        <v>3</v>
      </c>
      <c r="F2083" t="s">
        <v>2</v>
      </c>
      <c r="G2083" t="s">
        <v>4222</v>
      </c>
      <c r="H2083" t="s">
        <v>8273</v>
      </c>
      <c r="I2083" t="s">
        <v>279</v>
      </c>
      <c r="J2083" t="s">
        <v>2503</v>
      </c>
    </row>
    <row r="2084" spans="1:10" x14ac:dyDescent="0.25">
      <c r="A2084" t="s">
        <v>8274</v>
      </c>
      <c r="B2084" s="3">
        <v>46313</v>
      </c>
      <c r="C2084" t="s">
        <v>145</v>
      </c>
      <c r="D2084" t="s">
        <v>26</v>
      </c>
      <c r="E2084">
        <v>9</v>
      </c>
      <c r="F2084" t="s">
        <v>2</v>
      </c>
      <c r="G2084" t="s">
        <v>4225</v>
      </c>
      <c r="H2084" t="s">
        <v>8275</v>
      </c>
      <c r="I2084" t="s">
        <v>59</v>
      </c>
      <c r="J2084" t="s">
        <v>2500</v>
      </c>
    </row>
    <row r="2085" spans="1:10" x14ac:dyDescent="0.25">
      <c r="A2085" t="s">
        <v>8276</v>
      </c>
      <c r="B2085" s="3">
        <v>46313</v>
      </c>
      <c r="C2085" t="s">
        <v>430</v>
      </c>
      <c r="D2085" t="s">
        <v>349</v>
      </c>
      <c r="E2085">
        <v>1</v>
      </c>
      <c r="F2085" t="s">
        <v>2</v>
      </c>
      <c r="G2085" t="s">
        <v>4225</v>
      </c>
      <c r="H2085" t="s">
        <v>8277</v>
      </c>
      <c r="I2085" t="s">
        <v>64</v>
      </c>
      <c r="J2085" t="s">
        <v>2509</v>
      </c>
    </row>
    <row r="2086" spans="1:10" x14ac:dyDescent="0.25">
      <c r="A2086" t="s">
        <v>8278</v>
      </c>
      <c r="B2086" s="3">
        <v>46313</v>
      </c>
      <c r="C2086" t="s">
        <v>414</v>
      </c>
      <c r="D2086" t="s">
        <v>378</v>
      </c>
      <c r="E2086">
        <v>3</v>
      </c>
      <c r="F2086" t="s">
        <v>2</v>
      </c>
      <c r="G2086" t="s">
        <v>4231</v>
      </c>
      <c r="H2086" t="s">
        <v>8279</v>
      </c>
      <c r="I2086" t="s">
        <v>147</v>
      </c>
      <c r="J2086" t="s">
        <v>2500</v>
      </c>
    </row>
    <row r="2087" spans="1:10" x14ac:dyDescent="0.25">
      <c r="A2087" t="s">
        <v>8280</v>
      </c>
      <c r="B2087" s="3">
        <v>46313</v>
      </c>
      <c r="C2087" t="s">
        <v>579</v>
      </c>
      <c r="D2087" t="s">
        <v>490</v>
      </c>
      <c r="E2087">
        <v>22</v>
      </c>
      <c r="F2087" t="s">
        <v>355</v>
      </c>
      <c r="G2087" t="s">
        <v>4228</v>
      </c>
      <c r="H2087" t="s">
        <v>8281</v>
      </c>
      <c r="I2087" t="s">
        <v>93</v>
      </c>
      <c r="J2087" t="s">
        <v>2503</v>
      </c>
    </row>
    <row r="2088" spans="1:10" x14ac:dyDescent="0.25">
      <c r="A2088" t="s">
        <v>8282</v>
      </c>
      <c r="B2088" s="3">
        <v>46313</v>
      </c>
      <c r="C2088" t="s">
        <v>80</v>
      </c>
      <c r="D2088" t="s">
        <v>54</v>
      </c>
      <c r="E2088">
        <v>47</v>
      </c>
      <c r="F2088" t="s">
        <v>2</v>
      </c>
      <c r="G2088" t="s">
        <v>4234</v>
      </c>
      <c r="H2088" t="s">
        <v>8283</v>
      </c>
      <c r="I2088" t="s">
        <v>83</v>
      </c>
      <c r="J2088" t="s">
        <v>2503</v>
      </c>
    </row>
    <row r="2089" spans="1:10" x14ac:dyDescent="0.25">
      <c r="A2089" t="s">
        <v>8284</v>
      </c>
      <c r="B2089" s="3">
        <v>46313</v>
      </c>
      <c r="C2089" t="s">
        <v>663</v>
      </c>
      <c r="D2089" t="s">
        <v>587</v>
      </c>
      <c r="E2089">
        <v>22</v>
      </c>
      <c r="F2089" t="s">
        <v>2</v>
      </c>
      <c r="G2089" t="s">
        <v>4231</v>
      </c>
      <c r="H2089" t="s">
        <v>8285</v>
      </c>
      <c r="I2089" t="s">
        <v>464</v>
      </c>
      <c r="J2089" t="s">
        <v>2503</v>
      </c>
    </row>
    <row r="2090" spans="1:10" x14ac:dyDescent="0.25">
      <c r="A2090" t="s">
        <v>8286</v>
      </c>
      <c r="B2090" s="3">
        <v>46313</v>
      </c>
      <c r="C2090" t="s">
        <v>454</v>
      </c>
      <c r="D2090" t="s">
        <v>344</v>
      </c>
      <c r="E2090">
        <v>41</v>
      </c>
      <c r="F2090" t="s">
        <v>346</v>
      </c>
      <c r="G2090" t="s">
        <v>4225</v>
      </c>
      <c r="H2090" t="s">
        <v>8287</v>
      </c>
      <c r="I2090" t="s">
        <v>455</v>
      </c>
      <c r="J2090" t="s">
        <v>2503</v>
      </c>
    </row>
    <row r="2091" spans="1:10" x14ac:dyDescent="0.25">
      <c r="A2091" t="s">
        <v>8288</v>
      </c>
      <c r="B2091" s="3">
        <v>46313</v>
      </c>
      <c r="C2091" t="s">
        <v>224</v>
      </c>
      <c r="D2091" t="s">
        <v>225</v>
      </c>
      <c r="E2091">
        <v>45</v>
      </c>
      <c r="F2091" t="s">
        <v>2</v>
      </c>
      <c r="G2091" t="s">
        <v>4231</v>
      </c>
      <c r="H2091" t="s">
        <v>8289</v>
      </c>
      <c r="I2091" t="s">
        <v>106</v>
      </c>
      <c r="J2091" t="s">
        <v>2500</v>
      </c>
    </row>
    <row r="2092" spans="1:10" x14ac:dyDescent="0.25">
      <c r="A2092" t="s">
        <v>8290</v>
      </c>
      <c r="B2092" s="3">
        <v>46313</v>
      </c>
      <c r="C2092" t="s">
        <v>456</v>
      </c>
      <c r="D2092" t="s">
        <v>351</v>
      </c>
      <c r="E2092">
        <v>30</v>
      </c>
      <c r="F2092" t="s">
        <v>2</v>
      </c>
      <c r="G2092" t="s">
        <v>4225</v>
      </c>
      <c r="H2092" t="s">
        <v>8291</v>
      </c>
      <c r="I2092" t="s">
        <v>119</v>
      </c>
      <c r="J2092" t="s">
        <v>2500</v>
      </c>
    </row>
    <row r="2093" spans="1:10" x14ac:dyDescent="0.25">
      <c r="A2093" t="s">
        <v>8292</v>
      </c>
      <c r="B2093" s="3">
        <v>46313</v>
      </c>
      <c r="C2093" t="s">
        <v>429</v>
      </c>
      <c r="D2093" t="s">
        <v>351</v>
      </c>
      <c r="E2093">
        <v>8</v>
      </c>
      <c r="F2093" t="s">
        <v>2</v>
      </c>
      <c r="G2093" t="s">
        <v>4234</v>
      </c>
      <c r="H2093" t="s">
        <v>7509</v>
      </c>
      <c r="I2093" t="s">
        <v>126</v>
      </c>
      <c r="J2093" t="s">
        <v>2509</v>
      </c>
    </row>
    <row r="2094" spans="1:10" x14ac:dyDescent="0.25">
      <c r="A2094" t="s">
        <v>8293</v>
      </c>
      <c r="B2094" s="3">
        <v>46313</v>
      </c>
      <c r="C2094" t="s">
        <v>566</v>
      </c>
      <c r="D2094" t="s">
        <v>479</v>
      </c>
      <c r="E2094">
        <v>31</v>
      </c>
      <c r="F2094" t="s">
        <v>469</v>
      </c>
      <c r="G2094" t="s">
        <v>4222</v>
      </c>
      <c r="H2094" t="s">
        <v>8294</v>
      </c>
      <c r="I2094" t="s">
        <v>64</v>
      </c>
      <c r="J2094" t="s">
        <v>2513</v>
      </c>
    </row>
    <row r="2095" spans="1:10" x14ac:dyDescent="0.25">
      <c r="A2095" t="s">
        <v>8295</v>
      </c>
      <c r="B2095" s="3">
        <v>46313</v>
      </c>
      <c r="C2095" t="s">
        <v>425</v>
      </c>
      <c r="D2095" t="s">
        <v>378</v>
      </c>
      <c r="E2095">
        <v>2</v>
      </c>
      <c r="F2095" t="s">
        <v>2</v>
      </c>
      <c r="G2095" t="s">
        <v>4228</v>
      </c>
      <c r="H2095" t="s">
        <v>8296</v>
      </c>
      <c r="I2095" t="s">
        <v>423</v>
      </c>
      <c r="J2095" t="s">
        <v>2509</v>
      </c>
    </row>
    <row r="2096" spans="1:10" x14ac:dyDescent="0.25">
      <c r="A2096" t="s">
        <v>8297</v>
      </c>
      <c r="B2096" s="3">
        <v>46313</v>
      </c>
      <c r="C2096" t="s">
        <v>43</v>
      </c>
      <c r="D2096" t="s">
        <v>44</v>
      </c>
      <c r="E2096">
        <v>51</v>
      </c>
      <c r="F2096" t="s">
        <v>2</v>
      </c>
      <c r="G2096" t="s">
        <v>4222</v>
      </c>
      <c r="H2096" t="s">
        <v>8298</v>
      </c>
      <c r="I2096" t="s">
        <v>45</v>
      </c>
      <c r="J2096" t="s">
        <v>2509</v>
      </c>
    </row>
    <row r="2097" spans="1:10" x14ac:dyDescent="0.25">
      <c r="A2097" t="s">
        <v>8299</v>
      </c>
      <c r="B2097" s="3">
        <v>46313</v>
      </c>
      <c r="C2097" t="s">
        <v>609</v>
      </c>
      <c r="D2097" t="s">
        <v>585</v>
      </c>
      <c r="E2097">
        <v>18</v>
      </c>
      <c r="F2097" t="s">
        <v>355</v>
      </c>
      <c r="G2097" t="s">
        <v>4222</v>
      </c>
      <c r="H2097" t="s">
        <v>8300</v>
      </c>
      <c r="I2097" t="s">
        <v>206</v>
      </c>
      <c r="J2097" t="s">
        <v>2500</v>
      </c>
    </row>
    <row r="2098" spans="1:10" x14ac:dyDescent="0.25">
      <c r="A2098" t="s">
        <v>8301</v>
      </c>
      <c r="B2098" s="3">
        <v>46313</v>
      </c>
      <c r="C2098" t="s">
        <v>489</v>
      </c>
      <c r="D2098" t="s">
        <v>490</v>
      </c>
      <c r="E2098">
        <v>34</v>
      </c>
      <c r="F2098" t="s">
        <v>355</v>
      </c>
      <c r="G2098" t="s">
        <v>4225</v>
      </c>
      <c r="H2098" t="s">
        <v>8302</v>
      </c>
      <c r="I2098" t="s">
        <v>183</v>
      </c>
      <c r="J2098" t="s">
        <v>2513</v>
      </c>
    </row>
    <row r="2099" spans="1:10" x14ac:dyDescent="0.25">
      <c r="A2099" t="s">
        <v>8303</v>
      </c>
      <c r="B2099" s="3">
        <v>46313</v>
      </c>
      <c r="C2099" t="s">
        <v>516</v>
      </c>
      <c r="D2099" t="s">
        <v>481</v>
      </c>
      <c r="E2099">
        <v>18</v>
      </c>
      <c r="F2099" t="s">
        <v>2</v>
      </c>
      <c r="G2099" t="s">
        <v>4222</v>
      </c>
      <c r="H2099" t="s">
        <v>8258</v>
      </c>
      <c r="I2099" t="s">
        <v>314</v>
      </c>
      <c r="J2099" t="s">
        <v>2513</v>
      </c>
    </row>
    <row r="2100" spans="1:10" x14ac:dyDescent="0.25">
      <c r="A2100" t="s">
        <v>8304</v>
      </c>
      <c r="B2100" s="3">
        <v>46313</v>
      </c>
      <c r="C2100" t="s">
        <v>296</v>
      </c>
      <c r="D2100" t="s">
        <v>234</v>
      </c>
      <c r="E2100">
        <v>8</v>
      </c>
      <c r="F2100" t="s">
        <v>2</v>
      </c>
      <c r="G2100" t="s">
        <v>4234</v>
      </c>
      <c r="H2100" t="s">
        <v>8305</v>
      </c>
      <c r="I2100" t="s">
        <v>297</v>
      </c>
      <c r="J2100" t="s">
        <v>2509</v>
      </c>
    </row>
    <row r="2101" spans="1:10" x14ac:dyDescent="0.25">
      <c r="A2101" t="s">
        <v>8306</v>
      </c>
      <c r="B2101" s="3">
        <v>46313</v>
      </c>
      <c r="C2101" t="s">
        <v>681</v>
      </c>
      <c r="D2101" t="s">
        <v>589</v>
      </c>
      <c r="E2101">
        <v>38</v>
      </c>
      <c r="F2101" t="s">
        <v>469</v>
      </c>
      <c r="G2101" t="s">
        <v>4225</v>
      </c>
      <c r="H2101" t="s">
        <v>8307</v>
      </c>
      <c r="I2101" t="s">
        <v>259</v>
      </c>
      <c r="J2101" t="s">
        <v>2500</v>
      </c>
    </row>
    <row r="2102" spans="1:10" x14ac:dyDescent="0.25">
      <c r="A2102" t="s">
        <v>8308</v>
      </c>
      <c r="B2102" s="3">
        <v>46313</v>
      </c>
      <c r="C2102" t="s">
        <v>112</v>
      </c>
      <c r="D2102" t="s">
        <v>29</v>
      </c>
      <c r="E2102">
        <v>23</v>
      </c>
      <c r="F2102" t="s">
        <v>2</v>
      </c>
      <c r="G2102" t="s">
        <v>4225</v>
      </c>
      <c r="H2102" t="s">
        <v>8309</v>
      </c>
      <c r="I2102" t="s">
        <v>113</v>
      </c>
      <c r="J2102" t="s">
        <v>2509</v>
      </c>
    </row>
    <row r="2103" spans="1:10" x14ac:dyDescent="0.25">
      <c r="A2103" t="s">
        <v>8310</v>
      </c>
      <c r="B2103" s="3">
        <v>46313</v>
      </c>
      <c r="C2103" t="s">
        <v>436</v>
      </c>
      <c r="D2103" t="s">
        <v>366</v>
      </c>
      <c r="E2103">
        <v>32</v>
      </c>
      <c r="F2103" t="s">
        <v>2</v>
      </c>
      <c r="G2103" t="s">
        <v>4231</v>
      </c>
      <c r="H2103" t="s">
        <v>8311</v>
      </c>
      <c r="I2103" t="s">
        <v>19</v>
      </c>
      <c r="J2103" t="s">
        <v>2509</v>
      </c>
    </row>
    <row r="2104" spans="1:10" x14ac:dyDescent="0.25">
      <c r="A2104" t="s">
        <v>8312</v>
      </c>
      <c r="B2104" s="3">
        <v>46313</v>
      </c>
      <c r="C2104" t="s">
        <v>268</v>
      </c>
      <c r="D2104" t="s">
        <v>216</v>
      </c>
      <c r="E2104">
        <v>8</v>
      </c>
      <c r="F2104" t="s">
        <v>2</v>
      </c>
      <c r="G2104" t="s">
        <v>4225</v>
      </c>
      <c r="H2104" t="s">
        <v>7138</v>
      </c>
      <c r="I2104" t="s">
        <v>242</v>
      </c>
      <c r="J2104" t="s">
        <v>2513</v>
      </c>
    </row>
    <row r="2105" spans="1:10" x14ac:dyDescent="0.25">
      <c r="A2105" t="s">
        <v>8313</v>
      </c>
      <c r="B2105" s="3">
        <v>46313</v>
      </c>
      <c r="C2105" t="s">
        <v>513</v>
      </c>
      <c r="D2105" t="s">
        <v>488</v>
      </c>
      <c r="E2105">
        <v>23</v>
      </c>
      <c r="F2105" t="s">
        <v>469</v>
      </c>
      <c r="G2105" t="s">
        <v>4231</v>
      </c>
      <c r="H2105" t="s">
        <v>8314</v>
      </c>
      <c r="I2105" t="s">
        <v>110</v>
      </c>
      <c r="J2105" t="s">
        <v>2513</v>
      </c>
    </row>
    <row r="2106" spans="1:10" x14ac:dyDescent="0.25">
      <c r="A2106" t="s">
        <v>8315</v>
      </c>
      <c r="B2106" s="3">
        <v>46313</v>
      </c>
      <c r="C2106" t="s">
        <v>693</v>
      </c>
      <c r="D2106" t="s">
        <v>582</v>
      </c>
      <c r="E2106">
        <v>15</v>
      </c>
      <c r="F2106" t="s">
        <v>2</v>
      </c>
      <c r="G2106" t="s">
        <v>4225</v>
      </c>
      <c r="H2106" t="s">
        <v>8316</v>
      </c>
      <c r="I2106" t="s">
        <v>175</v>
      </c>
      <c r="J2106" t="s">
        <v>2509</v>
      </c>
    </row>
    <row r="2107" spans="1:10" x14ac:dyDescent="0.25">
      <c r="A2107" t="s">
        <v>8317</v>
      </c>
      <c r="B2107" s="3">
        <v>46313</v>
      </c>
      <c r="C2107" t="s">
        <v>156</v>
      </c>
      <c r="D2107" t="s">
        <v>15</v>
      </c>
      <c r="E2107">
        <v>47</v>
      </c>
      <c r="F2107" t="s">
        <v>2</v>
      </c>
      <c r="G2107" t="s">
        <v>4228</v>
      </c>
      <c r="H2107" t="s">
        <v>7620</v>
      </c>
      <c r="I2107" t="s">
        <v>98</v>
      </c>
      <c r="J2107" t="s">
        <v>2503</v>
      </c>
    </row>
    <row r="2108" spans="1:10" x14ac:dyDescent="0.25">
      <c r="A2108" t="s">
        <v>8318</v>
      </c>
      <c r="B2108" s="3">
        <v>46313</v>
      </c>
      <c r="C2108" t="s">
        <v>266</v>
      </c>
      <c r="D2108" t="s">
        <v>240</v>
      </c>
      <c r="E2108">
        <v>4</v>
      </c>
      <c r="F2108" t="s">
        <v>2</v>
      </c>
      <c r="G2108" t="s">
        <v>4234</v>
      </c>
      <c r="H2108" t="s">
        <v>8319</v>
      </c>
      <c r="I2108" t="s">
        <v>108</v>
      </c>
      <c r="J2108" t="s">
        <v>2500</v>
      </c>
    </row>
    <row r="2109" spans="1:10" x14ac:dyDescent="0.25">
      <c r="A2109" t="s">
        <v>8320</v>
      </c>
      <c r="B2109" s="3">
        <v>46313</v>
      </c>
      <c r="C2109" t="s">
        <v>637</v>
      </c>
      <c r="D2109" t="s">
        <v>629</v>
      </c>
      <c r="E2109">
        <v>55</v>
      </c>
      <c r="F2109" t="s">
        <v>355</v>
      </c>
      <c r="G2109" t="s">
        <v>4234</v>
      </c>
      <c r="H2109" t="s">
        <v>8321</v>
      </c>
      <c r="I2109" t="s">
        <v>19</v>
      </c>
      <c r="J2109" t="s">
        <v>2500</v>
      </c>
    </row>
    <row r="2110" spans="1:10" x14ac:dyDescent="0.25">
      <c r="A2110" t="s">
        <v>8322</v>
      </c>
      <c r="B2110" s="3">
        <v>46313</v>
      </c>
      <c r="C2110" t="s">
        <v>331</v>
      </c>
      <c r="D2110" t="s">
        <v>234</v>
      </c>
      <c r="E2110">
        <v>2</v>
      </c>
      <c r="F2110" t="s">
        <v>2</v>
      </c>
      <c r="G2110" t="s">
        <v>4225</v>
      </c>
      <c r="H2110" t="s">
        <v>8323</v>
      </c>
      <c r="I2110" t="s">
        <v>57</v>
      </c>
      <c r="J2110" t="s">
        <v>2513</v>
      </c>
    </row>
    <row r="2111" spans="1:10" x14ac:dyDescent="0.25">
      <c r="A2111" t="s">
        <v>8324</v>
      </c>
      <c r="B2111" s="3">
        <v>46313</v>
      </c>
      <c r="C2111" t="s">
        <v>262</v>
      </c>
      <c r="D2111" t="s">
        <v>223</v>
      </c>
      <c r="E2111">
        <v>7</v>
      </c>
      <c r="F2111" t="s">
        <v>2</v>
      </c>
      <c r="G2111" t="s">
        <v>4231</v>
      </c>
      <c r="H2111" t="s">
        <v>8325</v>
      </c>
      <c r="I2111" t="s">
        <v>259</v>
      </c>
      <c r="J2111" t="s">
        <v>2509</v>
      </c>
    </row>
    <row r="2112" spans="1:10" x14ac:dyDescent="0.25">
      <c r="A2112" t="s">
        <v>8326</v>
      </c>
      <c r="B2112" s="3">
        <v>46313</v>
      </c>
      <c r="C2112" t="s">
        <v>268</v>
      </c>
      <c r="D2112" t="s">
        <v>216</v>
      </c>
      <c r="E2112">
        <v>44</v>
      </c>
      <c r="F2112" t="s">
        <v>2</v>
      </c>
      <c r="G2112" t="s">
        <v>4231</v>
      </c>
      <c r="H2112" t="s">
        <v>7626</v>
      </c>
      <c r="I2112" t="s">
        <v>242</v>
      </c>
      <c r="J2112" t="s">
        <v>2509</v>
      </c>
    </row>
    <row r="2113" spans="1:10" x14ac:dyDescent="0.25">
      <c r="A2113" t="s">
        <v>8327</v>
      </c>
      <c r="B2113" s="3">
        <v>46313</v>
      </c>
      <c r="C2113" t="s">
        <v>367</v>
      </c>
      <c r="D2113" t="s">
        <v>344</v>
      </c>
      <c r="E2113">
        <v>26</v>
      </c>
      <c r="F2113" t="s">
        <v>346</v>
      </c>
      <c r="G2113" t="s">
        <v>4225</v>
      </c>
      <c r="H2113" t="s">
        <v>8328</v>
      </c>
      <c r="I2113" t="s">
        <v>368</v>
      </c>
      <c r="J2113" t="s">
        <v>2503</v>
      </c>
    </row>
    <row r="2114" spans="1:10" x14ac:dyDescent="0.25">
      <c r="A2114" t="s">
        <v>8329</v>
      </c>
      <c r="B2114" s="3">
        <v>46313</v>
      </c>
      <c r="C2114" t="s">
        <v>249</v>
      </c>
      <c r="D2114" t="s">
        <v>216</v>
      </c>
      <c r="E2114">
        <v>9</v>
      </c>
      <c r="F2114" t="s">
        <v>2</v>
      </c>
      <c r="G2114" t="s">
        <v>4225</v>
      </c>
      <c r="H2114" t="s">
        <v>8330</v>
      </c>
      <c r="I2114" t="s">
        <v>250</v>
      </c>
      <c r="J2114" t="s">
        <v>2500</v>
      </c>
    </row>
    <row r="2115" spans="1:10" x14ac:dyDescent="0.25">
      <c r="A2115" t="s">
        <v>8331</v>
      </c>
      <c r="B2115" s="3">
        <v>46313</v>
      </c>
      <c r="C2115" t="s">
        <v>146</v>
      </c>
      <c r="D2115" t="s">
        <v>1</v>
      </c>
      <c r="E2115">
        <v>18</v>
      </c>
      <c r="F2115" t="s">
        <v>2</v>
      </c>
      <c r="G2115" t="s">
        <v>4231</v>
      </c>
      <c r="H2115" t="s">
        <v>8332</v>
      </c>
      <c r="I2115" t="s">
        <v>147</v>
      </c>
      <c r="J2115" t="s">
        <v>2503</v>
      </c>
    </row>
    <row r="2116" spans="1:10" x14ac:dyDescent="0.25">
      <c r="A2116" t="s">
        <v>8333</v>
      </c>
      <c r="B2116" s="3">
        <v>46313</v>
      </c>
      <c r="C2116" t="s">
        <v>300</v>
      </c>
      <c r="D2116" t="s">
        <v>261</v>
      </c>
      <c r="E2116">
        <v>41</v>
      </c>
      <c r="F2116" t="s">
        <v>2</v>
      </c>
      <c r="G2116" t="s">
        <v>4228</v>
      </c>
      <c r="H2116" t="s">
        <v>8334</v>
      </c>
      <c r="I2116" t="s">
        <v>201</v>
      </c>
      <c r="J2116" t="s">
        <v>2513</v>
      </c>
    </row>
    <row r="2117" spans="1:10" x14ac:dyDescent="0.25">
      <c r="A2117" t="s">
        <v>8335</v>
      </c>
      <c r="B2117" s="3">
        <v>46313</v>
      </c>
      <c r="C2117" t="s">
        <v>547</v>
      </c>
      <c r="D2117" t="s">
        <v>481</v>
      </c>
      <c r="E2117">
        <v>3</v>
      </c>
      <c r="F2117" t="s">
        <v>2</v>
      </c>
      <c r="G2117" t="s">
        <v>4228</v>
      </c>
      <c r="H2117" t="s">
        <v>8336</v>
      </c>
      <c r="I2117" t="s">
        <v>69</v>
      </c>
      <c r="J2117" t="s">
        <v>2509</v>
      </c>
    </row>
    <row r="2118" spans="1:10" x14ac:dyDescent="0.25">
      <c r="A2118" t="s">
        <v>8337</v>
      </c>
      <c r="B2118" s="3">
        <v>46313</v>
      </c>
      <c r="C2118" t="s">
        <v>578</v>
      </c>
      <c r="D2118" t="s">
        <v>502</v>
      </c>
      <c r="E2118">
        <v>52</v>
      </c>
      <c r="F2118" t="s">
        <v>469</v>
      </c>
      <c r="G2118" t="s">
        <v>4234</v>
      </c>
      <c r="H2118" t="s">
        <v>8338</v>
      </c>
      <c r="I2118" t="s">
        <v>42</v>
      </c>
      <c r="J2118" t="s">
        <v>2500</v>
      </c>
    </row>
    <row r="2119" spans="1:10" x14ac:dyDescent="0.25">
      <c r="A2119" t="s">
        <v>8339</v>
      </c>
      <c r="B2119" s="3">
        <v>46313</v>
      </c>
      <c r="C2119" t="s">
        <v>391</v>
      </c>
      <c r="D2119" t="s">
        <v>357</v>
      </c>
      <c r="E2119">
        <v>10</v>
      </c>
      <c r="F2119" t="s">
        <v>358</v>
      </c>
      <c r="G2119" t="s">
        <v>4228</v>
      </c>
      <c r="H2119" t="s">
        <v>8340</v>
      </c>
      <c r="I2119" t="s">
        <v>221</v>
      </c>
      <c r="J2119" t="s">
        <v>2513</v>
      </c>
    </row>
    <row r="2120" spans="1:10" x14ac:dyDescent="0.25">
      <c r="A2120" t="s">
        <v>8341</v>
      </c>
      <c r="B2120" s="3">
        <v>46313</v>
      </c>
      <c r="C2120" t="s">
        <v>215</v>
      </c>
      <c r="D2120" t="s">
        <v>216</v>
      </c>
      <c r="E2120">
        <v>10</v>
      </c>
      <c r="F2120" t="s">
        <v>2</v>
      </c>
      <c r="G2120" t="s">
        <v>4234</v>
      </c>
      <c r="H2120" t="s">
        <v>8342</v>
      </c>
      <c r="I2120" t="s">
        <v>98</v>
      </c>
      <c r="J2120" t="s">
        <v>2500</v>
      </c>
    </row>
    <row r="2121" spans="1:10" x14ac:dyDescent="0.25">
      <c r="A2121" t="s">
        <v>8343</v>
      </c>
      <c r="B2121" s="3">
        <v>46313</v>
      </c>
      <c r="C2121" t="s">
        <v>174</v>
      </c>
      <c r="D2121" t="s">
        <v>26</v>
      </c>
      <c r="E2121">
        <v>25</v>
      </c>
      <c r="F2121" t="s">
        <v>2</v>
      </c>
      <c r="G2121" t="s">
        <v>4228</v>
      </c>
      <c r="H2121" t="s">
        <v>6897</v>
      </c>
      <c r="I2121" t="s">
        <v>175</v>
      </c>
      <c r="J2121" t="s">
        <v>2513</v>
      </c>
    </row>
    <row r="2122" spans="1:10" x14ac:dyDescent="0.25">
      <c r="A2122" t="s">
        <v>8344</v>
      </c>
      <c r="B2122" s="3">
        <v>46314</v>
      </c>
      <c r="C2122" t="s">
        <v>505</v>
      </c>
      <c r="D2122" t="s">
        <v>479</v>
      </c>
      <c r="E2122">
        <v>35</v>
      </c>
      <c r="F2122" t="s">
        <v>469</v>
      </c>
      <c r="G2122" t="s">
        <v>4231</v>
      </c>
      <c r="H2122" t="s">
        <v>8345</v>
      </c>
      <c r="I2122" t="s">
        <v>69</v>
      </c>
      <c r="J2122" t="s">
        <v>2503</v>
      </c>
    </row>
    <row r="2123" spans="1:10" x14ac:dyDescent="0.25">
      <c r="A2123" t="s">
        <v>8346</v>
      </c>
      <c r="B2123" s="3">
        <v>46314</v>
      </c>
      <c r="C2123" t="s">
        <v>563</v>
      </c>
      <c r="D2123" t="s">
        <v>479</v>
      </c>
      <c r="E2123">
        <v>43</v>
      </c>
      <c r="F2123" t="s">
        <v>469</v>
      </c>
      <c r="G2123" t="s">
        <v>4225</v>
      </c>
      <c r="H2123" t="s">
        <v>8347</v>
      </c>
      <c r="I2123" t="s">
        <v>287</v>
      </c>
      <c r="J2123" t="s">
        <v>2503</v>
      </c>
    </row>
    <row r="2124" spans="1:10" x14ac:dyDescent="0.25">
      <c r="A2124" t="s">
        <v>8348</v>
      </c>
      <c r="B2124" s="3">
        <v>46314</v>
      </c>
      <c r="C2124" t="s">
        <v>337</v>
      </c>
      <c r="D2124" t="s">
        <v>240</v>
      </c>
      <c r="E2124">
        <v>26</v>
      </c>
      <c r="F2124" t="s">
        <v>2</v>
      </c>
      <c r="G2124" t="s">
        <v>4234</v>
      </c>
      <c r="H2124" t="s">
        <v>8349</v>
      </c>
      <c r="I2124" t="s">
        <v>142</v>
      </c>
      <c r="J2124" t="s">
        <v>2500</v>
      </c>
    </row>
    <row r="2125" spans="1:10" x14ac:dyDescent="0.25">
      <c r="A2125" t="s">
        <v>8350</v>
      </c>
      <c r="B2125" s="3">
        <v>46314</v>
      </c>
      <c r="C2125" t="s">
        <v>418</v>
      </c>
      <c r="D2125" t="s">
        <v>349</v>
      </c>
      <c r="E2125">
        <v>8</v>
      </c>
      <c r="F2125" t="s">
        <v>2</v>
      </c>
      <c r="G2125" t="s">
        <v>4234</v>
      </c>
      <c r="H2125" t="s">
        <v>8351</v>
      </c>
      <c r="I2125" t="s">
        <v>250</v>
      </c>
      <c r="J2125" t="s">
        <v>2509</v>
      </c>
    </row>
    <row r="2126" spans="1:10" x14ac:dyDescent="0.25">
      <c r="A2126" t="s">
        <v>8352</v>
      </c>
      <c r="B2126" s="3">
        <v>46314</v>
      </c>
      <c r="C2126" t="s">
        <v>438</v>
      </c>
      <c r="D2126" t="s">
        <v>349</v>
      </c>
      <c r="E2126">
        <v>30</v>
      </c>
      <c r="F2126" t="s">
        <v>2</v>
      </c>
      <c r="G2126" t="s">
        <v>4222</v>
      </c>
      <c r="H2126" t="s">
        <v>8353</v>
      </c>
      <c r="I2126" t="s">
        <v>327</v>
      </c>
      <c r="J2126" t="s">
        <v>2503</v>
      </c>
    </row>
    <row r="2127" spans="1:10" x14ac:dyDescent="0.25">
      <c r="A2127" t="s">
        <v>8354</v>
      </c>
      <c r="B2127" s="3">
        <v>46314</v>
      </c>
      <c r="C2127" t="s">
        <v>518</v>
      </c>
      <c r="D2127" t="s">
        <v>467</v>
      </c>
      <c r="E2127">
        <v>39</v>
      </c>
      <c r="F2127" t="s">
        <v>469</v>
      </c>
      <c r="G2127" t="s">
        <v>4234</v>
      </c>
      <c r="H2127" t="s">
        <v>8355</v>
      </c>
      <c r="I2127" t="s">
        <v>98</v>
      </c>
      <c r="J2127" t="s">
        <v>2509</v>
      </c>
    </row>
    <row r="2128" spans="1:10" x14ac:dyDescent="0.25">
      <c r="A2128" t="s">
        <v>8356</v>
      </c>
      <c r="B2128" s="3">
        <v>46314</v>
      </c>
      <c r="C2128" t="s">
        <v>596</v>
      </c>
      <c r="D2128" t="s">
        <v>597</v>
      </c>
      <c r="E2128">
        <v>51</v>
      </c>
      <c r="F2128" t="s">
        <v>355</v>
      </c>
      <c r="G2128" t="s">
        <v>4222</v>
      </c>
      <c r="H2128" t="s">
        <v>8357</v>
      </c>
      <c r="I2128" t="s">
        <v>142</v>
      </c>
      <c r="J2128" t="s">
        <v>2500</v>
      </c>
    </row>
    <row r="2129" spans="1:10" x14ac:dyDescent="0.25">
      <c r="A2129" t="s">
        <v>8358</v>
      </c>
      <c r="B2129" s="3">
        <v>46314</v>
      </c>
      <c r="C2129" t="s">
        <v>232</v>
      </c>
      <c r="D2129" t="s">
        <v>225</v>
      </c>
      <c r="E2129">
        <v>15</v>
      </c>
      <c r="F2129" t="s">
        <v>2</v>
      </c>
      <c r="G2129" t="s">
        <v>4234</v>
      </c>
      <c r="H2129" t="s">
        <v>8359</v>
      </c>
      <c r="I2129" t="s">
        <v>30</v>
      </c>
      <c r="J2129" t="s">
        <v>2503</v>
      </c>
    </row>
    <row r="2130" spans="1:10" x14ac:dyDescent="0.25">
      <c r="A2130" t="s">
        <v>8360</v>
      </c>
      <c r="B2130" s="3">
        <v>46314</v>
      </c>
      <c r="C2130" t="s">
        <v>159</v>
      </c>
      <c r="D2130" t="s">
        <v>29</v>
      </c>
      <c r="E2130">
        <v>21</v>
      </c>
      <c r="F2130" t="s">
        <v>2</v>
      </c>
      <c r="G2130" t="s">
        <v>4231</v>
      </c>
      <c r="H2130" t="s">
        <v>8361</v>
      </c>
      <c r="I2130" t="s">
        <v>73</v>
      </c>
      <c r="J2130" t="s">
        <v>2509</v>
      </c>
    </row>
    <row r="2131" spans="1:10" x14ac:dyDescent="0.25">
      <c r="A2131" t="s">
        <v>8362</v>
      </c>
      <c r="B2131" s="3">
        <v>46314</v>
      </c>
      <c r="C2131" t="s">
        <v>317</v>
      </c>
      <c r="D2131" t="s">
        <v>225</v>
      </c>
      <c r="E2131">
        <v>49</v>
      </c>
      <c r="F2131" t="s">
        <v>2</v>
      </c>
      <c r="G2131" t="s">
        <v>4234</v>
      </c>
      <c r="H2131" t="s">
        <v>8363</v>
      </c>
      <c r="I2131" t="s">
        <v>83</v>
      </c>
      <c r="J2131" t="s">
        <v>2503</v>
      </c>
    </row>
    <row r="2132" spans="1:10" x14ac:dyDescent="0.25">
      <c r="A2132" t="s">
        <v>8364</v>
      </c>
      <c r="B2132" s="3">
        <v>46314</v>
      </c>
      <c r="C2132" t="s">
        <v>338</v>
      </c>
      <c r="D2132" t="s">
        <v>213</v>
      </c>
      <c r="E2132">
        <v>42</v>
      </c>
      <c r="F2132" t="s">
        <v>2</v>
      </c>
      <c r="G2132" t="s">
        <v>4222</v>
      </c>
      <c r="H2132" t="s">
        <v>8365</v>
      </c>
      <c r="I2132" t="s">
        <v>34</v>
      </c>
      <c r="J2132" t="s">
        <v>2513</v>
      </c>
    </row>
    <row r="2133" spans="1:10" x14ac:dyDescent="0.25">
      <c r="A2133" t="s">
        <v>8366</v>
      </c>
      <c r="B2133" s="3">
        <v>46314</v>
      </c>
      <c r="C2133" t="s">
        <v>646</v>
      </c>
      <c r="D2133" t="s">
        <v>599</v>
      </c>
      <c r="E2133">
        <v>45</v>
      </c>
      <c r="F2133" t="s">
        <v>2</v>
      </c>
      <c r="G2133" t="s">
        <v>4231</v>
      </c>
      <c r="H2133" t="s">
        <v>8367</v>
      </c>
      <c r="I2133" t="s">
        <v>294</v>
      </c>
      <c r="J2133" t="s">
        <v>2503</v>
      </c>
    </row>
    <row r="2134" spans="1:10" x14ac:dyDescent="0.25">
      <c r="A2134" t="s">
        <v>8368</v>
      </c>
      <c r="B2134" s="3">
        <v>46314</v>
      </c>
      <c r="C2134" t="s">
        <v>498</v>
      </c>
      <c r="D2134" t="s">
        <v>488</v>
      </c>
      <c r="E2134">
        <v>27</v>
      </c>
      <c r="F2134" t="s">
        <v>469</v>
      </c>
      <c r="G2134" t="s">
        <v>4228</v>
      </c>
      <c r="H2134" t="s">
        <v>8369</v>
      </c>
      <c r="I2134" t="s">
        <v>52</v>
      </c>
      <c r="J2134" t="s">
        <v>2503</v>
      </c>
    </row>
    <row r="2135" spans="1:10" x14ac:dyDescent="0.25">
      <c r="A2135" t="s">
        <v>8370</v>
      </c>
      <c r="B2135" s="3">
        <v>46314</v>
      </c>
      <c r="C2135" t="s">
        <v>111</v>
      </c>
      <c r="D2135" t="s">
        <v>66</v>
      </c>
      <c r="E2135">
        <v>47</v>
      </c>
      <c r="F2135" t="s">
        <v>2</v>
      </c>
      <c r="G2135" t="s">
        <v>4228</v>
      </c>
      <c r="H2135" t="s">
        <v>8105</v>
      </c>
      <c r="I2135" t="s">
        <v>104</v>
      </c>
      <c r="J2135" t="s">
        <v>2500</v>
      </c>
    </row>
    <row r="2136" spans="1:10" x14ac:dyDescent="0.25">
      <c r="A2136" t="s">
        <v>8371</v>
      </c>
      <c r="B2136" s="3">
        <v>46314</v>
      </c>
      <c r="C2136" t="s">
        <v>184</v>
      </c>
      <c r="D2136" t="s">
        <v>15</v>
      </c>
      <c r="E2136">
        <v>14</v>
      </c>
      <c r="F2136" t="s">
        <v>2</v>
      </c>
      <c r="G2136" t="s">
        <v>4222</v>
      </c>
      <c r="H2136" t="s">
        <v>8372</v>
      </c>
      <c r="I2136" t="s">
        <v>185</v>
      </c>
      <c r="J2136" t="s">
        <v>2503</v>
      </c>
    </row>
    <row r="2137" spans="1:10" x14ac:dyDescent="0.25">
      <c r="A2137" t="s">
        <v>8373</v>
      </c>
      <c r="B2137" s="3">
        <v>46314</v>
      </c>
      <c r="C2137" t="s">
        <v>549</v>
      </c>
      <c r="D2137" t="s">
        <v>474</v>
      </c>
      <c r="E2137">
        <v>28</v>
      </c>
      <c r="F2137" t="s">
        <v>2</v>
      </c>
      <c r="G2137" t="s">
        <v>4228</v>
      </c>
      <c r="H2137" t="s">
        <v>8374</v>
      </c>
      <c r="I2137" t="s">
        <v>297</v>
      </c>
      <c r="J2137" t="s">
        <v>2513</v>
      </c>
    </row>
    <row r="2138" spans="1:10" x14ac:dyDescent="0.25">
      <c r="A2138" t="s">
        <v>8375</v>
      </c>
      <c r="B2138" s="3">
        <v>46314</v>
      </c>
      <c r="C2138" t="s">
        <v>406</v>
      </c>
      <c r="D2138" t="s">
        <v>366</v>
      </c>
      <c r="E2138">
        <v>41</v>
      </c>
      <c r="F2138" t="s">
        <v>2</v>
      </c>
      <c r="G2138" t="s">
        <v>4228</v>
      </c>
      <c r="H2138" t="s">
        <v>8376</v>
      </c>
      <c r="I2138" t="s">
        <v>64</v>
      </c>
      <c r="J2138" t="s">
        <v>2503</v>
      </c>
    </row>
    <row r="2139" spans="1:10" x14ac:dyDescent="0.25">
      <c r="A2139" t="s">
        <v>8377</v>
      </c>
      <c r="B2139" s="3">
        <v>46314</v>
      </c>
      <c r="C2139" t="s">
        <v>495</v>
      </c>
      <c r="D2139" t="s">
        <v>467</v>
      </c>
      <c r="E2139">
        <v>54</v>
      </c>
      <c r="F2139" t="s">
        <v>469</v>
      </c>
      <c r="G2139" t="s">
        <v>4231</v>
      </c>
      <c r="H2139" t="s">
        <v>8378</v>
      </c>
      <c r="I2139" t="s">
        <v>368</v>
      </c>
      <c r="J2139" t="s">
        <v>2503</v>
      </c>
    </row>
    <row r="2140" spans="1:10" x14ac:dyDescent="0.25">
      <c r="A2140" t="s">
        <v>8379</v>
      </c>
      <c r="B2140" s="3">
        <v>46314</v>
      </c>
      <c r="C2140" t="s">
        <v>168</v>
      </c>
      <c r="D2140" t="s">
        <v>1</v>
      </c>
      <c r="E2140">
        <v>40</v>
      </c>
      <c r="F2140" t="s">
        <v>2</v>
      </c>
      <c r="G2140" t="s">
        <v>4225</v>
      </c>
      <c r="H2140" t="s">
        <v>8380</v>
      </c>
      <c r="I2140" t="s">
        <v>124</v>
      </c>
      <c r="J2140" t="s">
        <v>2503</v>
      </c>
    </row>
    <row r="2141" spans="1:10" x14ac:dyDescent="0.25">
      <c r="A2141" t="s">
        <v>8381</v>
      </c>
      <c r="B2141" s="3">
        <v>46314</v>
      </c>
      <c r="C2141" t="s">
        <v>253</v>
      </c>
      <c r="D2141" t="s">
        <v>216</v>
      </c>
      <c r="E2141">
        <v>27</v>
      </c>
      <c r="F2141" t="s">
        <v>2</v>
      </c>
      <c r="G2141" t="s">
        <v>4231</v>
      </c>
      <c r="H2141" t="s">
        <v>8382</v>
      </c>
      <c r="I2141" t="s">
        <v>71</v>
      </c>
      <c r="J2141" t="s">
        <v>2509</v>
      </c>
    </row>
    <row r="2142" spans="1:10" x14ac:dyDescent="0.25">
      <c r="A2142" t="s">
        <v>8383</v>
      </c>
      <c r="B2142" s="3">
        <v>46314</v>
      </c>
      <c r="C2142" t="s">
        <v>433</v>
      </c>
      <c r="D2142" t="s">
        <v>354</v>
      </c>
      <c r="E2142">
        <v>38</v>
      </c>
      <c r="F2142" t="s">
        <v>355</v>
      </c>
      <c r="G2142" t="s">
        <v>4234</v>
      </c>
      <c r="H2142" t="s">
        <v>8384</v>
      </c>
      <c r="I2142" t="s">
        <v>203</v>
      </c>
      <c r="J2142" t="s">
        <v>2513</v>
      </c>
    </row>
    <row r="2143" spans="1:10" x14ac:dyDescent="0.25">
      <c r="A2143" t="s">
        <v>8385</v>
      </c>
      <c r="B2143" s="3">
        <v>46314</v>
      </c>
      <c r="C2143" t="s">
        <v>103</v>
      </c>
      <c r="D2143" t="s">
        <v>29</v>
      </c>
      <c r="E2143">
        <v>29</v>
      </c>
      <c r="F2143" t="s">
        <v>2</v>
      </c>
      <c r="G2143" t="s">
        <v>4231</v>
      </c>
      <c r="H2143" t="s">
        <v>7795</v>
      </c>
      <c r="I2143" t="s">
        <v>104</v>
      </c>
      <c r="J2143" t="s">
        <v>2509</v>
      </c>
    </row>
    <row r="2144" spans="1:10" x14ac:dyDescent="0.25">
      <c r="A2144" t="s">
        <v>8386</v>
      </c>
      <c r="B2144" s="3">
        <v>46314</v>
      </c>
      <c r="C2144" t="s">
        <v>105</v>
      </c>
      <c r="D2144" t="s">
        <v>44</v>
      </c>
      <c r="E2144">
        <v>28</v>
      </c>
      <c r="F2144" t="s">
        <v>2</v>
      </c>
      <c r="G2144" t="s">
        <v>4228</v>
      </c>
      <c r="H2144" t="s">
        <v>8387</v>
      </c>
      <c r="I2144" t="s">
        <v>106</v>
      </c>
      <c r="J2144" t="s">
        <v>2509</v>
      </c>
    </row>
    <row r="2145" spans="1:10" x14ac:dyDescent="0.25">
      <c r="A2145" t="s">
        <v>8388</v>
      </c>
      <c r="B2145" s="3">
        <v>46314</v>
      </c>
      <c r="C2145" t="s">
        <v>562</v>
      </c>
      <c r="D2145" t="s">
        <v>502</v>
      </c>
      <c r="E2145">
        <v>52</v>
      </c>
      <c r="F2145" t="s">
        <v>469</v>
      </c>
      <c r="G2145" t="s">
        <v>4231</v>
      </c>
      <c r="H2145" t="s">
        <v>8389</v>
      </c>
      <c r="I2145" t="s">
        <v>104</v>
      </c>
      <c r="J2145" t="s">
        <v>2500</v>
      </c>
    </row>
    <row r="2146" spans="1:10" x14ac:dyDescent="0.25">
      <c r="A2146" t="s">
        <v>8390</v>
      </c>
      <c r="B2146" s="3">
        <v>46314</v>
      </c>
      <c r="C2146" t="s">
        <v>146</v>
      </c>
      <c r="D2146" t="s">
        <v>1</v>
      </c>
      <c r="E2146">
        <v>16</v>
      </c>
      <c r="F2146" t="s">
        <v>2</v>
      </c>
      <c r="G2146" t="s">
        <v>4228</v>
      </c>
      <c r="H2146" t="s">
        <v>8391</v>
      </c>
      <c r="I2146" t="s">
        <v>147</v>
      </c>
      <c r="J2146" t="s">
        <v>2509</v>
      </c>
    </row>
    <row r="2147" spans="1:10" x14ac:dyDescent="0.25">
      <c r="A2147" t="s">
        <v>8392</v>
      </c>
      <c r="B2147" s="3">
        <v>46314</v>
      </c>
      <c r="C2147" t="s">
        <v>403</v>
      </c>
      <c r="D2147" t="s">
        <v>364</v>
      </c>
      <c r="E2147">
        <v>34</v>
      </c>
      <c r="F2147" t="s">
        <v>358</v>
      </c>
      <c r="G2147" t="s">
        <v>4222</v>
      </c>
      <c r="H2147" t="s">
        <v>8393</v>
      </c>
      <c r="I2147" t="s">
        <v>117</v>
      </c>
      <c r="J2147" t="s">
        <v>2503</v>
      </c>
    </row>
    <row r="2148" spans="1:10" x14ac:dyDescent="0.25">
      <c r="A2148" t="s">
        <v>8394</v>
      </c>
      <c r="B2148" s="3">
        <v>46314</v>
      </c>
      <c r="C2148" t="s">
        <v>241</v>
      </c>
      <c r="D2148" t="s">
        <v>223</v>
      </c>
      <c r="E2148">
        <v>28</v>
      </c>
      <c r="F2148" t="s">
        <v>2</v>
      </c>
      <c r="G2148" t="s">
        <v>4234</v>
      </c>
      <c r="H2148" t="s">
        <v>8395</v>
      </c>
      <c r="I2148" t="s">
        <v>242</v>
      </c>
      <c r="J2148" t="s">
        <v>2513</v>
      </c>
    </row>
    <row r="2149" spans="1:10" x14ac:dyDescent="0.25">
      <c r="A2149" t="s">
        <v>8396</v>
      </c>
      <c r="B2149" s="3">
        <v>46314</v>
      </c>
      <c r="C2149" t="s">
        <v>435</v>
      </c>
      <c r="D2149" t="s">
        <v>357</v>
      </c>
      <c r="E2149">
        <v>25</v>
      </c>
      <c r="F2149" t="s">
        <v>358</v>
      </c>
      <c r="G2149" t="s">
        <v>4222</v>
      </c>
      <c r="H2149" t="s">
        <v>8397</v>
      </c>
      <c r="I2149" t="s">
        <v>183</v>
      </c>
      <c r="J2149" t="s">
        <v>2500</v>
      </c>
    </row>
    <row r="2150" spans="1:10" x14ac:dyDescent="0.25">
      <c r="A2150" t="s">
        <v>8398</v>
      </c>
      <c r="B2150" s="3">
        <v>46314</v>
      </c>
      <c r="C2150" t="s">
        <v>288</v>
      </c>
      <c r="D2150" t="s">
        <v>261</v>
      </c>
      <c r="E2150">
        <v>9</v>
      </c>
      <c r="F2150" t="s">
        <v>2</v>
      </c>
      <c r="G2150" t="s">
        <v>4222</v>
      </c>
      <c r="H2150" t="s">
        <v>8399</v>
      </c>
      <c r="I2150" t="s">
        <v>289</v>
      </c>
      <c r="J2150" t="s">
        <v>2509</v>
      </c>
    </row>
    <row r="2151" spans="1:10" x14ac:dyDescent="0.25">
      <c r="A2151" t="s">
        <v>8400</v>
      </c>
      <c r="B2151" s="3">
        <v>46314</v>
      </c>
      <c r="C2151" t="s">
        <v>557</v>
      </c>
      <c r="D2151" t="s">
        <v>474</v>
      </c>
      <c r="E2151">
        <v>21</v>
      </c>
      <c r="F2151" t="s">
        <v>2</v>
      </c>
      <c r="G2151" t="s">
        <v>4225</v>
      </c>
      <c r="H2151" t="s">
        <v>8401</v>
      </c>
      <c r="I2151" t="s">
        <v>297</v>
      </c>
      <c r="J2151" t="s">
        <v>2503</v>
      </c>
    </row>
    <row r="2152" spans="1:10" x14ac:dyDescent="0.25">
      <c r="A2152" t="s">
        <v>8402</v>
      </c>
      <c r="B2152" s="3">
        <v>46314</v>
      </c>
      <c r="C2152" t="s">
        <v>480</v>
      </c>
      <c r="D2152" t="s">
        <v>481</v>
      </c>
      <c r="E2152">
        <v>4</v>
      </c>
      <c r="F2152" t="s">
        <v>2</v>
      </c>
      <c r="G2152" t="s">
        <v>4234</v>
      </c>
      <c r="H2152" t="s">
        <v>8403</v>
      </c>
      <c r="I2152" t="s">
        <v>297</v>
      </c>
      <c r="J2152" t="s">
        <v>2500</v>
      </c>
    </row>
    <row r="2153" spans="1:10" x14ac:dyDescent="0.25">
      <c r="A2153" t="s">
        <v>8404</v>
      </c>
      <c r="B2153" s="3">
        <v>46314</v>
      </c>
      <c r="C2153" t="s">
        <v>444</v>
      </c>
      <c r="D2153" t="s">
        <v>364</v>
      </c>
      <c r="E2153">
        <v>51</v>
      </c>
      <c r="F2153" t="s">
        <v>358</v>
      </c>
      <c r="G2153" t="s">
        <v>4225</v>
      </c>
      <c r="H2153" t="s">
        <v>8405</v>
      </c>
      <c r="I2153" t="s">
        <v>330</v>
      </c>
      <c r="J2153" t="s">
        <v>2503</v>
      </c>
    </row>
    <row r="2154" spans="1:10" x14ac:dyDescent="0.25">
      <c r="A2154" t="s">
        <v>8406</v>
      </c>
      <c r="B2154" s="3">
        <v>46314</v>
      </c>
      <c r="C2154" t="s">
        <v>686</v>
      </c>
      <c r="D2154" t="s">
        <v>589</v>
      </c>
      <c r="E2154">
        <v>3</v>
      </c>
      <c r="F2154" t="s">
        <v>469</v>
      </c>
      <c r="G2154" t="s">
        <v>4225</v>
      </c>
      <c r="H2154" t="s">
        <v>8407</v>
      </c>
      <c r="I2154" t="s">
        <v>185</v>
      </c>
      <c r="J2154" t="s">
        <v>2503</v>
      </c>
    </row>
    <row r="2155" spans="1:10" x14ac:dyDescent="0.25">
      <c r="A2155" t="s">
        <v>8408</v>
      </c>
      <c r="B2155" s="3">
        <v>46314</v>
      </c>
      <c r="C2155" t="s">
        <v>516</v>
      </c>
      <c r="D2155" t="s">
        <v>481</v>
      </c>
      <c r="E2155">
        <v>45</v>
      </c>
      <c r="F2155" t="s">
        <v>2</v>
      </c>
      <c r="G2155" t="s">
        <v>4222</v>
      </c>
      <c r="H2155" t="s">
        <v>8409</v>
      </c>
      <c r="I2155" t="s">
        <v>314</v>
      </c>
      <c r="J2155" t="s">
        <v>2513</v>
      </c>
    </row>
    <row r="2156" spans="1:10" x14ac:dyDescent="0.25">
      <c r="A2156" t="s">
        <v>8410</v>
      </c>
      <c r="B2156" s="3">
        <v>46314</v>
      </c>
      <c r="C2156" t="s">
        <v>501</v>
      </c>
      <c r="D2156" t="s">
        <v>502</v>
      </c>
      <c r="E2156">
        <v>14</v>
      </c>
      <c r="F2156" t="s">
        <v>469</v>
      </c>
      <c r="G2156" t="s">
        <v>4225</v>
      </c>
      <c r="H2156" t="s">
        <v>8411</v>
      </c>
      <c r="I2156" t="s">
        <v>292</v>
      </c>
      <c r="J2156" t="s">
        <v>2500</v>
      </c>
    </row>
    <row r="2157" spans="1:10" x14ac:dyDescent="0.25">
      <c r="A2157" t="s">
        <v>8412</v>
      </c>
      <c r="B2157" s="3">
        <v>46314</v>
      </c>
      <c r="C2157" t="s">
        <v>682</v>
      </c>
      <c r="D2157" t="s">
        <v>602</v>
      </c>
      <c r="E2157">
        <v>3</v>
      </c>
      <c r="F2157" t="s">
        <v>2</v>
      </c>
      <c r="G2157" t="s">
        <v>4225</v>
      </c>
      <c r="H2157" t="s">
        <v>8413</v>
      </c>
      <c r="I2157" t="s">
        <v>287</v>
      </c>
      <c r="J2157" t="s">
        <v>2509</v>
      </c>
    </row>
    <row r="2158" spans="1:10" x14ac:dyDescent="0.25">
      <c r="A2158" t="s">
        <v>8414</v>
      </c>
      <c r="B2158" s="3">
        <v>46314</v>
      </c>
      <c r="C2158" t="s">
        <v>591</v>
      </c>
      <c r="D2158" t="s">
        <v>585</v>
      </c>
      <c r="E2158">
        <v>29</v>
      </c>
      <c r="F2158" t="s">
        <v>355</v>
      </c>
      <c r="G2158" t="s">
        <v>4231</v>
      </c>
      <c r="H2158" t="s">
        <v>7337</v>
      </c>
      <c r="I2158" t="s">
        <v>368</v>
      </c>
      <c r="J2158" t="s">
        <v>2503</v>
      </c>
    </row>
    <row r="2159" spans="1:10" x14ac:dyDescent="0.25">
      <c r="A2159" t="s">
        <v>8415</v>
      </c>
      <c r="B2159" s="3">
        <v>46314</v>
      </c>
      <c r="C2159" t="s">
        <v>465</v>
      </c>
      <c r="D2159" t="s">
        <v>357</v>
      </c>
      <c r="E2159">
        <v>38</v>
      </c>
      <c r="F2159" t="s">
        <v>358</v>
      </c>
      <c r="G2159" t="s">
        <v>4225</v>
      </c>
      <c r="H2159" t="s">
        <v>8416</v>
      </c>
      <c r="I2159" t="s">
        <v>221</v>
      </c>
      <c r="J2159" t="s">
        <v>2500</v>
      </c>
    </row>
    <row r="2160" spans="1:10" x14ac:dyDescent="0.25">
      <c r="A2160" t="s">
        <v>8417</v>
      </c>
      <c r="B2160" s="3">
        <v>46314</v>
      </c>
      <c r="C2160" t="s">
        <v>614</v>
      </c>
      <c r="D2160" t="s">
        <v>587</v>
      </c>
      <c r="E2160">
        <v>19</v>
      </c>
      <c r="F2160" t="s">
        <v>2</v>
      </c>
      <c r="G2160" t="s">
        <v>4231</v>
      </c>
      <c r="H2160" t="s">
        <v>8418</v>
      </c>
      <c r="I2160" t="s">
        <v>193</v>
      </c>
      <c r="J2160" t="s">
        <v>2503</v>
      </c>
    </row>
    <row r="2161" spans="1:10" x14ac:dyDescent="0.25">
      <c r="A2161" t="s">
        <v>8419</v>
      </c>
      <c r="B2161" s="3">
        <v>46315</v>
      </c>
      <c r="C2161" t="s">
        <v>550</v>
      </c>
      <c r="D2161" t="s">
        <v>481</v>
      </c>
      <c r="E2161">
        <v>38</v>
      </c>
      <c r="F2161" t="s">
        <v>2</v>
      </c>
      <c r="G2161" t="s">
        <v>4231</v>
      </c>
      <c r="H2161" t="s">
        <v>8420</v>
      </c>
      <c r="I2161" t="s">
        <v>59</v>
      </c>
      <c r="J2161" t="s">
        <v>2513</v>
      </c>
    </row>
    <row r="2162" spans="1:10" x14ac:dyDescent="0.25">
      <c r="A2162" t="s">
        <v>8421</v>
      </c>
      <c r="B2162" s="3">
        <v>46315</v>
      </c>
      <c r="C2162" t="s">
        <v>676</v>
      </c>
      <c r="D2162" t="s">
        <v>612</v>
      </c>
      <c r="E2162">
        <v>7</v>
      </c>
      <c r="F2162" t="s">
        <v>2</v>
      </c>
      <c r="G2162" t="s">
        <v>4234</v>
      </c>
      <c r="H2162" t="s">
        <v>8422</v>
      </c>
      <c r="I2162" t="s">
        <v>677</v>
      </c>
      <c r="J2162" t="s">
        <v>2509</v>
      </c>
    </row>
    <row r="2163" spans="1:10" x14ac:dyDescent="0.25">
      <c r="A2163" t="s">
        <v>8423</v>
      </c>
      <c r="B2163" s="3">
        <v>46315</v>
      </c>
      <c r="C2163" t="s">
        <v>88</v>
      </c>
      <c r="D2163" t="s">
        <v>26</v>
      </c>
      <c r="E2163">
        <v>48</v>
      </c>
      <c r="F2163" t="s">
        <v>2</v>
      </c>
      <c r="G2163" t="s">
        <v>4222</v>
      </c>
      <c r="H2163" t="s">
        <v>8424</v>
      </c>
      <c r="I2163" t="s">
        <v>89</v>
      </c>
      <c r="J2163" t="s">
        <v>2513</v>
      </c>
    </row>
    <row r="2164" spans="1:10" x14ac:dyDescent="0.25">
      <c r="A2164" t="s">
        <v>8425</v>
      </c>
      <c r="B2164" s="3">
        <v>46315</v>
      </c>
      <c r="C2164" t="s">
        <v>341</v>
      </c>
      <c r="D2164" t="s">
        <v>234</v>
      </c>
      <c r="E2164">
        <v>25</v>
      </c>
      <c r="F2164" t="s">
        <v>2</v>
      </c>
      <c r="G2164" t="s">
        <v>4234</v>
      </c>
      <c r="H2164" t="s">
        <v>7211</v>
      </c>
      <c r="I2164" t="s">
        <v>161</v>
      </c>
      <c r="J2164" t="s">
        <v>2509</v>
      </c>
    </row>
    <row r="2165" spans="1:10" x14ac:dyDescent="0.25">
      <c r="A2165" t="s">
        <v>8426</v>
      </c>
      <c r="B2165" s="3">
        <v>46315</v>
      </c>
      <c r="C2165" t="s">
        <v>328</v>
      </c>
      <c r="D2165" t="s">
        <v>240</v>
      </c>
      <c r="E2165">
        <v>4</v>
      </c>
      <c r="F2165" t="s">
        <v>2</v>
      </c>
      <c r="G2165" t="s">
        <v>4225</v>
      </c>
      <c r="H2165" t="s">
        <v>8427</v>
      </c>
      <c r="I2165" t="s">
        <v>189</v>
      </c>
      <c r="J2165" t="s">
        <v>2513</v>
      </c>
    </row>
    <row r="2166" spans="1:10" x14ac:dyDescent="0.25">
      <c r="A2166" t="s">
        <v>8428</v>
      </c>
      <c r="B2166" s="3">
        <v>46315</v>
      </c>
      <c r="C2166" t="s">
        <v>137</v>
      </c>
      <c r="D2166" t="s">
        <v>44</v>
      </c>
      <c r="E2166">
        <v>8</v>
      </c>
      <c r="F2166" t="s">
        <v>2</v>
      </c>
      <c r="G2166" t="s">
        <v>4231</v>
      </c>
      <c r="H2166" t="s">
        <v>8429</v>
      </c>
      <c r="I2166" t="s">
        <v>38</v>
      </c>
      <c r="J2166" t="s">
        <v>2513</v>
      </c>
    </row>
    <row r="2167" spans="1:10" x14ac:dyDescent="0.25">
      <c r="A2167" t="s">
        <v>8430</v>
      </c>
      <c r="B2167" s="3">
        <v>46315</v>
      </c>
      <c r="C2167" t="s">
        <v>284</v>
      </c>
      <c r="D2167" t="s">
        <v>213</v>
      </c>
      <c r="E2167">
        <v>40</v>
      </c>
      <c r="F2167" t="s">
        <v>2</v>
      </c>
      <c r="G2167" t="s">
        <v>4225</v>
      </c>
      <c r="H2167" t="s">
        <v>8431</v>
      </c>
      <c r="I2167" t="s">
        <v>108</v>
      </c>
      <c r="J2167" t="s">
        <v>2513</v>
      </c>
    </row>
    <row r="2168" spans="1:10" x14ac:dyDescent="0.25">
      <c r="A2168" t="s">
        <v>8432</v>
      </c>
      <c r="B2168" s="3">
        <v>46315</v>
      </c>
      <c r="C2168" t="s">
        <v>157</v>
      </c>
      <c r="D2168" t="s">
        <v>44</v>
      </c>
      <c r="E2168">
        <v>5</v>
      </c>
      <c r="F2168" t="s">
        <v>2</v>
      </c>
      <c r="G2168" t="s">
        <v>4222</v>
      </c>
      <c r="H2168" t="s">
        <v>7698</v>
      </c>
      <c r="I2168" t="s">
        <v>158</v>
      </c>
      <c r="J2168" t="s">
        <v>2500</v>
      </c>
    </row>
    <row r="2169" spans="1:10" x14ac:dyDescent="0.25">
      <c r="A2169" t="s">
        <v>8433</v>
      </c>
      <c r="B2169" s="3">
        <v>46315</v>
      </c>
      <c r="C2169" t="s">
        <v>617</v>
      </c>
      <c r="D2169" t="s">
        <v>594</v>
      </c>
      <c r="E2169">
        <v>22</v>
      </c>
      <c r="F2169" t="s">
        <v>595</v>
      </c>
      <c r="G2169" t="s">
        <v>4231</v>
      </c>
      <c r="H2169" t="s">
        <v>8434</v>
      </c>
      <c r="I2169" t="s">
        <v>259</v>
      </c>
      <c r="J2169" t="s">
        <v>2513</v>
      </c>
    </row>
    <row r="2170" spans="1:10" x14ac:dyDescent="0.25">
      <c r="A2170" t="s">
        <v>8435</v>
      </c>
      <c r="B2170" s="3">
        <v>46315</v>
      </c>
      <c r="C2170" t="s">
        <v>84</v>
      </c>
      <c r="D2170" t="s">
        <v>1</v>
      </c>
      <c r="E2170">
        <v>45</v>
      </c>
      <c r="F2170" t="s">
        <v>2</v>
      </c>
      <c r="G2170" t="s">
        <v>4234</v>
      </c>
      <c r="H2170" t="s">
        <v>8436</v>
      </c>
      <c r="I2170" t="s">
        <v>87</v>
      </c>
      <c r="J2170" t="s">
        <v>2503</v>
      </c>
    </row>
    <row r="2171" spans="1:10" x14ac:dyDescent="0.25">
      <c r="A2171" t="s">
        <v>8437</v>
      </c>
      <c r="B2171" s="3">
        <v>46315</v>
      </c>
      <c r="C2171" t="s">
        <v>487</v>
      </c>
      <c r="D2171" t="s">
        <v>488</v>
      </c>
      <c r="E2171">
        <v>47</v>
      </c>
      <c r="F2171" t="s">
        <v>469</v>
      </c>
      <c r="G2171" t="s">
        <v>4222</v>
      </c>
      <c r="H2171" t="s">
        <v>8438</v>
      </c>
      <c r="I2171" t="s">
        <v>142</v>
      </c>
      <c r="J2171" t="s">
        <v>2503</v>
      </c>
    </row>
    <row r="2172" spans="1:10" x14ac:dyDescent="0.25">
      <c r="A2172" t="s">
        <v>8439</v>
      </c>
      <c r="B2172" s="3">
        <v>46315</v>
      </c>
      <c r="C2172" t="s">
        <v>615</v>
      </c>
      <c r="D2172" t="s">
        <v>589</v>
      </c>
      <c r="E2172">
        <v>44</v>
      </c>
      <c r="F2172" t="s">
        <v>469</v>
      </c>
      <c r="G2172" t="s">
        <v>4222</v>
      </c>
      <c r="H2172" t="s">
        <v>8440</v>
      </c>
      <c r="I2172" t="s">
        <v>95</v>
      </c>
      <c r="J2172" t="s">
        <v>2503</v>
      </c>
    </row>
    <row r="2173" spans="1:10" x14ac:dyDescent="0.25">
      <c r="A2173" t="s">
        <v>8441</v>
      </c>
      <c r="B2173" s="3">
        <v>46315</v>
      </c>
      <c r="C2173" t="s">
        <v>303</v>
      </c>
      <c r="D2173" t="s">
        <v>261</v>
      </c>
      <c r="E2173">
        <v>45</v>
      </c>
      <c r="F2173" t="s">
        <v>2</v>
      </c>
      <c r="G2173" t="s">
        <v>4231</v>
      </c>
      <c r="H2173" t="s">
        <v>8442</v>
      </c>
      <c r="I2173" t="s">
        <v>67</v>
      </c>
      <c r="J2173" t="s">
        <v>2503</v>
      </c>
    </row>
    <row r="2174" spans="1:10" x14ac:dyDescent="0.25">
      <c r="A2174" t="s">
        <v>8443</v>
      </c>
      <c r="B2174" s="3">
        <v>46315</v>
      </c>
      <c r="C2174" t="s">
        <v>688</v>
      </c>
      <c r="D2174" t="s">
        <v>589</v>
      </c>
      <c r="E2174">
        <v>7</v>
      </c>
      <c r="F2174" t="s">
        <v>469</v>
      </c>
      <c r="G2174" t="s">
        <v>4222</v>
      </c>
      <c r="H2174" t="s">
        <v>8444</v>
      </c>
      <c r="I2174" t="s">
        <v>133</v>
      </c>
      <c r="J2174" t="s">
        <v>2513</v>
      </c>
    </row>
    <row r="2175" spans="1:10" x14ac:dyDescent="0.25">
      <c r="A2175" t="s">
        <v>8445</v>
      </c>
      <c r="B2175" s="3">
        <v>46315</v>
      </c>
      <c r="C2175" t="s">
        <v>308</v>
      </c>
      <c r="D2175" t="s">
        <v>227</v>
      </c>
      <c r="E2175">
        <v>27</v>
      </c>
      <c r="F2175" t="s">
        <v>2</v>
      </c>
      <c r="G2175" t="s">
        <v>4222</v>
      </c>
      <c r="H2175" t="s">
        <v>6901</v>
      </c>
      <c r="I2175" t="s">
        <v>259</v>
      </c>
      <c r="J2175" t="s">
        <v>2500</v>
      </c>
    </row>
    <row r="2176" spans="1:10" x14ac:dyDescent="0.25">
      <c r="A2176" t="s">
        <v>8446</v>
      </c>
      <c r="B2176" s="3">
        <v>46315</v>
      </c>
      <c r="C2176" t="s">
        <v>638</v>
      </c>
      <c r="D2176" t="s">
        <v>612</v>
      </c>
      <c r="E2176">
        <v>43</v>
      </c>
      <c r="F2176" t="s">
        <v>2</v>
      </c>
      <c r="G2176" t="s">
        <v>4228</v>
      </c>
      <c r="H2176" t="s">
        <v>7072</v>
      </c>
      <c r="I2176" t="s">
        <v>100</v>
      </c>
      <c r="J2176" t="s">
        <v>2500</v>
      </c>
    </row>
    <row r="2177" spans="1:10" x14ac:dyDescent="0.25">
      <c r="A2177" t="s">
        <v>8447</v>
      </c>
      <c r="B2177" s="3">
        <v>46315</v>
      </c>
      <c r="C2177" t="s">
        <v>466</v>
      </c>
      <c r="D2177" t="s">
        <v>467</v>
      </c>
      <c r="E2177">
        <v>20</v>
      </c>
      <c r="F2177" t="s">
        <v>469</v>
      </c>
      <c r="G2177" t="s">
        <v>4231</v>
      </c>
      <c r="H2177" t="s">
        <v>8448</v>
      </c>
      <c r="I2177" t="s">
        <v>106</v>
      </c>
      <c r="J2177" t="s">
        <v>2500</v>
      </c>
    </row>
    <row r="2178" spans="1:10" x14ac:dyDescent="0.25">
      <c r="A2178" t="s">
        <v>8449</v>
      </c>
      <c r="B2178" s="3">
        <v>46315</v>
      </c>
      <c r="C2178" t="s">
        <v>473</v>
      </c>
      <c r="D2178" t="s">
        <v>474</v>
      </c>
      <c r="E2178">
        <v>39</v>
      </c>
      <c r="F2178" t="s">
        <v>2</v>
      </c>
      <c r="G2178" t="s">
        <v>4228</v>
      </c>
      <c r="H2178" t="s">
        <v>8450</v>
      </c>
      <c r="I2178" t="s">
        <v>164</v>
      </c>
      <c r="J2178" t="s">
        <v>2500</v>
      </c>
    </row>
    <row r="2179" spans="1:10" x14ac:dyDescent="0.25">
      <c r="A2179" t="s">
        <v>8451</v>
      </c>
      <c r="B2179" s="3">
        <v>46315</v>
      </c>
      <c r="C2179" t="s">
        <v>375</v>
      </c>
      <c r="D2179" t="s">
        <v>364</v>
      </c>
      <c r="E2179">
        <v>18</v>
      </c>
      <c r="F2179" t="s">
        <v>358</v>
      </c>
      <c r="G2179" t="s">
        <v>4231</v>
      </c>
      <c r="H2179" t="s">
        <v>7138</v>
      </c>
      <c r="I2179" t="s">
        <v>110</v>
      </c>
      <c r="J2179" t="s">
        <v>2500</v>
      </c>
    </row>
    <row r="2180" spans="1:10" x14ac:dyDescent="0.25">
      <c r="A2180" t="s">
        <v>8452</v>
      </c>
      <c r="B2180" s="3">
        <v>46315</v>
      </c>
      <c r="C2180" t="s">
        <v>302</v>
      </c>
      <c r="D2180" t="s">
        <v>261</v>
      </c>
      <c r="E2180">
        <v>47</v>
      </c>
      <c r="F2180" t="s">
        <v>2</v>
      </c>
      <c r="G2180" t="s">
        <v>4225</v>
      </c>
      <c r="H2180" t="s">
        <v>8453</v>
      </c>
      <c r="I2180" t="s">
        <v>133</v>
      </c>
      <c r="J2180" t="s">
        <v>2513</v>
      </c>
    </row>
    <row r="2181" spans="1:10" x14ac:dyDescent="0.25">
      <c r="A2181" t="s">
        <v>8454</v>
      </c>
      <c r="B2181" s="3">
        <v>46315</v>
      </c>
      <c r="C2181" t="s">
        <v>656</v>
      </c>
      <c r="D2181" t="s">
        <v>597</v>
      </c>
      <c r="E2181">
        <v>29</v>
      </c>
      <c r="F2181" t="s">
        <v>355</v>
      </c>
      <c r="G2181" t="s">
        <v>4234</v>
      </c>
      <c r="H2181" t="s">
        <v>8455</v>
      </c>
      <c r="I2181" t="s">
        <v>95</v>
      </c>
      <c r="J2181" t="s">
        <v>2503</v>
      </c>
    </row>
    <row r="2182" spans="1:10" x14ac:dyDescent="0.25">
      <c r="A2182" t="s">
        <v>8456</v>
      </c>
      <c r="B2182" s="3">
        <v>46315</v>
      </c>
      <c r="C2182" t="s">
        <v>666</v>
      </c>
      <c r="D2182" t="s">
        <v>599</v>
      </c>
      <c r="E2182">
        <v>27</v>
      </c>
      <c r="F2182" t="s">
        <v>2</v>
      </c>
      <c r="G2182" t="s">
        <v>4234</v>
      </c>
      <c r="H2182" t="s">
        <v>8457</v>
      </c>
      <c r="I2182" t="s">
        <v>455</v>
      </c>
      <c r="J2182" t="s">
        <v>2513</v>
      </c>
    </row>
    <row r="2183" spans="1:10" x14ac:dyDescent="0.25">
      <c r="A2183" t="s">
        <v>8458</v>
      </c>
      <c r="B2183" s="3">
        <v>46315</v>
      </c>
      <c r="C2183" t="s">
        <v>478</v>
      </c>
      <c r="D2183" t="s">
        <v>479</v>
      </c>
      <c r="E2183">
        <v>19</v>
      </c>
      <c r="F2183" t="s">
        <v>469</v>
      </c>
      <c r="G2183" t="s">
        <v>4222</v>
      </c>
      <c r="H2183" t="s">
        <v>8459</v>
      </c>
      <c r="I2183" t="s">
        <v>133</v>
      </c>
      <c r="J2183" t="s">
        <v>2509</v>
      </c>
    </row>
    <row r="2184" spans="1:10" x14ac:dyDescent="0.25">
      <c r="A2184" t="s">
        <v>8460</v>
      </c>
      <c r="B2184" s="3">
        <v>46315</v>
      </c>
      <c r="C2184" t="s">
        <v>680</v>
      </c>
      <c r="D2184" t="s">
        <v>582</v>
      </c>
      <c r="E2184">
        <v>51</v>
      </c>
      <c r="F2184" t="s">
        <v>2</v>
      </c>
      <c r="G2184" t="s">
        <v>4222</v>
      </c>
      <c r="H2184" t="s">
        <v>8461</v>
      </c>
      <c r="I2184" t="s">
        <v>93</v>
      </c>
      <c r="J2184" t="s">
        <v>2503</v>
      </c>
    </row>
    <row r="2185" spans="1:10" x14ac:dyDescent="0.25">
      <c r="A2185" t="s">
        <v>8462</v>
      </c>
      <c r="B2185" s="3">
        <v>46315</v>
      </c>
      <c r="C2185" t="s">
        <v>491</v>
      </c>
      <c r="D2185" t="s">
        <v>481</v>
      </c>
      <c r="E2185">
        <v>21</v>
      </c>
      <c r="F2185" t="s">
        <v>2</v>
      </c>
      <c r="G2185" t="s">
        <v>4234</v>
      </c>
      <c r="H2185" t="s">
        <v>8463</v>
      </c>
      <c r="I2185" t="s">
        <v>324</v>
      </c>
      <c r="J2185" t="s">
        <v>2509</v>
      </c>
    </row>
    <row r="2186" spans="1:10" x14ac:dyDescent="0.25">
      <c r="A2186" t="s">
        <v>8464</v>
      </c>
      <c r="B2186" s="3">
        <v>46315</v>
      </c>
      <c r="C2186" t="s">
        <v>579</v>
      </c>
      <c r="D2186" t="s">
        <v>490</v>
      </c>
      <c r="E2186">
        <v>51</v>
      </c>
      <c r="F2186" t="s">
        <v>355</v>
      </c>
      <c r="G2186" t="s">
        <v>4228</v>
      </c>
      <c r="H2186" t="s">
        <v>8465</v>
      </c>
      <c r="I2186" t="s">
        <v>93</v>
      </c>
      <c r="J2186" t="s">
        <v>2500</v>
      </c>
    </row>
    <row r="2187" spans="1:10" x14ac:dyDescent="0.25">
      <c r="A2187" t="s">
        <v>8466</v>
      </c>
      <c r="B2187" s="3">
        <v>46315</v>
      </c>
      <c r="C2187" t="s">
        <v>459</v>
      </c>
      <c r="D2187" t="s">
        <v>351</v>
      </c>
      <c r="E2187">
        <v>55</v>
      </c>
      <c r="F2187" t="s">
        <v>2</v>
      </c>
      <c r="G2187" t="s">
        <v>4231</v>
      </c>
      <c r="H2187" t="s">
        <v>8467</v>
      </c>
      <c r="I2187" t="s">
        <v>77</v>
      </c>
      <c r="J2187" t="s">
        <v>2509</v>
      </c>
    </row>
    <row r="2188" spans="1:10" x14ac:dyDescent="0.25">
      <c r="A2188" t="s">
        <v>8468</v>
      </c>
      <c r="B2188" s="3">
        <v>46315</v>
      </c>
      <c r="C2188" t="s">
        <v>154</v>
      </c>
      <c r="D2188" t="s">
        <v>26</v>
      </c>
      <c r="E2188">
        <v>45</v>
      </c>
      <c r="F2188" t="s">
        <v>2</v>
      </c>
      <c r="G2188" t="s">
        <v>4231</v>
      </c>
      <c r="H2188" t="s">
        <v>8469</v>
      </c>
      <c r="I2188" t="s">
        <v>155</v>
      </c>
      <c r="J2188" t="s">
        <v>2500</v>
      </c>
    </row>
    <row r="2189" spans="1:10" x14ac:dyDescent="0.25">
      <c r="A2189" t="s">
        <v>8470</v>
      </c>
      <c r="B2189" s="3">
        <v>46315</v>
      </c>
      <c r="C2189" t="s">
        <v>202</v>
      </c>
      <c r="D2189" t="s">
        <v>54</v>
      </c>
      <c r="E2189">
        <v>10</v>
      </c>
      <c r="F2189" t="s">
        <v>2</v>
      </c>
      <c r="G2189" t="s">
        <v>4234</v>
      </c>
      <c r="H2189" t="s">
        <v>7676</v>
      </c>
      <c r="I2189" t="s">
        <v>203</v>
      </c>
      <c r="J2189" t="s">
        <v>2513</v>
      </c>
    </row>
    <row r="2190" spans="1:10" x14ac:dyDescent="0.25">
      <c r="A2190" t="s">
        <v>8471</v>
      </c>
      <c r="B2190" s="3">
        <v>46315</v>
      </c>
      <c r="C2190" t="s">
        <v>523</v>
      </c>
      <c r="D2190" t="s">
        <v>481</v>
      </c>
      <c r="E2190">
        <v>13</v>
      </c>
      <c r="F2190" t="s">
        <v>2</v>
      </c>
      <c r="G2190" t="s">
        <v>4231</v>
      </c>
      <c r="H2190" t="s">
        <v>8472</v>
      </c>
      <c r="I2190" t="s">
        <v>175</v>
      </c>
      <c r="J2190" t="s">
        <v>2513</v>
      </c>
    </row>
    <row r="2191" spans="1:10" x14ac:dyDescent="0.25">
      <c r="A2191" t="s">
        <v>8473</v>
      </c>
      <c r="B2191" s="3">
        <v>46315</v>
      </c>
      <c r="C2191" t="s">
        <v>235</v>
      </c>
      <c r="D2191" t="s">
        <v>216</v>
      </c>
      <c r="E2191">
        <v>47</v>
      </c>
      <c r="F2191" t="s">
        <v>2</v>
      </c>
      <c r="G2191" t="s">
        <v>4228</v>
      </c>
      <c r="H2191" t="s">
        <v>7741</v>
      </c>
      <c r="I2191" t="s">
        <v>38</v>
      </c>
      <c r="J2191" t="s">
        <v>2509</v>
      </c>
    </row>
    <row r="2192" spans="1:10" x14ac:dyDescent="0.25">
      <c r="A2192" t="s">
        <v>8474</v>
      </c>
      <c r="B2192" s="3">
        <v>46315</v>
      </c>
      <c r="C2192" t="s">
        <v>442</v>
      </c>
      <c r="D2192" t="s">
        <v>382</v>
      </c>
      <c r="E2192">
        <v>36</v>
      </c>
      <c r="F2192" t="s">
        <v>383</v>
      </c>
      <c r="G2192" t="s">
        <v>4222</v>
      </c>
      <c r="H2192" t="s">
        <v>8475</v>
      </c>
      <c r="I2192" t="s">
        <v>203</v>
      </c>
      <c r="J2192" t="s">
        <v>2500</v>
      </c>
    </row>
    <row r="2193" spans="1:10" x14ac:dyDescent="0.25">
      <c r="A2193" t="s">
        <v>8476</v>
      </c>
      <c r="B2193" s="3">
        <v>46315</v>
      </c>
      <c r="C2193" t="s">
        <v>408</v>
      </c>
      <c r="D2193" t="s">
        <v>354</v>
      </c>
      <c r="E2193">
        <v>53</v>
      </c>
      <c r="F2193" t="s">
        <v>355</v>
      </c>
      <c r="G2193" t="s">
        <v>4231</v>
      </c>
      <c r="H2193" t="s">
        <v>8477</v>
      </c>
      <c r="I2193" t="s">
        <v>219</v>
      </c>
      <c r="J2193" t="s">
        <v>2513</v>
      </c>
    </row>
    <row r="2194" spans="1:10" x14ac:dyDescent="0.25">
      <c r="A2194" t="s">
        <v>8478</v>
      </c>
      <c r="B2194" s="3">
        <v>46315</v>
      </c>
      <c r="C2194" t="s">
        <v>99</v>
      </c>
      <c r="D2194" t="s">
        <v>26</v>
      </c>
      <c r="E2194">
        <v>32</v>
      </c>
      <c r="F2194" t="s">
        <v>2</v>
      </c>
      <c r="G2194" t="s">
        <v>4228</v>
      </c>
      <c r="H2194" t="s">
        <v>8479</v>
      </c>
      <c r="I2194" t="s">
        <v>100</v>
      </c>
      <c r="J2194" t="s">
        <v>2503</v>
      </c>
    </row>
    <row r="2195" spans="1:10" x14ac:dyDescent="0.25">
      <c r="A2195" t="s">
        <v>8480</v>
      </c>
      <c r="B2195" s="3">
        <v>46315</v>
      </c>
      <c r="C2195" t="s">
        <v>384</v>
      </c>
      <c r="D2195" t="s">
        <v>366</v>
      </c>
      <c r="E2195">
        <v>26</v>
      </c>
      <c r="F2195" t="s">
        <v>2</v>
      </c>
      <c r="G2195" t="s">
        <v>4234</v>
      </c>
      <c r="H2195" t="s">
        <v>8481</v>
      </c>
      <c r="I2195" t="s">
        <v>104</v>
      </c>
      <c r="J2195" t="s">
        <v>2503</v>
      </c>
    </row>
    <row r="2196" spans="1:10" x14ac:dyDescent="0.25">
      <c r="A2196" t="s">
        <v>8482</v>
      </c>
      <c r="B2196" s="3">
        <v>46315</v>
      </c>
      <c r="C2196" t="s">
        <v>521</v>
      </c>
      <c r="D2196" t="s">
        <v>479</v>
      </c>
      <c r="E2196">
        <v>36</v>
      </c>
      <c r="F2196" t="s">
        <v>469</v>
      </c>
      <c r="G2196" t="s">
        <v>4231</v>
      </c>
      <c r="H2196" t="s">
        <v>8483</v>
      </c>
      <c r="I2196" t="s">
        <v>289</v>
      </c>
      <c r="J2196" t="s">
        <v>2500</v>
      </c>
    </row>
    <row r="2197" spans="1:10" x14ac:dyDescent="0.25">
      <c r="A2197" t="s">
        <v>8484</v>
      </c>
      <c r="B2197" s="3">
        <v>46315</v>
      </c>
      <c r="C2197" t="s">
        <v>600</v>
      </c>
      <c r="D2197" t="s">
        <v>589</v>
      </c>
      <c r="E2197">
        <v>45</v>
      </c>
      <c r="F2197" t="s">
        <v>469</v>
      </c>
      <c r="G2197" t="s">
        <v>4228</v>
      </c>
      <c r="H2197" t="s">
        <v>8485</v>
      </c>
      <c r="I2197" t="s">
        <v>119</v>
      </c>
      <c r="J2197" t="s">
        <v>2503</v>
      </c>
    </row>
    <row r="2198" spans="1:10" x14ac:dyDescent="0.25">
      <c r="A2198" t="s">
        <v>8486</v>
      </c>
      <c r="B2198" s="3">
        <v>46315</v>
      </c>
      <c r="C2198" t="s">
        <v>416</v>
      </c>
      <c r="D2198" t="s">
        <v>344</v>
      </c>
      <c r="E2198">
        <v>5</v>
      </c>
      <c r="F2198" t="s">
        <v>346</v>
      </c>
      <c r="G2198" t="s">
        <v>4225</v>
      </c>
      <c r="H2198" t="s">
        <v>8487</v>
      </c>
      <c r="I2198" t="s">
        <v>102</v>
      </c>
      <c r="J2198" t="s">
        <v>2509</v>
      </c>
    </row>
    <row r="2199" spans="1:10" x14ac:dyDescent="0.25">
      <c r="A2199" t="s">
        <v>8488</v>
      </c>
      <c r="B2199" s="3">
        <v>46315</v>
      </c>
      <c r="C2199" t="s">
        <v>228</v>
      </c>
      <c r="D2199" t="s">
        <v>218</v>
      </c>
      <c r="E2199">
        <v>47</v>
      </c>
      <c r="F2199" t="s">
        <v>2</v>
      </c>
      <c r="G2199" t="s">
        <v>4222</v>
      </c>
      <c r="H2199" t="s">
        <v>8489</v>
      </c>
      <c r="I2199" t="s">
        <v>67</v>
      </c>
      <c r="J2199" t="s">
        <v>2503</v>
      </c>
    </row>
    <row r="2200" spans="1:10" x14ac:dyDescent="0.25">
      <c r="A2200" t="s">
        <v>8490</v>
      </c>
      <c r="B2200" s="3">
        <v>46315</v>
      </c>
      <c r="C2200" t="s">
        <v>654</v>
      </c>
      <c r="D2200" t="s">
        <v>582</v>
      </c>
      <c r="E2200">
        <v>21</v>
      </c>
      <c r="F2200" t="s">
        <v>2</v>
      </c>
      <c r="G2200" t="s">
        <v>4222</v>
      </c>
      <c r="H2200" t="s">
        <v>8491</v>
      </c>
      <c r="I2200" t="s">
        <v>108</v>
      </c>
      <c r="J2200" t="s">
        <v>2509</v>
      </c>
    </row>
    <row r="2201" spans="1:10" x14ac:dyDescent="0.25">
      <c r="A2201" t="s">
        <v>8492</v>
      </c>
      <c r="B2201" s="3">
        <v>46315</v>
      </c>
      <c r="C2201" t="s">
        <v>352</v>
      </c>
      <c r="D2201" t="s">
        <v>344</v>
      </c>
      <c r="E2201">
        <v>21</v>
      </c>
      <c r="F2201" t="s">
        <v>346</v>
      </c>
      <c r="G2201" t="s">
        <v>4228</v>
      </c>
      <c r="H2201" t="s">
        <v>8493</v>
      </c>
      <c r="I2201" t="s">
        <v>189</v>
      </c>
      <c r="J2201" t="s">
        <v>2509</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18C37-AED3-49BA-922D-A7C7387161AF}">
  <dimension ref="A1:R501"/>
  <sheetViews>
    <sheetView workbookViewId="0">
      <selection activeCell="N501" sqref="N501"/>
    </sheetView>
  </sheetViews>
  <sheetFormatPr defaultRowHeight="15" x14ac:dyDescent="0.25"/>
  <cols>
    <col min="8" max="8" width="14.28515625" customWidth="1"/>
    <col min="9" max="9" width="13.85546875" customWidth="1"/>
    <col min="13" max="13" width="16.5703125" customWidth="1"/>
    <col min="14" max="14" width="14.7109375" customWidth="1"/>
    <col min="17" max="17" width="29.28515625" customWidth="1"/>
    <col min="18" max="18" width="11.5703125" customWidth="1"/>
  </cols>
  <sheetData>
    <row r="1" spans="1:18" ht="45" x14ac:dyDescent="0.25">
      <c r="A1" s="1" t="s">
        <v>0</v>
      </c>
      <c r="B1" s="1" t="s">
        <v>3</v>
      </c>
      <c r="C1" s="1" t="s">
        <v>4</v>
      </c>
      <c r="D1" s="1" t="s">
        <v>5</v>
      </c>
      <c r="E1" s="1" t="s">
        <v>9</v>
      </c>
      <c r="F1" s="1" t="s">
        <v>10</v>
      </c>
      <c r="G1" s="1" t="s">
        <v>11</v>
      </c>
      <c r="H1" s="1" t="s">
        <v>8</v>
      </c>
      <c r="I1" s="1" t="s">
        <v>12</v>
      </c>
      <c r="J1" s="1" t="s">
        <v>8494</v>
      </c>
      <c r="K1" s="1" t="s">
        <v>8495</v>
      </c>
      <c r="L1" s="1" t="s">
        <v>8496</v>
      </c>
      <c r="M1" s="1" t="s">
        <v>8497</v>
      </c>
      <c r="N1" s="1" t="s">
        <v>8498</v>
      </c>
      <c r="O1" s="1" t="s">
        <v>8499</v>
      </c>
      <c r="P1" s="1" t="s">
        <v>8500</v>
      </c>
      <c r="Q1" s="5" t="s">
        <v>7</v>
      </c>
      <c r="R1" s="6" t="s">
        <v>8509</v>
      </c>
    </row>
    <row r="2" spans="1:18" x14ac:dyDescent="0.25">
      <c r="A2" t="s">
        <v>14</v>
      </c>
      <c r="B2" t="s">
        <v>15</v>
      </c>
      <c r="C2" t="s">
        <v>16</v>
      </c>
      <c r="D2" t="s">
        <v>2</v>
      </c>
      <c r="E2">
        <v>199</v>
      </c>
      <c r="F2">
        <v>22</v>
      </c>
      <c r="G2">
        <v>49</v>
      </c>
      <c r="H2" s="2">
        <v>91000</v>
      </c>
      <c r="I2" t="s">
        <v>19</v>
      </c>
      <c r="J2">
        <f>SUMIF('STOCK IN'!$C:$C, A2, 'STOCK IN'!$E:$E)</f>
        <v>158</v>
      </c>
      <c r="K2">
        <f>SUMIF('STOCK OUT'!$C:$C, A2, 'STOCK OUT'!$E:$E)</f>
        <v>120</v>
      </c>
      <c r="L2">
        <f>E2+J2-K2</f>
        <v>237</v>
      </c>
      <c r="M2" t="str" cm="1">
        <f t="array" ref="M2">_xlfn.IFS(L2&lt;=0, "OUT OF STOCK", L2&lt;=F2, "REORDER", L2&lt;=G2, "LOW STOCK", TRUE, "IN STOCK")</f>
        <v>IN STOCK</v>
      </c>
      <c r="N2" s="2">
        <f>L2*H2</f>
        <v>21567000</v>
      </c>
      <c r="O2">
        <v>237</v>
      </c>
      <c r="P2">
        <f>IF(L2&lt;0, 0, O2 - L2)</f>
        <v>0</v>
      </c>
      <c r="Q2" t="str">
        <f>_xlfn.XLOOKUP(A2, 'Item Master'!$B$3:$B$502, 'Item Master'!$G$3:$G$502,,0)</f>
        <v>CV Prima Logistik</v>
      </c>
      <c r="R2" t="str">
        <f>IF(P2=0, "CONFORM", IF(P2&gt;0, "SURPLUS", "MINUS"))</f>
        <v>CONFORM</v>
      </c>
    </row>
    <row r="3" spans="1:18" x14ac:dyDescent="0.25">
      <c r="A3" t="s">
        <v>20</v>
      </c>
      <c r="B3" t="s">
        <v>21</v>
      </c>
      <c r="C3" t="s">
        <v>16</v>
      </c>
      <c r="D3" t="s">
        <v>2</v>
      </c>
      <c r="E3">
        <v>161</v>
      </c>
      <c r="F3">
        <v>32</v>
      </c>
      <c r="G3">
        <v>40</v>
      </c>
      <c r="H3" s="2">
        <v>31000</v>
      </c>
      <c r="I3" t="s">
        <v>24</v>
      </c>
      <c r="J3">
        <f>SUMIF('STOCK IN'!$C:$C, A3, 'STOCK IN'!$E:$E)</f>
        <v>123</v>
      </c>
      <c r="K3">
        <f>SUMIF('STOCK OUT'!$C:$C, A3, 'STOCK OUT'!$E:$E)</f>
        <v>69</v>
      </c>
      <c r="L3">
        <f t="shared" ref="L3:L66" si="0">E3+J3-K3</f>
        <v>215</v>
      </c>
      <c r="M3" t="str" cm="1">
        <f t="array" ref="M3">_xlfn.IFS(L3&lt;=0, "OUT OF STOCK", L3&lt;=F3, "REORDER", L3&lt;=G3, "LOW STOCK", TRUE, "IN STOCK")</f>
        <v>IN STOCK</v>
      </c>
      <c r="N3" s="2">
        <f t="shared" ref="N3:N66" si="1">L3*H3</f>
        <v>6665000</v>
      </c>
      <c r="O3">
        <v>217</v>
      </c>
      <c r="P3">
        <f t="shared" ref="P3:P66" si="2">IF(L3&lt;0, 0, O3 - L3)</f>
        <v>2</v>
      </c>
      <c r="Q3" t="str">
        <f>_xlfn.XLOOKUP(A3, 'Item Master'!$B$3:$B$502, 'Item Master'!$G$3:$G$502,,0)</f>
        <v>PT Sumber Teknologi Nusantara</v>
      </c>
      <c r="R3" t="str">
        <f t="shared" ref="R3:R66" si="3">IF(P3=0, "CONFORM", IF(P3&gt;0, "SURPLUS", "MINUS"))</f>
        <v>SURPLUS</v>
      </c>
    </row>
    <row r="4" spans="1:18" x14ac:dyDescent="0.25">
      <c r="A4" t="s">
        <v>25</v>
      </c>
      <c r="B4" t="s">
        <v>26</v>
      </c>
      <c r="C4" t="s">
        <v>16</v>
      </c>
      <c r="D4" t="s">
        <v>2</v>
      </c>
      <c r="E4">
        <v>164</v>
      </c>
      <c r="F4">
        <v>6</v>
      </c>
      <c r="G4">
        <v>41</v>
      </c>
      <c r="H4" s="2">
        <v>438000</v>
      </c>
      <c r="I4" t="s">
        <v>27</v>
      </c>
      <c r="J4">
        <f>SUMIF('STOCK IN'!$C:$C, A4, 'STOCK IN'!$E:$E)</f>
        <v>248</v>
      </c>
      <c r="K4">
        <f>SUMIF('STOCK OUT'!$C:$C, A4, 'STOCK OUT'!$E:$E)</f>
        <v>13</v>
      </c>
      <c r="L4">
        <f t="shared" si="0"/>
        <v>399</v>
      </c>
      <c r="M4" t="str" cm="1">
        <f t="array" ref="M4">_xlfn.IFS(L4&lt;=0, "OUT OF STOCK", L4&lt;=F4, "REORDER", L4&lt;=G4, "LOW STOCK", TRUE, "IN STOCK")</f>
        <v>IN STOCK</v>
      </c>
      <c r="N4" s="2">
        <f t="shared" si="1"/>
        <v>174762000</v>
      </c>
      <c r="O4">
        <v>402</v>
      </c>
      <c r="P4">
        <f t="shared" si="2"/>
        <v>3</v>
      </c>
      <c r="Q4" t="str">
        <f>_xlfn.XLOOKUP(A4, 'Item Master'!$B$3:$B$502, 'Item Master'!$G$3:$G$502,,0)</f>
        <v>CV Prima Logistik</v>
      </c>
      <c r="R4" t="str">
        <f t="shared" si="3"/>
        <v>SURPLUS</v>
      </c>
    </row>
    <row r="5" spans="1:18" x14ac:dyDescent="0.25">
      <c r="A5" t="s">
        <v>28</v>
      </c>
      <c r="B5" t="s">
        <v>29</v>
      </c>
      <c r="C5" t="s">
        <v>16</v>
      </c>
      <c r="D5" t="s">
        <v>2</v>
      </c>
      <c r="E5">
        <v>124</v>
      </c>
      <c r="F5">
        <v>42</v>
      </c>
      <c r="G5">
        <v>55</v>
      </c>
      <c r="H5" s="2">
        <v>192000</v>
      </c>
      <c r="I5" t="s">
        <v>30</v>
      </c>
      <c r="J5">
        <f>SUMIF('STOCK IN'!$C:$C, A5, 'STOCK IN'!$E:$E)</f>
        <v>59</v>
      </c>
      <c r="K5">
        <f>SUMIF('STOCK OUT'!$C:$C, A5, 'STOCK OUT'!$E:$E)</f>
        <v>121</v>
      </c>
      <c r="L5">
        <f t="shared" si="0"/>
        <v>62</v>
      </c>
      <c r="M5" t="str" cm="1">
        <f t="array" ref="M5">_xlfn.IFS(L5&lt;=0, "OUT OF STOCK", L5&lt;=F5, "REORDER", L5&lt;=G5, "LOW STOCK", TRUE, "IN STOCK")</f>
        <v>IN STOCK</v>
      </c>
      <c r="N5" s="2">
        <f t="shared" si="1"/>
        <v>11904000</v>
      </c>
      <c r="O5">
        <v>59</v>
      </c>
      <c r="P5">
        <f t="shared" si="2"/>
        <v>-3</v>
      </c>
      <c r="Q5" t="str">
        <f>_xlfn.XLOOKUP(A5, 'Item Master'!$B$3:$B$502, 'Item Master'!$G$3:$G$502,,0)</f>
        <v>PT Sumber Teknologi Nusantara</v>
      </c>
      <c r="R5" t="str">
        <f t="shared" si="3"/>
        <v>MINUS</v>
      </c>
    </row>
    <row r="6" spans="1:18" x14ac:dyDescent="0.25">
      <c r="A6" t="s">
        <v>31</v>
      </c>
      <c r="B6" t="s">
        <v>29</v>
      </c>
      <c r="C6" t="s">
        <v>16</v>
      </c>
      <c r="D6" t="s">
        <v>2</v>
      </c>
      <c r="E6">
        <v>81</v>
      </c>
      <c r="F6">
        <v>14</v>
      </c>
      <c r="G6">
        <v>25</v>
      </c>
      <c r="H6" s="2">
        <v>254000</v>
      </c>
      <c r="I6" t="s">
        <v>34</v>
      </c>
      <c r="J6">
        <f>SUMIF('STOCK IN'!$C:$C, A6, 'STOCK IN'!$E:$E)</f>
        <v>175</v>
      </c>
      <c r="K6">
        <f>SUMIF('STOCK OUT'!$C:$C, A6, 'STOCK OUT'!$E:$E)</f>
        <v>22</v>
      </c>
      <c r="L6">
        <f t="shared" si="0"/>
        <v>234</v>
      </c>
      <c r="M6" t="str" cm="1">
        <f t="array" ref="M6">_xlfn.IFS(L6&lt;=0, "OUT OF STOCK", L6&lt;=F6, "REORDER", L6&lt;=G6, "LOW STOCK", TRUE, "IN STOCK")</f>
        <v>IN STOCK</v>
      </c>
      <c r="N6" s="2">
        <f t="shared" si="1"/>
        <v>59436000</v>
      </c>
      <c r="O6">
        <v>231</v>
      </c>
      <c r="P6">
        <f t="shared" si="2"/>
        <v>-3</v>
      </c>
      <c r="Q6" t="str">
        <f>_xlfn.XLOOKUP(A6, 'Item Master'!$B$3:$B$502, 'Item Master'!$G$3:$G$502,,0)</f>
        <v>CV Berkah Jaya</v>
      </c>
      <c r="R6" t="str">
        <f t="shared" si="3"/>
        <v>MINUS</v>
      </c>
    </row>
    <row r="7" spans="1:18" x14ac:dyDescent="0.25">
      <c r="A7" t="s">
        <v>35</v>
      </c>
      <c r="B7" t="s">
        <v>29</v>
      </c>
      <c r="C7" t="s">
        <v>16</v>
      </c>
      <c r="D7" t="s">
        <v>2</v>
      </c>
      <c r="E7">
        <v>101</v>
      </c>
      <c r="F7">
        <v>27</v>
      </c>
      <c r="G7">
        <v>51</v>
      </c>
      <c r="H7" s="2">
        <v>129000</v>
      </c>
      <c r="I7" t="s">
        <v>38</v>
      </c>
      <c r="J7">
        <f>SUMIF('STOCK IN'!$C:$C, A7, 'STOCK IN'!$E:$E)</f>
        <v>152</v>
      </c>
      <c r="K7">
        <f>SUMIF('STOCK OUT'!$C:$C, A7, 'STOCK OUT'!$E:$E)</f>
        <v>144</v>
      </c>
      <c r="L7">
        <f t="shared" si="0"/>
        <v>109</v>
      </c>
      <c r="M7" t="str" cm="1">
        <f t="array" ref="M7">_xlfn.IFS(L7&lt;=0, "OUT OF STOCK", L7&lt;=F7, "REORDER", L7&lt;=G7, "LOW STOCK", TRUE, "IN STOCK")</f>
        <v>IN STOCK</v>
      </c>
      <c r="N7" s="2">
        <f t="shared" si="1"/>
        <v>14061000</v>
      </c>
      <c r="O7">
        <v>108</v>
      </c>
      <c r="P7">
        <f t="shared" si="2"/>
        <v>-1</v>
      </c>
      <c r="Q7" t="str">
        <f>_xlfn.XLOOKUP(A7, 'Item Master'!$B$3:$B$502, 'Item Master'!$G$3:$G$502,,0)</f>
        <v>PT Cipta Sarana Niaga</v>
      </c>
      <c r="R7" t="str">
        <f t="shared" si="3"/>
        <v>MINUS</v>
      </c>
    </row>
    <row r="8" spans="1:18" x14ac:dyDescent="0.25">
      <c r="A8" t="s">
        <v>39</v>
      </c>
      <c r="B8" t="s">
        <v>21</v>
      </c>
      <c r="C8" t="s">
        <v>16</v>
      </c>
      <c r="D8" t="s">
        <v>2</v>
      </c>
      <c r="E8">
        <v>246</v>
      </c>
      <c r="F8">
        <v>29</v>
      </c>
      <c r="G8">
        <v>61</v>
      </c>
      <c r="H8" s="2">
        <v>35000</v>
      </c>
      <c r="I8" t="s">
        <v>42</v>
      </c>
      <c r="J8">
        <f>SUMIF('STOCK IN'!$C:$C, A8, 'STOCK IN'!$E:$E)</f>
        <v>261</v>
      </c>
      <c r="K8">
        <f>SUMIF('STOCK OUT'!$C:$C, A8, 'STOCK OUT'!$E:$E)</f>
        <v>46</v>
      </c>
      <c r="L8">
        <f t="shared" si="0"/>
        <v>461</v>
      </c>
      <c r="M8" t="str" cm="1">
        <f t="array" ref="M8">_xlfn.IFS(L8&lt;=0, "OUT OF STOCK", L8&lt;=F8, "REORDER", L8&lt;=G8, "LOW STOCK", TRUE, "IN STOCK")</f>
        <v>IN STOCK</v>
      </c>
      <c r="N8" s="2">
        <f t="shared" si="1"/>
        <v>16135000</v>
      </c>
      <c r="O8">
        <v>461</v>
      </c>
      <c r="P8">
        <f t="shared" si="2"/>
        <v>0</v>
      </c>
      <c r="Q8" t="str">
        <f>_xlfn.XLOOKUP(A8, 'Item Master'!$B$3:$B$502, 'Item Master'!$G$3:$G$502,,0)</f>
        <v>PT Indo Elektrik</v>
      </c>
      <c r="R8" t="str">
        <f t="shared" si="3"/>
        <v>CONFORM</v>
      </c>
    </row>
    <row r="9" spans="1:18" x14ac:dyDescent="0.25">
      <c r="A9" t="s">
        <v>43</v>
      </c>
      <c r="B9" t="s">
        <v>44</v>
      </c>
      <c r="C9" t="s">
        <v>16</v>
      </c>
      <c r="D9" t="s">
        <v>2</v>
      </c>
      <c r="E9">
        <v>59</v>
      </c>
      <c r="F9">
        <v>50</v>
      </c>
      <c r="G9">
        <v>57</v>
      </c>
      <c r="H9" s="2">
        <v>88000</v>
      </c>
      <c r="I9" t="s">
        <v>45</v>
      </c>
      <c r="J9">
        <f>SUMIF('STOCK IN'!$C:$C, A9, 'STOCK IN'!$E:$E)</f>
        <v>73</v>
      </c>
      <c r="K9">
        <f>SUMIF('STOCK OUT'!$C:$C, A9, 'STOCK OUT'!$E:$E)</f>
        <v>63</v>
      </c>
      <c r="L9">
        <f t="shared" si="0"/>
        <v>69</v>
      </c>
      <c r="M9" t="str" cm="1">
        <f t="array" ref="M9">_xlfn.IFS(L9&lt;=0, "OUT OF STOCK", L9&lt;=F9, "REORDER", L9&lt;=G9, "LOW STOCK", TRUE, "IN STOCK")</f>
        <v>IN STOCK</v>
      </c>
      <c r="N9" s="2">
        <f t="shared" si="1"/>
        <v>6072000</v>
      </c>
      <c r="O9">
        <v>69</v>
      </c>
      <c r="P9">
        <f t="shared" si="2"/>
        <v>0</v>
      </c>
      <c r="Q9" t="str">
        <f>_xlfn.XLOOKUP(A9, 'Item Master'!$B$3:$B$502, 'Item Master'!$G$3:$G$502,,0)</f>
        <v>PT Sumber Teknologi Nusantara</v>
      </c>
      <c r="R9" t="str">
        <f t="shared" si="3"/>
        <v>CONFORM</v>
      </c>
    </row>
    <row r="10" spans="1:18" x14ac:dyDescent="0.25">
      <c r="A10" t="s">
        <v>46</v>
      </c>
      <c r="B10" t="s">
        <v>47</v>
      </c>
      <c r="C10" t="s">
        <v>16</v>
      </c>
      <c r="D10" t="s">
        <v>2</v>
      </c>
      <c r="E10">
        <v>228</v>
      </c>
      <c r="F10">
        <v>19</v>
      </c>
      <c r="G10">
        <v>57</v>
      </c>
      <c r="H10" s="2">
        <v>130000</v>
      </c>
      <c r="I10" t="s">
        <v>50</v>
      </c>
      <c r="J10">
        <f>SUMIF('STOCK IN'!$C:$C, A10, 'STOCK IN'!$E:$E)</f>
        <v>107</v>
      </c>
      <c r="K10">
        <f>SUMIF('STOCK OUT'!$C:$C, A10, 'STOCK OUT'!$E:$E)</f>
        <v>194</v>
      </c>
      <c r="L10">
        <f t="shared" si="0"/>
        <v>141</v>
      </c>
      <c r="M10" t="str" cm="1">
        <f t="array" ref="M10">_xlfn.IFS(L10&lt;=0, "OUT OF STOCK", L10&lt;=F10, "REORDER", L10&lt;=G10, "LOW STOCK", TRUE, "IN STOCK")</f>
        <v>IN STOCK</v>
      </c>
      <c r="N10" s="2">
        <f t="shared" si="1"/>
        <v>18330000</v>
      </c>
      <c r="O10">
        <v>141</v>
      </c>
      <c r="P10">
        <f t="shared" si="2"/>
        <v>0</v>
      </c>
      <c r="Q10" t="str">
        <f>_xlfn.XLOOKUP(A10, 'Item Master'!$B$3:$B$502, 'Item Master'!$G$3:$G$502,,0)</f>
        <v>PT Global Office Supply</v>
      </c>
      <c r="R10" t="str">
        <f t="shared" si="3"/>
        <v>CONFORM</v>
      </c>
    </row>
    <row r="11" spans="1:18" x14ac:dyDescent="0.25">
      <c r="A11" t="s">
        <v>51</v>
      </c>
      <c r="B11" t="s">
        <v>44</v>
      </c>
      <c r="C11" t="s">
        <v>16</v>
      </c>
      <c r="D11" t="s">
        <v>2</v>
      </c>
      <c r="E11">
        <v>104</v>
      </c>
      <c r="F11">
        <v>27</v>
      </c>
      <c r="G11">
        <v>38</v>
      </c>
      <c r="H11" s="2">
        <v>35000</v>
      </c>
      <c r="I11" t="s">
        <v>52</v>
      </c>
      <c r="J11">
        <f>SUMIF('STOCK IN'!$C:$C, A11, 'STOCK IN'!$E:$E)</f>
        <v>36</v>
      </c>
      <c r="K11">
        <f>SUMIF('STOCK OUT'!$C:$C, A11, 'STOCK OUT'!$E:$E)</f>
        <v>92</v>
      </c>
      <c r="L11">
        <f t="shared" si="0"/>
        <v>48</v>
      </c>
      <c r="M11" t="str" cm="1">
        <f t="array" ref="M11">_xlfn.IFS(L11&lt;=0, "OUT OF STOCK", L11&lt;=F11, "REORDER", L11&lt;=G11, "LOW STOCK", TRUE, "IN STOCK")</f>
        <v>IN STOCK</v>
      </c>
      <c r="N11" s="2">
        <f t="shared" si="1"/>
        <v>1680000</v>
      </c>
      <c r="O11">
        <v>47</v>
      </c>
      <c r="P11">
        <f t="shared" si="2"/>
        <v>-1</v>
      </c>
      <c r="Q11" t="str">
        <f>_xlfn.XLOOKUP(A11, 'Item Master'!$B$3:$B$502, 'Item Master'!$G$3:$G$502,,0)</f>
        <v>PT Cipta Sarana Niaga</v>
      </c>
      <c r="R11" t="str">
        <f t="shared" si="3"/>
        <v>MINUS</v>
      </c>
    </row>
    <row r="12" spans="1:18" x14ac:dyDescent="0.25">
      <c r="A12" t="s">
        <v>53</v>
      </c>
      <c r="B12" t="s">
        <v>54</v>
      </c>
      <c r="C12" t="s">
        <v>16</v>
      </c>
      <c r="D12" t="s">
        <v>2</v>
      </c>
      <c r="E12">
        <v>146</v>
      </c>
      <c r="F12">
        <v>20</v>
      </c>
      <c r="G12">
        <v>36</v>
      </c>
      <c r="H12" s="2">
        <v>68000</v>
      </c>
      <c r="I12" t="s">
        <v>57</v>
      </c>
      <c r="J12">
        <f>SUMIF('STOCK IN'!$C:$C, A12, 'STOCK IN'!$E:$E)</f>
        <v>67</v>
      </c>
      <c r="K12">
        <f>SUMIF('STOCK OUT'!$C:$C, A12, 'STOCK OUT'!$E:$E)</f>
        <v>190</v>
      </c>
      <c r="L12">
        <f t="shared" si="0"/>
        <v>23</v>
      </c>
      <c r="M12" t="str" cm="1">
        <f t="array" ref="M12">_xlfn.IFS(L12&lt;=0, "OUT OF STOCK", L12&lt;=F12, "REORDER", L12&lt;=G12, "LOW STOCK", TRUE, "IN STOCK")</f>
        <v>LOW STOCK</v>
      </c>
      <c r="N12" s="2">
        <f t="shared" si="1"/>
        <v>1564000</v>
      </c>
      <c r="O12">
        <v>23</v>
      </c>
      <c r="P12">
        <f t="shared" si="2"/>
        <v>0</v>
      </c>
      <c r="Q12" t="str">
        <f>_xlfn.XLOOKUP(A12, 'Item Master'!$B$3:$B$502, 'Item Master'!$G$3:$G$502,,0)</f>
        <v>CV Karya Mandiri</v>
      </c>
      <c r="R12" t="str">
        <f t="shared" si="3"/>
        <v>CONFORM</v>
      </c>
    </row>
    <row r="13" spans="1:18" x14ac:dyDescent="0.25">
      <c r="A13" t="s">
        <v>58</v>
      </c>
      <c r="B13" t="s">
        <v>21</v>
      </c>
      <c r="C13" t="s">
        <v>16</v>
      </c>
      <c r="D13" t="s">
        <v>2</v>
      </c>
      <c r="E13">
        <v>185</v>
      </c>
      <c r="F13">
        <v>25</v>
      </c>
      <c r="G13">
        <v>54</v>
      </c>
      <c r="H13" s="2">
        <v>48000</v>
      </c>
      <c r="I13" t="s">
        <v>59</v>
      </c>
      <c r="J13">
        <f>SUMIF('STOCK IN'!$C:$C, A13, 'STOCK IN'!$E:$E)</f>
        <v>74</v>
      </c>
      <c r="K13">
        <f>SUMIF('STOCK OUT'!$C:$C, A13, 'STOCK OUT'!$E:$E)</f>
        <v>187</v>
      </c>
      <c r="L13">
        <f t="shared" si="0"/>
        <v>72</v>
      </c>
      <c r="M13" t="str" cm="1">
        <f t="array" ref="M13">_xlfn.IFS(L13&lt;=0, "OUT OF STOCK", L13&lt;=F13, "REORDER", L13&lt;=G13, "LOW STOCK", TRUE, "IN STOCK")</f>
        <v>IN STOCK</v>
      </c>
      <c r="N13" s="2">
        <f t="shared" si="1"/>
        <v>3456000</v>
      </c>
      <c r="O13">
        <v>73</v>
      </c>
      <c r="P13">
        <f t="shared" si="2"/>
        <v>1</v>
      </c>
      <c r="Q13" t="str">
        <f>_xlfn.XLOOKUP(A13, 'Item Master'!$B$3:$B$502, 'Item Master'!$G$3:$G$502,,0)</f>
        <v>PT Sumber Teknologi Nusantara</v>
      </c>
      <c r="R13" t="str">
        <f t="shared" si="3"/>
        <v>SURPLUS</v>
      </c>
    </row>
    <row r="14" spans="1:18" x14ac:dyDescent="0.25">
      <c r="A14" t="s">
        <v>60</v>
      </c>
      <c r="B14" t="s">
        <v>44</v>
      </c>
      <c r="C14" t="s">
        <v>16</v>
      </c>
      <c r="D14" t="s">
        <v>2</v>
      </c>
      <c r="E14">
        <v>78</v>
      </c>
      <c r="F14">
        <v>9</v>
      </c>
      <c r="G14">
        <v>20</v>
      </c>
      <c r="H14" s="2">
        <v>66000</v>
      </c>
      <c r="I14" t="s">
        <v>27</v>
      </c>
      <c r="J14">
        <f>SUMIF('STOCK IN'!$C:$C, A14, 'STOCK IN'!$E:$E)</f>
        <v>171</v>
      </c>
      <c r="K14">
        <f>SUMIF('STOCK OUT'!$C:$C, A14, 'STOCK OUT'!$E:$E)</f>
        <v>179</v>
      </c>
      <c r="L14">
        <f t="shared" si="0"/>
        <v>70</v>
      </c>
      <c r="M14" t="str" cm="1">
        <f t="array" ref="M14">_xlfn.IFS(L14&lt;=0, "OUT OF STOCK", L14&lt;=F14, "REORDER", L14&lt;=G14, "LOW STOCK", TRUE, "IN STOCK")</f>
        <v>IN STOCK</v>
      </c>
      <c r="N14" s="2">
        <f t="shared" si="1"/>
        <v>4620000</v>
      </c>
      <c r="O14">
        <v>69</v>
      </c>
      <c r="P14">
        <f t="shared" si="2"/>
        <v>-1</v>
      </c>
      <c r="Q14" t="str">
        <f>_xlfn.XLOOKUP(A14, 'Item Master'!$B$3:$B$502, 'Item Master'!$G$3:$G$502,,0)</f>
        <v>PT Solusi Komputer</v>
      </c>
      <c r="R14" t="str">
        <f t="shared" si="3"/>
        <v>MINUS</v>
      </c>
    </row>
    <row r="15" spans="1:18" x14ac:dyDescent="0.25">
      <c r="A15" t="s">
        <v>63</v>
      </c>
      <c r="B15" t="s">
        <v>26</v>
      </c>
      <c r="C15" t="s">
        <v>16</v>
      </c>
      <c r="D15" t="s">
        <v>2</v>
      </c>
      <c r="E15">
        <v>137</v>
      </c>
      <c r="F15">
        <v>30</v>
      </c>
      <c r="G15">
        <v>55</v>
      </c>
      <c r="H15" s="2">
        <v>515000</v>
      </c>
      <c r="I15" t="s">
        <v>64</v>
      </c>
      <c r="J15">
        <f>SUMIF('STOCK IN'!$C:$C, A15, 'STOCK IN'!$E:$E)</f>
        <v>98</v>
      </c>
      <c r="K15">
        <f>SUMIF('STOCK OUT'!$C:$C, A15, 'STOCK OUT'!$E:$E)</f>
        <v>63</v>
      </c>
      <c r="L15">
        <f t="shared" si="0"/>
        <v>172</v>
      </c>
      <c r="M15" t="str" cm="1">
        <f t="array" ref="M15">_xlfn.IFS(L15&lt;=0, "OUT OF STOCK", L15&lt;=F15, "REORDER", L15&lt;=G15, "LOW STOCK", TRUE, "IN STOCK")</f>
        <v>IN STOCK</v>
      </c>
      <c r="N15" s="2">
        <f t="shared" si="1"/>
        <v>88580000</v>
      </c>
      <c r="O15">
        <v>171</v>
      </c>
      <c r="P15">
        <f t="shared" si="2"/>
        <v>-1</v>
      </c>
      <c r="Q15" t="str">
        <f>_xlfn.XLOOKUP(A15, 'Item Master'!$B$3:$B$502, 'Item Master'!$G$3:$G$502,,0)</f>
        <v>CV Karya Mandiri</v>
      </c>
      <c r="R15" t="str">
        <f t="shared" si="3"/>
        <v>MINUS</v>
      </c>
    </row>
    <row r="16" spans="1:18" x14ac:dyDescent="0.25">
      <c r="A16" t="s">
        <v>65</v>
      </c>
      <c r="B16" t="s">
        <v>66</v>
      </c>
      <c r="C16" t="s">
        <v>16</v>
      </c>
      <c r="D16" t="s">
        <v>2</v>
      </c>
      <c r="E16">
        <v>200</v>
      </c>
      <c r="F16">
        <v>40</v>
      </c>
      <c r="G16">
        <v>62</v>
      </c>
      <c r="H16" s="2">
        <v>133000</v>
      </c>
      <c r="I16" t="s">
        <v>67</v>
      </c>
      <c r="J16">
        <f>SUMIF('STOCK IN'!$C:$C, A16, 'STOCK IN'!$E:$E)</f>
        <v>84</v>
      </c>
      <c r="K16">
        <f>SUMIF('STOCK OUT'!$C:$C, A16, 'STOCK OUT'!$E:$E)</f>
        <v>123</v>
      </c>
      <c r="L16">
        <f t="shared" si="0"/>
        <v>161</v>
      </c>
      <c r="M16" t="str" cm="1">
        <f t="array" ref="M16">_xlfn.IFS(L16&lt;=0, "OUT OF STOCK", L16&lt;=F16, "REORDER", L16&lt;=G16, "LOW STOCK", TRUE, "IN STOCK")</f>
        <v>IN STOCK</v>
      </c>
      <c r="N16" s="2">
        <f t="shared" si="1"/>
        <v>21413000</v>
      </c>
      <c r="O16">
        <v>159</v>
      </c>
      <c r="P16">
        <f t="shared" si="2"/>
        <v>-2</v>
      </c>
      <c r="Q16" t="str">
        <f>_xlfn.XLOOKUP(A16, 'Item Master'!$B$3:$B$502, 'Item Master'!$G$3:$G$502,,0)</f>
        <v>PT Cipta Sarana Niaga</v>
      </c>
      <c r="R16" t="str">
        <f t="shared" si="3"/>
        <v>MINUS</v>
      </c>
    </row>
    <row r="17" spans="1:18" x14ac:dyDescent="0.25">
      <c r="A17" t="s">
        <v>68</v>
      </c>
      <c r="B17" t="s">
        <v>29</v>
      </c>
      <c r="C17" t="s">
        <v>16</v>
      </c>
      <c r="D17" t="s">
        <v>2</v>
      </c>
      <c r="E17">
        <v>102</v>
      </c>
      <c r="F17">
        <v>19</v>
      </c>
      <c r="G17">
        <v>28</v>
      </c>
      <c r="H17" s="2">
        <v>284000</v>
      </c>
      <c r="I17" t="s">
        <v>69</v>
      </c>
      <c r="J17">
        <f>SUMIF('STOCK IN'!$C:$C, A17, 'STOCK IN'!$E:$E)</f>
        <v>283</v>
      </c>
      <c r="K17">
        <f>SUMIF('STOCK OUT'!$C:$C, A17, 'STOCK OUT'!$E:$E)</f>
        <v>257</v>
      </c>
      <c r="L17">
        <f t="shared" si="0"/>
        <v>128</v>
      </c>
      <c r="M17" t="str" cm="1">
        <f t="array" ref="M17">_xlfn.IFS(L17&lt;=0, "OUT OF STOCK", L17&lt;=F17, "REORDER", L17&lt;=G17, "LOW STOCK", TRUE, "IN STOCK")</f>
        <v>IN STOCK</v>
      </c>
      <c r="N17" s="2">
        <f t="shared" si="1"/>
        <v>36352000</v>
      </c>
      <c r="O17">
        <v>129</v>
      </c>
      <c r="P17">
        <f t="shared" si="2"/>
        <v>1</v>
      </c>
      <c r="Q17" t="str">
        <f>_xlfn.XLOOKUP(A17, 'Item Master'!$B$3:$B$502, 'Item Master'!$G$3:$G$502,,0)</f>
        <v>PT Indo Elektrik</v>
      </c>
      <c r="R17" t="str">
        <f t="shared" si="3"/>
        <v>SURPLUS</v>
      </c>
    </row>
    <row r="18" spans="1:18" x14ac:dyDescent="0.25">
      <c r="A18" t="s">
        <v>70</v>
      </c>
      <c r="B18" t="s">
        <v>1</v>
      </c>
      <c r="C18" t="s">
        <v>16</v>
      </c>
      <c r="D18" t="s">
        <v>2</v>
      </c>
      <c r="E18">
        <v>49</v>
      </c>
      <c r="F18">
        <v>45</v>
      </c>
      <c r="G18">
        <v>55</v>
      </c>
      <c r="H18" s="2">
        <v>59000</v>
      </c>
      <c r="I18" t="s">
        <v>71</v>
      </c>
      <c r="J18">
        <f>SUMIF('STOCK IN'!$C:$C, A18, 'STOCK IN'!$E:$E)</f>
        <v>47</v>
      </c>
      <c r="K18">
        <f>SUMIF('STOCK OUT'!$C:$C, A18, 'STOCK OUT'!$E:$E)</f>
        <v>155</v>
      </c>
      <c r="L18">
        <f t="shared" si="0"/>
        <v>-59</v>
      </c>
      <c r="M18" t="str" cm="1">
        <f t="array" ref="M18">_xlfn.IFS(L18&lt;=0, "OUT OF STOCK", L18&lt;=F18, "REORDER", L18&lt;=G18, "LOW STOCK", TRUE, "IN STOCK")</f>
        <v>OUT OF STOCK</v>
      </c>
      <c r="N18" s="2">
        <f t="shared" si="1"/>
        <v>-3481000</v>
      </c>
      <c r="O18">
        <v>0</v>
      </c>
      <c r="P18">
        <f t="shared" si="2"/>
        <v>0</v>
      </c>
      <c r="Q18" t="str">
        <f>_xlfn.XLOOKUP(A18, 'Item Master'!$B$3:$B$502, 'Item Master'!$G$3:$G$502,,0)</f>
        <v>PT Global Office Supply</v>
      </c>
      <c r="R18" t="str">
        <f t="shared" si="3"/>
        <v>CONFORM</v>
      </c>
    </row>
    <row r="19" spans="1:18" x14ac:dyDescent="0.25">
      <c r="A19" t="s">
        <v>72</v>
      </c>
      <c r="B19" t="s">
        <v>29</v>
      </c>
      <c r="C19" t="s">
        <v>16</v>
      </c>
      <c r="D19" t="s">
        <v>2</v>
      </c>
      <c r="E19">
        <v>162</v>
      </c>
      <c r="F19">
        <v>34</v>
      </c>
      <c r="G19">
        <v>55</v>
      </c>
      <c r="H19" s="2">
        <v>275000</v>
      </c>
      <c r="I19" t="s">
        <v>73</v>
      </c>
      <c r="J19">
        <f>SUMIF('STOCK IN'!$C:$C, A19, 'STOCK IN'!$E:$E)</f>
        <v>44</v>
      </c>
      <c r="K19">
        <f>SUMIF('STOCK OUT'!$C:$C, A19, 'STOCK OUT'!$E:$E)</f>
        <v>105</v>
      </c>
      <c r="L19">
        <f t="shared" si="0"/>
        <v>101</v>
      </c>
      <c r="M19" t="str" cm="1">
        <f t="array" ref="M19">_xlfn.IFS(L19&lt;=0, "OUT OF STOCK", L19&lt;=F19, "REORDER", L19&lt;=G19, "LOW STOCK", TRUE, "IN STOCK")</f>
        <v>IN STOCK</v>
      </c>
      <c r="N19" s="2">
        <f t="shared" si="1"/>
        <v>27775000</v>
      </c>
      <c r="O19">
        <v>102</v>
      </c>
      <c r="P19">
        <f t="shared" si="2"/>
        <v>1</v>
      </c>
      <c r="Q19" t="str">
        <f>_xlfn.XLOOKUP(A19, 'Item Master'!$B$3:$B$502, 'Item Master'!$G$3:$G$502,,0)</f>
        <v>PT Cipta Sarana Niaga</v>
      </c>
      <c r="R19" t="str">
        <f t="shared" si="3"/>
        <v>SURPLUS</v>
      </c>
    </row>
    <row r="20" spans="1:18" x14ac:dyDescent="0.25">
      <c r="A20" t="s">
        <v>74</v>
      </c>
      <c r="B20" t="s">
        <v>15</v>
      </c>
      <c r="C20" t="s">
        <v>16</v>
      </c>
      <c r="D20" t="s">
        <v>2</v>
      </c>
      <c r="E20">
        <v>236</v>
      </c>
      <c r="F20">
        <v>39</v>
      </c>
      <c r="G20">
        <v>68</v>
      </c>
      <c r="H20" s="2">
        <v>259000</v>
      </c>
      <c r="I20" t="s">
        <v>75</v>
      </c>
      <c r="J20">
        <f>SUMIF('STOCK IN'!$C:$C, A20, 'STOCK IN'!$E:$E)</f>
        <v>111</v>
      </c>
      <c r="K20">
        <f>SUMIF('STOCK OUT'!$C:$C, A20, 'STOCK OUT'!$E:$E)</f>
        <v>171</v>
      </c>
      <c r="L20">
        <f t="shared" si="0"/>
        <v>176</v>
      </c>
      <c r="M20" t="str" cm="1">
        <f t="array" ref="M20">_xlfn.IFS(L20&lt;=0, "OUT OF STOCK", L20&lt;=F20, "REORDER", L20&lt;=G20, "LOW STOCK", TRUE, "IN STOCK")</f>
        <v>IN STOCK</v>
      </c>
      <c r="N20" s="2">
        <f t="shared" si="1"/>
        <v>45584000</v>
      </c>
      <c r="O20">
        <v>177</v>
      </c>
      <c r="P20">
        <f t="shared" si="2"/>
        <v>1</v>
      </c>
      <c r="Q20" t="str">
        <f>_xlfn.XLOOKUP(A20, 'Item Master'!$B$3:$B$502, 'Item Master'!$G$3:$G$502,,0)</f>
        <v>PT Cipta Sarana Niaga</v>
      </c>
      <c r="R20" t="str">
        <f t="shared" si="3"/>
        <v>SURPLUS</v>
      </c>
    </row>
    <row r="21" spans="1:18" x14ac:dyDescent="0.25">
      <c r="A21" t="s">
        <v>76</v>
      </c>
      <c r="B21" t="s">
        <v>15</v>
      </c>
      <c r="C21" t="s">
        <v>16</v>
      </c>
      <c r="D21" t="s">
        <v>2</v>
      </c>
      <c r="E21">
        <v>121</v>
      </c>
      <c r="F21">
        <v>15</v>
      </c>
      <c r="G21">
        <v>34</v>
      </c>
      <c r="H21" s="2">
        <v>160000</v>
      </c>
      <c r="I21" t="s">
        <v>77</v>
      </c>
      <c r="J21">
        <f>SUMIF('STOCK IN'!$C:$C, A21, 'STOCK IN'!$E:$E)</f>
        <v>88</v>
      </c>
      <c r="K21">
        <f>SUMIF('STOCK OUT'!$C:$C, A21, 'STOCK OUT'!$E:$E)</f>
        <v>105</v>
      </c>
      <c r="L21">
        <f t="shared" si="0"/>
        <v>104</v>
      </c>
      <c r="M21" t="str" cm="1">
        <f t="array" ref="M21">_xlfn.IFS(L21&lt;=0, "OUT OF STOCK", L21&lt;=F21, "REORDER", L21&lt;=G21, "LOW STOCK", TRUE, "IN STOCK")</f>
        <v>IN STOCK</v>
      </c>
      <c r="N21" s="2">
        <f t="shared" si="1"/>
        <v>16640000</v>
      </c>
      <c r="O21">
        <v>107</v>
      </c>
      <c r="P21">
        <f t="shared" si="2"/>
        <v>3</v>
      </c>
      <c r="Q21" t="str">
        <f>_xlfn.XLOOKUP(A21, 'Item Master'!$B$3:$B$502, 'Item Master'!$G$3:$G$502,,0)</f>
        <v>PT Sumber Teknologi Nusantara</v>
      </c>
      <c r="R21" t="str">
        <f t="shared" si="3"/>
        <v>SURPLUS</v>
      </c>
    </row>
    <row r="22" spans="1:18" x14ac:dyDescent="0.25">
      <c r="A22" t="s">
        <v>78</v>
      </c>
      <c r="B22" t="s">
        <v>21</v>
      </c>
      <c r="C22" t="s">
        <v>16</v>
      </c>
      <c r="D22" t="s">
        <v>2</v>
      </c>
      <c r="E22">
        <v>55</v>
      </c>
      <c r="F22">
        <v>37</v>
      </c>
      <c r="G22">
        <v>45</v>
      </c>
      <c r="H22" s="2">
        <v>117000</v>
      </c>
      <c r="I22" t="s">
        <v>79</v>
      </c>
      <c r="J22">
        <f>SUMIF('STOCK IN'!$C:$C, A22, 'STOCK IN'!$E:$E)</f>
        <v>27</v>
      </c>
      <c r="K22">
        <f>SUMIF('STOCK OUT'!$C:$C, A22, 'STOCK OUT'!$E:$E)</f>
        <v>22</v>
      </c>
      <c r="L22">
        <f t="shared" si="0"/>
        <v>60</v>
      </c>
      <c r="M22" t="str" cm="1">
        <f t="array" ref="M22">_xlfn.IFS(L22&lt;=0, "OUT OF STOCK", L22&lt;=F22, "REORDER", L22&lt;=G22, "LOW STOCK", TRUE, "IN STOCK")</f>
        <v>IN STOCK</v>
      </c>
      <c r="N22" s="2">
        <f t="shared" si="1"/>
        <v>7020000</v>
      </c>
      <c r="O22">
        <v>60</v>
      </c>
      <c r="P22">
        <f t="shared" si="2"/>
        <v>0</v>
      </c>
      <c r="Q22" t="str">
        <f>_xlfn.XLOOKUP(A22, 'Item Master'!$B$3:$B$502, 'Item Master'!$G$3:$G$502,,0)</f>
        <v>PT Cipta Sarana Niaga</v>
      </c>
      <c r="R22" t="str">
        <f t="shared" si="3"/>
        <v>CONFORM</v>
      </c>
    </row>
    <row r="23" spans="1:18" x14ac:dyDescent="0.25">
      <c r="A23" t="s">
        <v>80</v>
      </c>
      <c r="B23" t="s">
        <v>54</v>
      </c>
      <c r="C23" t="s">
        <v>16</v>
      </c>
      <c r="D23" t="s">
        <v>2</v>
      </c>
      <c r="E23">
        <v>49</v>
      </c>
      <c r="F23">
        <v>28</v>
      </c>
      <c r="G23">
        <v>57</v>
      </c>
      <c r="H23" s="2">
        <v>75000</v>
      </c>
      <c r="I23" t="s">
        <v>83</v>
      </c>
      <c r="J23">
        <f>SUMIF('STOCK IN'!$C:$C, A23, 'STOCK IN'!$E:$E)</f>
        <v>94</v>
      </c>
      <c r="K23">
        <f>SUMIF('STOCK OUT'!$C:$C, A23, 'STOCK OUT'!$E:$E)</f>
        <v>150</v>
      </c>
      <c r="L23">
        <f t="shared" si="0"/>
        <v>-7</v>
      </c>
      <c r="M23" t="str" cm="1">
        <f t="array" ref="M23">_xlfn.IFS(L23&lt;=0, "OUT OF STOCK", L23&lt;=F23, "REORDER", L23&lt;=G23, "LOW STOCK", TRUE, "IN STOCK")</f>
        <v>OUT OF STOCK</v>
      </c>
      <c r="N23" s="2">
        <f t="shared" si="1"/>
        <v>-525000</v>
      </c>
      <c r="O23">
        <v>0</v>
      </c>
      <c r="P23">
        <f t="shared" si="2"/>
        <v>0</v>
      </c>
      <c r="Q23" t="str">
        <f>_xlfn.XLOOKUP(A23, 'Item Master'!$B$3:$B$502, 'Item Master'!$G$3:$G$502,,0)</f>
        <v>PT Sentosa Distribusi</v>
      </c>
      <c r="R23" t="str">
        <f t="shared" si="3"/>
        <v>CONFORM</v>
      </c>
    </row>
    <row r="24" spans="1:18" x14ac:dyDescent="0.25">
      <c r="A24" t="s">
        <v>84</v>
      </c>
      <c r="B24" t="s">
        <v>1</v>
      </c>
      <c r="C24" t="s">
        <v>16</v>
      </c>
      <c r="D24" t="s">
        <v>2</v>
      </c>
      <c r="E24">
        <v>92</v>
      </c>
      <c r="F24">
        <v>36</v>
      </c>
      <c r="G24">
        <v>41</v>
      </c>
      <c r="H24" s="2">
        <v>121000</v>
      </c>
      <c r="I24" t="s">
        <v>87</v>
      </c>
      <c r="J24">
        <f>SUMIF('STOCK IN'!$C:$C, A24, 'STOCK IN'!$E:$E)</f>
        <v>86</v>
      </c>
      <c r="K24">
        <f>SUMIF('STOCK OUT'!$C:$C, A24, 'STOCK OUT'!$E:$E)</f>
        <v>195</v>
      </c>
      <c r="L24">
        <f t="shared" si="0"/>
        <v>-17</v>
      </c>
      <c r="M24" t="str" cm="1">
        <f t="array" ref="M24">_xlfn.IFS(L24&lt;=0, "OUT OF STOCK", L24&lt;=F24, "REORDER", L24&lt;=G24, "LOW STOCK", TRUE, "IN STOCK")</f>
        <v>OUT OF STOCK</v>
      </c>
      <c r="N24" s="2">
        <f t="shared" si="1"/>
        <v>-2057000</v>
      </c>
      <c r="O24">
        <v>0</v>
      </c>
      <c r="P24">
        <f t="shared" si="2"/>
        <v>0</v>
      </c>
      <c r="Q24" t="str">
        <f>_xlfn.XLOOKUP(A24, 'Item Master'!$B$3:$B$502, 'Item Master'!$G$3:$G$502,,0)</f>
        <v>CV Mitra Perkasa</v>
      </c>
      <c r="R24" t="str">
        <f t="shared" si="3"/>
        <v>CONFORM</v>
      </c>
    </row>
    <row r="25" spans="1:18" x14ac:dyDescent="0.25">
      <c r="A25" t="s">
        <v>88</v>
      </c>
      <c r="B25" t="s">
        <v>26</v>
      </c>
      <c r="C25" t="s">
        <v>16</v>
      </c>
      <c r="D25" t="s">
        <v>2</v>
      </c>
      <c r="E25">
        <v>71</v>
      </c>
      <c r="F25">
        <v>41</v>
      </c>
      <c r="G25">
        <v>48</v>
      </c>
      <c r="H25" s="2">
        <v>209000</v>
      </c>
      <c r="I25" t="s">
        <v>89</v>
      </c>
      <c r="J25">
        <f>SUMIF('STOCK IN'!$C:$C, A25, 'STOCK IN'!$E:$E)</f>
        <v>203</v>
      </c>
      <c r="K25">
        <f>SUMIF('STOCK OUT'!$C:$C, A25, 'STOCK OUT'!$E:$E)</f>
        <v>182</v>
      </c>
      <c r="L25">
        <f t="shared" si="0"/>
        <v>92</v>
      </c>
      <c r="M25" t="str" cm="1">
        <f t="array" ref="M25">_xlfn.IFS(L25&lt;=0, "OUT OF STOCK", L25&lt;=F25, "REORDER", L25&lt;=G25, "LOW STOCK", TRUE, "IN STOCK")</f>
        <v>IN STOCK</v>
      </c>
      <c r="N25" s="2">
        <f t="shared" si="1"/>
        <v>19228000</v>
      </c>
      <c r="O25">
        <v>93</v>
      </c>
      <c r="P25">
        <f t="shared" si="2"/>
        <v>1</v>
      </c>
      <c r="Q25" t="str">
        <f>_xlfn.XLOOKUP(A25, 'Item Master'!$B$3:$B$502, 'Item Master'!$G$3:$G$502,,0)</f>
        <v>CV Mitra Perkasa</v>
      </c>
      <c r="R25" t="str">
        <f t="shared" si="3"/>
        <v>SURPLUS</v>
      </c>
    </row>
    <row r="26" spans="1:18" x14ac:dyDescent="0.25">
      <c r="A26" t="s">
        <v>90</v>
      </c>
      <c r="B26" t="s">
        <v>15</v>
      </c>
      <c r="C26" t="s">
        <v>16</v>
      </c>
      <c r="D26" t="s">
        <v>2</v>
      </c>
      <c r="E26">
        <v>146</v>
      </c>
      <c r="F26">
        <v>13</v>
      </c>
      <c r="G26">
        <v>36</v>
      </c>
      <c r="H26" s="2">
        <v>279000</v>
      </c>
      <c r="I26" t="s">
        <v>73</v>
      </c>
      <c r="J26">
        <f>SUMIF('STOCK IN'!$C:$C, A26, 'STOCK IN'!$E:$E)</f>
        <v>223</v>
      </c>
      <c r="K26">
        <f>SUMIF('STOCK OUT'!$C:$C, A26, 'STOCK OUT'!$E:$E)</f>
        <v>190</v>
      </c>
      <c r="L26">
        <f t="shared" si="0"/>
        <v>179</v>
      </c>
      <c r="M26" t="str" cm="1">
        <f t="array" ref="M26">_xlfn.IFS(L26&lt;=0, "OUT OF STOCK", L26&lt;=F26, "REORDER", L26&lt;=G26, "LOW STOCK", TRUE, "IN STOCK")</f>
        <v>IN STOCK</v>
      </c>
      <c r="N26" s="2">
        <f t="shared" si="1"/>
        <v>49941000</v>
      </c>
      <c r="O26">
        <v>181</v>
      </c>
      <c r="P26">
        <f t="shared" si="2"/>
        <v>2</v>
      </c>
      <c r="Q26" t="str">
        <f>_xlfn.XLOOKUP(A26, 'Item Master'!$B$3:$B$502, 'Item Master'!$G$3:$G$502,,0)</f>
        <v>CV Karya Mandiri</v>
      </c>
      <c r="R26" t="str">
        <f t="shared" si="3"/>
        <v>SURPLUS</v>
      </c>
    </row>
    <row r="27" spans="1:18" x14ac:dyDescent="0.25">
      <c r="A27" t="s">
        <v>91</v>
      </c>
      <c r="B27" t="s">
        <v>47</v>
      </c>
      <c r="C27" t="s">
        <v>16</v>
      </c>
      <c r="D27" t="s">
        <v>2</v>
      </c>
      <c r="E27">
        <v>233</v>
      </c>
      <c r="F27">
        <v>43</v>
      </c>
      <c r="G27">
        <v>61</v>
      </c>
      <c r="H27" s="2">
        <v>360000</v>
      </c>
      <c r="I27" t="s">
        <v>83</v>
      </c>
      <c r="J27">
        <f>SUMIF('STOCK IN'!$C:$C, A27, 'STOCK IN'!$E:$E)</f>
        <v>132</v>
      </c>
      <c r="K27">
        <f>SUMIF('STOCK OUT'!$C:$C, A27, 'STOCK OUT'!$E:$E)</f>
        <v>68</v>
      </c>
      <c r="L27">
        <f t="shared" si="0"/>
        <v>297</v>
      </c>
      <c r="M27" t="str" cm="1">
        <f t="array" ref="M27">_xlfn.IFS(L27&lt;=0, "OUT OF STOCK", L27&lt;=F27, "REORDER", L27&lt;=G27, "LOW STOCK", TRUE, "IN STOCK")</f>
        <v>IN STOCK</v>
      </c>
      <c r="N27" s="2">
        <f t="shared" si="1"/>
        <v>106920000</v>
      </c>
      <c r="O27">
        <v>294</v>
      </c>
      <c r="P27">
        <f t="shared" si="2"/>
        <v>-3</v>
      </c>
      <c r="Q27" t="str">
        <f>_xlfn.XLOOKUP(A27, 'Item Master'!$B$3:$B$502, 'Item Master'!$G$3:$G$502,,0)</f>
        <v>CV Prima Logistik</v>
      </c>
      <c r="R27" t="str">
        <f t="shared" si="3"/>
        <v>MINUS</v>
      </c>
    </row>
    <row r="28" spans="1:18" x14ac:dyDescent="0.25">
      <c r="A28" t="s">
        <v>92</v>
      </c>
      <c r="B28" t="s">
        <v>47</v>
      </c>
      <c r="C28" t="s">
        <v>16</v>
      </c>
      <c r="D28" t="s">
        <v>2</v>
      </c>
      <c r="E28">
        <v>181</v>
      </c>
      <c r="F28">
        <v>46</v>
      </c>
      <c r="G28">
        <v>62</v>
      </c>
      <c r="H28" s="2">
        <v>294000</v>
      </c>
      <c r="I28" t="s">
        <v>93</v>
      </c>
      <c r="J28">
        <f>SUMIF('STOCK IN'!$C:$C, A28, 'STOCK IN'!$E:$E)</f>
        <v>117</v>
      </c>
      <c r="K28">
        <f>SUMIF('STOCK OUT'!$C:$C, A28, 'STOCK OUT'!$E:$E)</f>
        <v>38</v>
      </c>
      <c r="L28">
        <f t="shared" si="0"/>
        <v>260</v>
      </c>
      <c r="M28" t="str" cm="1">
        <f t="array" ref="M28">_xlfn.IFS(L28&lt;=0, "OUT OF STOCK", L28&lt;=F28, "REORDER", L28&lt;=G28, "LOW STOCK", TRUE, "IN STOCK")</f>
        <v>IN STOCK</v>
      </c>
      <c r="N28" s="2">
        <f t="shared" si="1"/>
        <v>76440000</v>
      </c>
      <c r="O28">
        <v>261</v>
      </c>
      <c r="P28">
        <f t="shared" si="2"/>
        <v>1</v>
      </c>
      <c r="Q28" t="str">
        <f>_xlfn.XLOOKUP(A28, 'Item Master'!$B$3:$B$502, 'Item Master'!$G$3:$G$502,,0)</f>
        <v>CV Karya Mandiri</v>
      </c>
      <c r="R28" t="str">
        <f t="shared" si="3"/>
        <v>SURPLUS</v>
      </c>
    </row>
    <row r="29" spans="1:18" x14ac:dyDescent="0.25">
      <c r="A29" t="s">
        <v>94</v>
      </c>
      <c r="B29" t="s">
        <v>15</v>
      </c>
      <c r="C29" t="s">
        <v>16</v>
      </c>
      <c r="D29" t="s">
        <v>2</v>
      </c>
      <c r="E29">
        <v>67</v>
      </c>
      <c r="F29">
        <v>9</v>
      </c>
      <c r="G29">
        <v>24</v>
      </c>
      <c r="H29" s="2">
        <v>148000</v>
      </c>
      <c r="I29" t="s">
        <v>95</v>
      </c>
      <c r="J29">
        <f>SUMIF('STOCK IN'!$C:$C, A29, 'STOCK IN'!$E:$E)</f>
        <v>344</v>
      </c>
      <c r="K29">
        <f>SUMIF('STOCK OUT'!$C:$C, A29, 'STOCK OUT'!$E:$E)</f>
        <v>258</v>
      </c>
      <c r="L29">
        <f t="shared" si="0"/>
        <v>153</v>
      </c>
      <c r="M29" t="str" cm="1">
        <f t="array" ref="M29">_xlfn.IFS(L29&lt;=0, "OUT OF STOCK", L29&lt;=F29, "REORDER", L29&lt;=G29, "LOW STOCK", TRUE, "IN STOCK")</f>
        <v>IN STOCK</v>
      </c>
      <c r="N29" s="2">
        <f t="shared" si="1"/>
        <v>22644000</v>
      </c>
      <c r="O29">
        <v>155</v>
      </c>
      <c r="P29">
        <f t="shared" si="2"/>
        <v>2</v>
      </c>
      <c r="Q29" t="str">
        <f>_xlfn.XLOOKUP(A29, 'Item Master'!$B$3:$B$502, 'Item Master'!$G$3:$G$502,,0)</f>
        <v>PT Sumber Teknologi Nusantara</v>
      </c>
      <c r="R29" t="str">
        <f t="shared" si="3"/>
        <v>SURPLUS</v>
      </c>
    </row>
    <row r="30" spans="1:18" x14ac:dyDescent="0.25">
      <c r="A30" t="s">
        <v>96</v>
      </c>
      <c r="B30" t="s">
        <v>26</v>
      </c>
      <c r="C30" t="s">
        <v>16</v>
      </c>
      <c r="D30" t="s">
        <v>2</v>
      </c>
      <c r="E30">
        <v>66</v>
      </c>
      <c r="F30">
        <v>5</v>
      </c>
      <c r="G30">
        <v>16</v>
      </c>
      <c r="H30" s="2">
        <v>481000</v>
      </c>
      <c r="I30" t="s">
        <v>59</v>
      </c>
      <c r="J30">
        <f>SUMIF('STOCK IN'!$C:$C, A30, 'STOCK IN'!$E:$E)</f>
        <v>57</v>
      </c>
      <c r="K30">
        <f>SUMIF('STOCK OUT'!$C:$C, A30, 'STOCK OUT'!$E:$E)</f>
        <v>114</v>
      </c>
      <c r="L30">
        <f t="shared" si="0"/>
        <v>9</v>
      </c>
      <c r="M30" t="str" cm="1">
        <f t="array" ref="M30">_xlfn.IFS(L30&lt;=0, "OUT OF STOCK", L30&lt;=F30, "REORDER", L30&lt;=G30, "LOW STOCK", TRUE, "IN STOCK")</f>
        <v>LOW STOCK</v>
      </c>
      <c r="N30" s="2">
        <f t="shared" si="1"/>
        <v>4329000</v>
      </c>
      <c r="O30">
        <v>9</v>
      </c>
      <c r="P30">
        <f t="shared" si="2"/>
        <v>0</v>
      </c>
      <c r="Q30" t="str">
        <f>_xlfn.XLOOKUP(A30, 'Item Master'!$B$3:$B$502, 'Item Master'!$G$3:$G$502,,0)</f>
        <v>PT Sumber Teknologi Nusantara</v>
      </c>
      <c r="R30" t="str">
        <f t="shared" si="3"/>
        <v>CONFORM</v>
      </c>
    </row>
    <row r="31" spans="1:18" x14ac:dyDescent="0.25">
      <c r="A31" t="s">
        <v>97</v>
      </c>
      <c r="B31" t="s">
        <v>1</v>
      </c>
      <c r="C31" t="s">
        <v>16</v>
      </c>
      <c r="D31" t="s">
        <v>2</v>
      </c>
      <c r="E31">
        <v>28</v>
      </c>
      <c r="F31">
        <v>37</v>
      </c>
      <c r="G31">
        <v>49</v>
      </c>
      <c r="H31" s="2">
        <v>87000</v>
      </c>
      <c r="I31" t="s">
        <v>98</v>
      </c>
      <c r="J31">
        <f>SUMIF('STOCK IN'!$C:$C, A31, 'STOCK IN'!$E:$E)</f>
        <v>0</v>
      </c>
      <c r="K31">
        <f>SUMIF('STOCK OUT'!$C:$C, A31, 'STOCK OUT'!$E:$E)</f>
        <v>251</v>
      </c>
      <c r="L31">
        <f t="shared" si="0"/>
        <v>-223</v>
      </c>
      <c r="M31" t="str" cm="1">
        <f t="array" ref="M31">_xlfn.IFS(L31&lt;=0, "OUT OF STOCK", L31&lt;=F31, "REORDER", L31&lt;=G31, "LOW STOCK", TRUE, "IN STOCK")</f>
        <v>OUT OF STOCK</v>
      </c>
      <c r="N31" s="2">
        <f t="shared" si="1"/>
        <v>-19401000</v>
      </c>
      <c r="O31">
        <v>0</v>
      </c>
      <c r="P31">
        <f t="shared" si="2"/>
        <v>0</v>
      </c>
      <c r="Q31" t="str">
        <f>_xlfn.XLOOKUP(A31, 'Item Master'!$B$3:$B$502, 'Item Master'!$G$3:$G$502,,0)</f>
        <v>PT Cipta Sarana Niaga</v>
      </c>
      <c r="R31" t="str">
        <f t="shared" si="3"/>
        <v>CONFORM</v>
      </c>
    </row>
    <row r="32" spans="1:18" x14ac:dyDescent="0.25">
      <c r="A32" t="s">
        <v>99</v>
      </c>
      <c r="B32" t="s">
        <v>26</v>
      </c>
      <c r="C32" t="s">
        <v>16</v>
      </c>
      <c r="D32" t="s">
        <v>2</v>
      </c>
      <c r="E32">
        <v>43</v>
      </c>
      <c r="F32">
        <v>41</v>
      </c>
      <c r="G32">
        <v>64</v>
      </c>
      <c r="H32" s="2">
        <v>456000</v>
      </c>
      <c r="I32" t="s">
        <v>100</v>
      </c>
      <c r="J32">
        <f>SUMIF('STOCK IN'!$C:$C, A32, 'STOCK IN'!$E:$E)</f>
        <v>55</v>
      </c>
      <c r="K32">
        <f>SUMIF('STOCK OUT'!$C:$C, A32, 'STOCK OUT'!$E:$E)</f>
        <v>234</v>
      </c>
      <c r="L32">
        <f t="shared" si="0"/>
        <v>-136</v>
      </c>
      <c r="M32" t="str" cm="1">
        <f t="array" ref="M32">_xlfn.IFS(L32&lt;=0, "OUT OF STOCK", L32&lt;=F32, "REORDER", L32&lt;=G32, "LOW STOCK", TRUE, "IN STOCK")</f>
        <v>OUT OF STOCK</v>
      </c>
      <c r="N32" s="2">
        <f t="shared" si="1"/>
        <v>-62016000</v>
      </c>
      <c r="O32">
        <v>0</v>
      </c>
      <c r="P32">
        <f t="shared" si="2"/>
        <v>0</v>
      </c>
      <c r="Q32" t="str">
        <f>_xlfn.XLOOKUP(A32, 'Item Master'!$B$3:$B$502, 'Item Master'!$G$3:$G$502,,0)</f>
        <v>CV Karya Mandiri</v>
      </c>
      <c r="R32" t="str">
        <f t="shared" si="3"/>
        <v>CONFORM</v>
      </c>
    </row>
    <row r="33" spans="1:18" x14ac:dyDescent="0.25">
      <c r="A33" t="s">
        <v>101</v>
      </c>
      <c r="B33" t="s">
        <v>29</v>
      </c>
      <c r="C33" t="s">
        <v>16</v>
      </c>
      <c r="D33" t="s">
        <v>2</v>
      </c>
      <c r="E33">
        <v>34</v>
      </c>
      <c r="F33">
        <v>11</v>
      </c>
      <c r="G33">
        <v>37</v>
      </c>
      <c r="H33" s="2">
        <v>177000</v>
      </c>
      <c r="I33" t="s">
        <v>102</v>
      </c>
      <c r="J33">
        <f>SUMIF('STOCK IN'!$C:$C, A33, 'STOCK IN'!$E:$E)</f>
        <v>138</v>
      </c>
      <c r="K33">
        <f>SUMIF('STOCK OUT'!$C:$C, A33, 'STOCK OUT'!$E:$E)</f>
        <v>73</v>
      </c>
      <c r="L33">
        <f t="shared" si="0"/>
        <v>99</v>
      </c>
      <c r="M33" t="str" cm="1">
        <f t="array" ref="M33">_xlfn.IFS(L33&lt;=0, "OUT OF STOCK", L33&lt;=F33, "REORDER", L33&lt;=G33, "LOW STOCK", TRUE, "IN STOCK")</f>
        <v>IN STOCK</v>
      </c>
      <c r="N33" s="2">
        <f t="shared" si="1"/>
        <v>17523000</v>
      </c>
      <c r="O33">
        <v>97</v>
      </c>
      <c r="P33">
        <f t="shared" si="2"/>
        <v>-2</v>
      </c>
      <c r="Q33" t="str">
        <f>_xlfn.XLOOKUP(A33, 'Item Master'!$B$3:$B$502, 'Item Master'!$G$3:$G$502,,0)</f>
        <v>PT Global Office Supply</v>
      </c>
      <c r="R33" t="str">
        <f t="shared" si="3"/>
        <v>MINUS</v>
      </c>
    </row>
    <row r="34" spans="1:18" x14ac:dyDescent="0.25">
      <c r="A34" t="s">
        <v>103</v>
      </c>
      <c r="B34" t="s">
        <v>29</v>
      </c>
      <c r="C34" t="s">
        <v>16</v>
      </c>
      <c r="D34" t="s">
        <v>2</v>
      </c>
      <c r="E34">
        <v>231</v>
      </c>
      <c r="F34">
        <v>8</v>
      </c>
      <c r="G34">
        <v>57</v>
      </c>
      <c r="H34" s="2">
        <v>319000</v>
      </c>
      <c r="I34" t="s">
        <v>104</v>
      </c>
      <c r="J34">
        <f>SUMIF('STOCK IN'!$C:$C, A34, 'STOCK IN'!$E:$E)</f>
        <v>137</v>
      </c>
      <c r="K34">
        <f>SUMIF('STOCK OUT'!$C:$C, A34, 'STOCK OUT'!$E:$E)</f>
        <v>143</v>
      </c>
      <c r="L34">
        <f t="shared" si="0"/>
        <v>225</v>
      </c>
      <c r="M34" t="str" cm="1">
        <f t="array" ref="M34">_xlfn.IFS(L34&lt;=0, "OUT OF STOCK", L34&lt;=F34, "REORDER", L34&lt;=G34, "LOW STOCK", TRUE, "IN STOCK")</f>
        <v>IN STOCK</v>
      </c>
      <c r="N34" s="2">
        <f t="shared" si="1"/>
        <v>71775000</v>
      </c>
      <c r="O34">
        <v>225</v>
      </c>
      <c r="P34">
        <f t="shared" si="2"/>
        <v>0</v>
      </c>
      <c r="Q34" t="str">
        <f>_xlfn.XLOOKUP(A34, 'Item Master'!$B$3:$B$502, 'Item Master'!$G$3:$G$502,,0)</f>
        <v>CV Mitra Perkasa</v>
      </c>
      <c r="R34" t="str">
        <f t="shared" si="3"/>
        <v>CONFORM</v>
      </c>
    </row>
    <row r="35" spans="1:18" x14ac:dyDescent="0.25">
      <c r="A35" t="s">
        <v>105</v>
      </c>
      <c r="B35" t="s">
        <v>44</v>
      </c>
      <c r="C35" t="s">
        <v>16</v>
      </c>
      <c r="D35" t="s">
        <v>2</v>
      </c>
      <c r="E35">
        <v>73</v>
      </c>
      <c r="F35">
        <v>17</v>
      </c>
      <c r="G35">
        <v>28</v>
      </c>
      <c r="H35" s="2">
        <v>28000</v>
      </c>
      <c r="I35" t="s">
        <v>106</v>
      </c>
      <c r="J35">
        <f>SUMIF('STOCK IN'!$C:$C, A35, 'STOCK IN'!$E:$E)</f>
        <v>92</v>
      </c>
      <c r="K35">
        <f>SUMIF('STOCK OUT'!$C:$C, A35, 'STOCK OUT'!$E:$E)</f>
        <v>101</v>
      </c>
      <c r="L35">
        <f t="shared" si="0"/>
        <v>64</v>
      </c>
      <c r="M35" t="str" cm="1">
        <f t="array" ref="M35">_xlfn.IFS(L35&lt;=0, "OUT OF STOCK", L35&lt;=F35, "REORDER", L35&lt;=G35, "LOW STOCK", TRUE, "IN STOCK")</f>
        <v>IN STOCK</v>
      </c>
      <c r="N35" s="2">
        <f t="shared" si="1"/>
        <v>1792000</v>
      </c>
      <c r="O35">
        <v>64</v>
      </c>
      <c r="P35">
        <f t="shared" si="2"/>
        <v>0</v>
      </c>
      <c r="Q35" t="str">
        <f>_xlfn.XLOOKUP(A35, 'Item Master'!$B$3:$B$502, 'Item Master'!$G$3:$G$502,,0)</f>
        <v>PT Indo Elektrik</v>
      </c>
      <c r="R35" t="str">
        <f t="shared" si="3"/>
        <v>CONFORM</v>
      </c>
    </row>
    <row r="36" spans="1:18" x14ac:dyDescent="0.25">
      <c r="A36" t="s">
        <v>107</v>
      </c>
      <c r="B36" t="s">
        <v>29</v>
      </c>
      <c r="C36" t="s">
        <v>16</v>
      </c>
      <c r="D36" t="s">
        <v>2</v>
      </c>
      <c r="E36">
        <v>81</v>
      </c>
      <c r="F36">
        <v>34</v>
      </c>
      <c r="G36">
        <v>46</v>
      </c>
      <c r="H36" s="2">
        <v>173000</v>
      </c>
      <c r="I36" t="s">
        <v>108</v>
      </c>
      <c r="J36">
        <f>SUMIF('STOCK IN'!$C:$C, A36, 'STOCK IN'!$E:$E)</f>
        <v>193</v>
      </c>
      <c r="K36">
        <f>SUMIF('STOCK OUT'!$C:$C, A36, 'STOCK OUT'!$E:$E)</f>
        <v>303</v>
      </c>
      <c r="L36">
        <f t="shared" si="0"/>
        <v>-29</v>
      </c>
      <c r="M36" t="str" cm="1">
        <f t="array" ref="M36">_xlfn.IFS(L36&lt;=0, "OUT OF STOCK", L36&lt;=F36, "REORDER", L36&lt;=G36, "LOW STOCK", TRUE, "IN STOCK")</f>
        <v>OUT OF STOCK</v>
      </c>
      <c r="N36" s="2">
        <f t="shared" si="1"/>
        <v>-5017000</v>
      </c>
      <c r="O36">
        <v>0</v>
      </c>
      <c r="P36">
        <f t="shared" si="2"/>
        <v>0</v>
      </c>
      <c r="Q36" t="str">
        <f>_xlfn.XLOOKUP(A36, 'Item Master'!$B$3:$B$502, 'Item Master'!$G$3:$G$502,,0)</f>
        <v>CV Mitra Perkasa</v>
      </c>
      <c r="R36" t="str">
        <f t="shared" si="3"/>
        <v>CONFORM</v>
      </c>
    </row>
    <row r="37" spans="1:18" x14ac:dyDescent="0.25">
      <c r="A37" t="s">
        <v>109</v>
      </c>
      <c r="B37" t="s">
        <v>15</v>
      </c>
      <c r="C37" t="s">
        <v>16</v>
      </c>
      <c r="D37" t="s">
        <v>2</v>
      </c>
      <c r="E37">
        <v>176</v>
      </c>
      <c r="F37">
        <v>39</v>
      </c>
      <c r="G37">
        <v>44</v>
      </c>
      <c r="H37" s="2">
        <v>97000</v>
      </c>
      <c r="I37" t="s">
        <v>110</v>
      </c>
      <c r="J37">
        <f>SUMIF('STOCK IN'!$C:$C, A37, 'STOCK IN'!$E:$E)</f>
        <v>30</v>
      </c>
      <c r="K37">
        <f>SUMIF('STOCK OUT'!$C:$C, A37, 'STOCK OUT'!$E:$E)</f>
        <v>1</v>
      </c>
      <c r="L37">
        <f t="shared" si="0"/>
        <v>205</v>
      </c>
      <c r="M37" t="str" cm="1">
        <f t="array" ref="M37">_xlfn.IFS(L37&lt;=0, "OUT OF STOCK", L37&lt;=F37, "REORDER", L37&lt;=G37, "LOW STOCK", TRUE, "IN STOCK")</f>
        <v>IN STOCK</v>
      </c>
      <c r="N37" s="2">
        <f t="shared" si="1"/>
        <v>19885000</v>
      </c>
      <c r="O37">
        <v>203</v>
      </c>
      <c r="P37">
        <f t="shared" si="2"/>
        <v>-2</v>
      </c>
      <c r="Q37" t="str">
        <f>_xlfn.XLOOKUP(A37, 'Item Master'!$B$3:$B$502, 'Item Master'!$G$3:$G$502,,0)</f>
        <v>CV Mitra Perkasa</v>
      </c>
      <c r="R37" t="str">
        <f t="shared" si="3"/>
        <v>MINUS</v>
      </c>
    </row>
    <row r="38" spans="1:18" x14ac:dyDescent="0.25">
      <c r="A38" t="s">
        <v>111</v>
      </c>
      <c r="B38" t="s">
        <v>66</v>
      </c>
      <c r="C38" t="s">
        <v>16</v>
      </c>
      <c r="D38" t="s">
        <v>2</v>
      </c>
      <c r="E38">
        <v>134</v>
      </c>
      <c r="F38">
        <v>35</v>
      </c>
      <c r="G38">
        <v>46</v>
      </c>
      <c r="H38" s="2">
        <v>174000</v>
      </c>
      <c r="I38" t="s">
        <v>104</v>
      </c>
      <c r="J38">
        <f>SUMIF('STOCK IN'!$C:$C, A38, 'STOCK IN'!$E:$E)</f>
        <v>200</v>
      </c>
      <c r="K38">
        <f>SUMIF('STOCK OUT'!$C:$C, A38, 'STOCK OUT'!$E:$E)</f>
        <v>140</v>
      </c>
      <c r="L38">
        <f t="shared" si="0"/>
        <v>194</v>
      </c>
      <c r="M38" t="str" cm="1">
        <f t="array" ref="M38">_xlfn.IFS(L38&lt;=0, "OUT OF STOCK", L38&lt;=F38, "REORDER", L38&lt;=G38, "LOW STOCK", TRUE, "IN STOCK")</f>
        <v>IN STOCK</v>
      </c>
      <c r="N38" s="2">
        <f t="shared" si="1"/>
        <v>33756000</v>
      </c>
      <c r="O38">
        <v>194</v>
      </c>
      <c r="P38">
        <f t="shared" si="2"/>
        <v>0</v>
      </c>
      <c r="Q38" t="str">
        <f>_xlfn.XLOOKUP(A38, 'Item Master'!$B$3:$B$502, 'Item Master'!$G$3:$G$502,,0)</f>
        <v>PT Global Office Supply</v>
      </c>
      <c r="R38" t="str">
        <f t="shared" si="3"/>
        <v>CONFORM</v>
      </c>
    </row>
    <row r="39" spans="1:18" x14ac:dyDescent="0.25">
      <c r="A39" t="s">
        <v>112</v>
      </c>
      <c r="B39" t="s">
        <v>29</v>
      </c>
      <c r="C39" t="s">
        <v>16</v>
      </c>
      <c r="D39" t="s">
        <v>2</v>
      </c>
      <c r="E39">
        <v>109</v>
      </c>
      <c r="F39">
        <v>21</v>
      </c>
      <c r="G39">
        <v>51</v>
      </c>
      <c r="H39" s="2">
        <v>81000</v>
      </c>
      <c r="I39" t="s">
        <v>113</v>
      </c>
      <c r="J39">
        <f>SUMIF('STOCK IN'!$C:$C, A39, 'STOCK IN'!$E:$E)</f>
        <v>116</v>
      </c>
      <c r="K39">
        <f>SUMIF('STOCK OUT'!$C:$C, A39, 'STOCK OUT'!$E:$E)</f>
        <v>221</v>
      </c>
      <c r="L39">
        <f t="shared" si="0"/>
        <v>4</v>
      </c>
      <c r="M39" t="str" cm="1">
        <f t="array" ref="M39">_xlfn.IFS(L39&lt;=0, "OUT OF STOCK", L39&lt;=F39, "REORDER", L39&lt;=G39, "LOW STOCK", TRUE, "IN STOCK")</f>
        <v>REORDER</v>
      </c>
      <c r="N39" s="2">
        <f t="shared" si="1"/>
        <v>324000</v>
      </c>
      <c r="O39">
        <v>1</v>
      </c>
      <c r="P39">
        <f t="shared" si="2"/>
        <v>-3</v>
      </c>
      <c r="Q39" t="str">
        <f>_xlfn.XLOOKUP(A39, 'Item Master'!$B$3:$B$502, 'Item Master'!$G$3:$G$502,,0)</f>
        <v>CV Karya Mandiri</v>
      </c>
      <c r="R39" t="str">
        <f t="shared" si="3"/>
        <v>MINUS</v>
      </c>
    </row>
    <row r="40" spans="1:18" x14ac:dyDescent="0.25">
      <c r="A40" t="s">
        <v>114</v>
      </c>
      <c r="B40" t="s">
        <v>21</v>
      </c>
      <c r="C40" t="s">
        <v>16</v>
      </c>
      <c r="D40" t="s">
        <v>2</v>
      </c>
      <c r="E40">
        <v>193</v>
      </c>
      <c r="F40">
        <v>36</v>
      </c>
      <c r="G40">
        <v>48</v>
      </c>
      <c r="H40" s="2">
        <v>104000</v>
      </c>
      <c r="I40" t="s">
        <v>42</v>
      </c>
      <c r="J40">
        <f>SUMIF('STOCK IN'!$C:$C, A40, 'STOCK IN'!$E:$E)</f>
        <v>33</v>
      </c>
      <c r="K40">
        <f>SUMIF('STOCK OUT'!$C:$C, A40, 'STOCK OUT'!$E:$E)</f>
        <v>79</v>
      </c>
      <c r="L40">
        <f t="shared" si="0"/>
        <v>147</v>
      </c>
      <c r="M40" t="str" cm="1">
        <f t="array" ref="M40">_xlfn.IFS(L40&lt;=0, "OUT OF STOCK", L40&lt;=F40, "REORDER", L40&lt;=G40, "LOW STOCK", TRUE, "IN STOCK")</f>
        <v>IN STOCK</v>
      </c>
      <c r="N40" s="2">
        <f t="shared" si="1"/>
        <v>15288000</v>
      </c>
      <c r="O40">
        <v>145</v>
      </c>
      <c r="P40">
        <f t="shared" si="2"/>
        <v>-2</v>
      </c>
      <c r="Q40" t="str">
        <f>_xlfn.XLOOKUP(A40, 'Item Master'!$B$3:$B$502, 'Item Master'!$G$3:$G$502,,0)</f>
        <v>CV Prima Logistik</v>
      </c>
      <c r="R40" t="str">
        <f t="shared" si="3"/>
        <v>MINUS</v>
      </c>
    </row>
    <row r="41" spans="1:18" x14ac:dyDescent="0.25">
      <c r="A41" t="s">
        <v>115</v>
      </c>
      <c r="B41" t="s">
        <v>1</v>
      </c>
      <c r="C41" t="s">
        <v>16</v>
      </c>
      <c r="D41" t="s">
        <v>2</v>
      </c>
      <c r="E41">
        <v>198</v>
      </c>
      <c r="F41">
        <v>39</v>
      </c>
      <c r="G41">
        <v>49</v>
      </c>
      <c r="H41" s="2">
        <v>119000</v>
      </c>
      <c r="I41" t="s">
        <v>104</v>
      </c>
      <c r="J41">
        <f>SUMIF('STOCK IN'!$C:$C, A41, 'STOCK IN'!$E:$E)</f>
        <v>36</v>
      </c>
      <c r="K41">
        <f>SUMIF('STOCK OUT'!$C:$C, A41, 'STOCK OUT'!$E:$E)</f>
        <v>46</v>
      </c>
      <c r="L41">
        <f t="shared" si="0"/>
        <v>188</v>
      </c>
      <c r="M41" t="str" cm="1">
        <f t="array" ref="M41">_xlfn.IFS(L41&lt;=0, "OUT OF STOCK", L41&lt;=F41, "REORDER", L41&lt;=G41, "LOW STOCK", TRUE, "IN STOCK")</f>
        <v>IN STOCK</v>
      </c>
      <c r="N41" s="2">
        <f t="shared" si="1"/>
        <v>22372000</v>
      </c>
      <c r="O41">
        <v>189</v>
      </c>
      <c r="P41">
        <f t="shared" si="2"/>
        <v>1</v>
      </c>
      <c r="Q41" t="str">
        <f>_xlfn.XLOOKUP(A41, 'Item Master'!$B$3:$B$502, 'Item Master'!$G$3:$G$502,,0)</f>
        <v>CV Berkah Jaya</v>
      </c>
      <c r="R41" t="str">
        <f t="shared" si="3"/>
        <v>SURPLUS</v>
      </c>
    </row>
    <row r="42" spans="1:18" x14ac:dyDescent="0.25">
      <c r="A42" t="s">
        <v>116</v>
      </c>
      <c r="B42" t="s">
        <v>54</v>
      </c>
      <c r="C42" t="s">
        <v>16</v>
      </c>
      <c r="D42" t="s">
        <v>2</v>
      </c>
      <c r="E42">
        <v>138</v>
      </c>
      <c r="F42">
        <v>38</v>
      </c>
      <c r="G42">
        <v>48</v>
      </c>
      <c r="H42" s="2">
        <v>147000</v>
      </c>
      <c r="I42" t="s">
        <v>117</v>
      </c>
      <c r="J42">
        <f>SUMIF('STOCK IN'!$C:$C, A42, 'STOCK IN'!$E:$E)</f>
        <v>163</v>
      </c>
      <c r="K42">
        <f>SUMIF('STOCK OUT'!$C:$C, A42, 'STOCK OUT'!$E:$E)</f>
        <v>195</v>
      </c>
      <c r="L42">
        <f t="shared" si="0"/>
        <v>106</v>
      </c>
      <c r="M42" t="str" cm="1">
        <f t="array" ref="M42">_xlfn.IFS(L42&lt;=0, "OUT OF STOCK", L42&lt;=F42, "REORDER", L42&lt;=G42, "LOW STOCK", TRUE, "IN STOCK")</f>
        <v>IN STOCK</v>
      </c>
      <c r="N42" s="2">
        <f t="shared" si="1"/>
        <v>15582000</v>
      </c>
      <c r="O42">
        <v>106</v>
      </c>
      <c r="P42">
        <f t="shared" si="2"/>
        <v>0</v>
      </c>
      <c r="Q42" t="str">
        <f>_xlfn.XLOOKUP(A42, 'Item Master'!$B$3:$B$502, 'Item Master'!$G$3:$G$502,,0)</f>
        <v>PT Sumber Teknologi Nusantara</v>
      </c>
      <c r="R42" t="str">
        <f t="shared" si="3"/>
        <v>CONFORM</v>
      </c>
    </row>
    <row r="43" spans="1:18" x14ac:dyDescent="0.25">
      <c r="A43" t="s">
        <v>118</v>
      </c>
      <c r="B43" t="s">
        <v>66</v>
      </c>
      <c r="C43" t="s">
        <v>16</v>
      </c>
      <c r="D43" t="s">
        <v>2</v>
      </c>
      <c r="E43">
        <v>162</v>
      </c>
      <c r="F43">
        <v>9</v>
      </c>
      <c r="G43">
        <v>40</v>
      </c>
      <c r="H43" s="2">
        <v>87000</v>
      </c>
      <c r="I43" t="s">
        <v>119</v>
      </c>
      <c r="J43">
        <f>SUMIF('STOCK IN'!$C:$C, A43, 'STOCK IN'!$E:$E)</f>
        <v>112</v>
      </c>
      <c r="K43">
        <f>SUMIF('STOCK OUT'!$C:$C, A43, 'STOCK OUT'!$E:$E)</f>
        <v>43</v>
      </c>
      <c r="L43">
        <f t="shared" si="0"/>
        <v>231</v>
      </c>
      <c r="M43" t="str" cm="1">
        <f t="array" ref="M43">_xlfn.IFS(L43&lt;=0, "OUT OF STOCK", L43&lt;=F43, "REORDER", L43&lt;=G43, "LOW STOCK", TRUE, "IN STOCK")</f>
        <v>IN STOCK</v>
      </c>
      <c r="N43" s="2">
        <f t="shared" si="1"/>
        <v>20097000</v>
      </c>
      <c r="O43">
        <v>230</v>
      </c>
      <c r="P43">
        <f t="shared" si="2"/>
        <v>-1</v>
      </c>
      <c r="Q43" t="str">
        <f>_xlfn.XLOOKUP(A43, 'Item Master'!$B$3:$B$502, 'Item Master'!$G$3:$G$502,,0)</f>
        <v>CV Prima Logistik</v>
      </c>
      <c r="R43" t="str">
        <f t="shared" si="3"/>
        <v>MINUS</v>
      </c>
    </row>
    <row r="44" spans="1:18" x14ac:dyDescent="0.25">
      <c r="A44" t="s">
        <v>120</v>
      </c>
      <c r="B44" t="s">
        <v>54</v>
      </c>
      <c r="C44" t="s">
        <v>16</v>
      </c>
      <c r="D44" t="s">
        <v>2</v>
      </c>
      <c r="E44">
        <v>158</v>
      </c>
      <c r="F44">
        <v>43</v>
      </c>
      <c r="G44">
        <v>49</v>
      </c>
      <c r="H44" s="2">
        <v>88000</v>
      </c>
      <c r="I44" t="s">
        <v>121</v>
      </c>
      <c r="J44">
        <f>SUMIF('STOCK IN'!$C:$C, A44, 'STOCK IN'!$E:$E)</f>
        <v>329</v>
      </c>
      <c r="K44">
        <f>SUMIF('STOCK OUT'!$C:$C, A44, 'STOCK OUT'!$E:$E)</f>
        <v>213</v>
      </c>
      <c r="L44">
        <f t="shared" si="0"/>
        <v>274</v>
      </c>
      <c r="M44" t="str" cm="1">
        <f t="array" ref="M44">_xlfn.IFS(L44&lt;=0, "OUT OF STOCK", L44&lt;=F44, "REORDER", L44&lt;=G44, "LOW STOCK", TRUE, "IN STOCK")</f>
        <v>IN STOCK</v>
      </c>
      <c r="N44" s="2">
        <f t="shared" si="1"/>
        <v>24112000</v>
      </c>
      <c r="O44">
        <v>275</v>
      </c>
      <c r="P44">
        <f t="shared" si="2"/>
        <v>1</v>
      </c>
      <c r="Q44" t="str">
        <f>_xlfn.XLOOKUP(A44, 'Item Master'!$B$3:$B$502, 'Item Master'!$G$3:$G$502,,0)</f>
        <v>PT Solusi Komputer</v>
      </c>
      <c r="R44" t="str">
        <f t="shared" si="3"/>
        <v>SURPLUS</v>
      </c>
    </row>
    <row r="45" spans="1:18" x14ac:dyDescent="0.25">
      <c r="A45" t="s">
        <v>122</v>
      </c>
      <c r="B45" t="s">
        <v>54</v>
      </c>
      <c r="C45" t="s">
        <v>16</v>
      </c>
      <c r="D45" t="s">
        <v>2</v>
      </c>
      <c r="E45">
        <v>143</v>
      </c>
      <c r="F45">
        <v>25</v>
      </c>
      <c r="G45">
        <v>38</v>
      </c>
      <c r="H45" s="2">
        <v>169000</v>
      </c>
      <c r="I45" t="s">
        <v>98</v>
      </c>
      <c r="J45">
        <f>SUMIF('STOCK IN'!$C:$C, A45, 'STOCK IN'!$E:$E)</f>
        <v>330</v>
      </c>
      <c r="K45">
        <f>SUMIF('STOCK OUT'!$C:$C, A45, 'STOCK OUT'!$E:$E)</f>
        <v>81</v>
      </c>
      <c r="L45">
        <f t="shared" si="0"/>
        <v>392</v>
      </c>
      <c r="M45" t="str" cm="1">
        <f t="array" ref="M45">_xlfn.IFS(L45&lt;=0, "OUT OF STOCK", L45&lt;=F45, "REORDER", L45&lt;=G45, "LOW STOCK", TRUE, "IN STOCK")</f>
        <v>IN STOCK</v>
      </c>
      <c r="N45" s="2">
        <f t="shared" si="1"/>
        <v>66248000</v>
      </c>
      <c r="O45">
        <v>390</v>
      </c>
      <c r="P45">
        <f t="shared" si="2"/>
        <v>-2</v>
      </c>
      <c r="Q45" t="str">
        <f>_xlfn.XLOOKUP(A45, 'Item Master'!$B$3:$B$502, 'Item Master'!$G$3:$G$502,,0)</f>
        <v>CV Prima Logistik</v>
      </c>
      <c r="R45" t="str">
        <f t="shared" si="3"/>
        <v>MINUS</v>
      </c>
    </row>
    <row r="46" spans="1:18" x14ac:dyDescent="0.25">
      <c r="A46" t="s">
        <v>123</v>
      </c>
      <c r="B46" t="s">
        <v>26</v>
      </c>
      <c r="C46" t="s">
        <v>16</v>
      </c>
      <c r="D46" t="s">
        <v>2</v>
      </c>
      <c r="E46">
        <v>111</v>
      </c>
      <c r="F46">
        <v>13</v>
      </c>
      <c r="G46">
        <v>39</v>
      </c>
      <c r="H46" s="2">
        <v>315000</v>
      </c>
      <c r="I46" t="s">
        <v>124</v>
      </c>
      <c r="J46">
        <f>SUMIF('STOCK IN'!$C:$C, A46, 'STOCK IN'!$E:$E)</f>
        <v>135</v>
      </c>
      <c r="K46">
        <f>SUMIF('STOCK OUT'!$C:$C, A46, 'STOCK OUT'!$E:$E)</f>
        <v>61</v>
      </c>
      <c r="L46">
        <f t="shared" si="0"/>
        <v>185</v>
      </c>
      <c r="M46" t="str" cm="1">
        <f t="array" ref="M46">_xlfn.IFS(L46&lt;=0, "OUT OF STOCK", L46&lt;=F46, "REORDER", L46&lt;=G46, "LOW STOCK", TRUE, "IN STOCK")</f>
        <v>IN STOCK</v>
      </c>
      <c r="N46" s="2">
        <f t="shared" si="1"/>
        <v>58275000</v>
      </c>
      <c r="O46">
        <v>182</v>
      </c>
      <c r="P46">
        <f t="shared" si="2"/>
        <v>-3</v>
      </c>
      <c r="Q46" t="str">
        <f>_xlfn.XLOOKUP(A46, 'Item Master'!$B$3:$B$502, 'Item Master'!$G$3:$G$502,,0)</f>
        <v>PT Cipta Sarana Niaga</v>
      </c>
      <c r="R46" t="str">
        <f t="shared" si="3"/>
        <v>MINUS</v>
      </c>
    </row>
    <row r="47" spans="1:18" x14ac:dyDescent="0.25">
      <c r="A47" t="s">
        <v>125</v>
      </c>
      <c r="B47" t="s">
        <v>15</v>
      </c>
      <c r="C47" t="s">
        <v>16</v>
      </c>
      <c r="D47" t="s">
        <v>2</v>
      </c>
      <c r="E47">
        <v>127</v>
      </c>
      <c r="F47">
        <v>44</v>
      </c>
      <c r="G47">
        <v>67</v>
      </c>
      <c r="H47" s="2">
        <v>87000</v>
      </c>
      <c r="I47" t="s">
        <v>126</v>
      </c>
      <c r="J47">
        <f>SUMIF('STOCK IN'!$C:$C, A47, 'STOCK IN'!$E:$E)</f>
        <v>64</v>
      </c>
      <c r="K47">
        <f>SUMIF('STOCK OUT'!$C:$C, A47, 'STOCK OUT'!$E:$E)</f>
        <v>78</v>
      </c>
      <c r="L47">
        <f t="shared" si="0"/>
        <v>113</v>
      </c>
      <c r="M47" t="str" cm="1">
        <f t="array" ref="M47">_xlfn.IFS(L47&lt;=0, "OUT OF STOCK", L47&lt;=F47, "REORDER", L47&lt;=G47, "LOW STOCK", TRUE, "IN STOCK")</f>
        <v>IN STOCK</v>
      </c>
      <c r="N47" s="2">
        <f t="shared" si="1"/>
        <v>9831000</v>
      </c>
      <c r="O47">
        <v>115</v>
      </c>
      <c r="P47">
        <f t="shared" si="2"/>
        <v>2</v>
      </c>
      <c r="Q47" t="str">
        <f>_xlfn.XLOOKUP(A47, 'Item Master'!$B$3:$B$502, 'Item Master'!$G$3:$G$502,,0)</f>
        <v>CV Mitra Perkasa</v>
      </c>
      <c r="R47" t="str">
        <f t="shared" si="3"/>
        <v>SURPLUS</v>
      </c>
    </row>
    <row r="48" spans="1:18" x14ac:dyDescent="0.25">
      <c r="A48" t="s">
        <v>127</v>
      </c>
      <c r="B48" t="s">
        <v>26</v>
      </c>
      <c r="C48" t="s">
        <v>16</v>
      </c>
      <c r="D48" t="s">
        <v>2</v>
      </c>
      <c r="E48">
        <v>77</v>
      </c>
      <c r="F48">
        <v>13</v>
      </c>
      <c r="G48">
        <v>29</v>
      </c>
      <c r="H48" s="2">
        <v>439000</v>
      </c>
      <c r="I48" t="s">
        <v>100</v>
      </c>
      <c r="J48">
        <f>SUMIF('STOCK IN'!$C:$C, A48, 'STOCK IN'!$E:$E)</f>
        <v>224</v>
      </c>
      <c r="K48">
        <f>SUMIF('STOCK OUT'!$C:$C, A48, 'STOCK OUT'!$E:$E)</f>
        <v>212</v>
      </c>
      <c r="L48">
        <f t="shared" si="0"/>
        <v>89</v>
      </c>
      <c r="M48" t="str" cm="1">
        <f t="array" ref="M48">_xlfn.IFS(L48&lt;=0, "OUT OF STOCK", L48&lt;=F48, "REORDER", L48&lt;=G48, "LOW STOCK", TRUE, "IN STOCK")</f>
        <v>IN STOCK</v>
      </c>
      <c r="N48" s="2">
        <f t="shared" si="1"/>
        <v>39071000</v>
      </c>
      <c r="O48">
        <v>86</v>
      </c>
      <c r="P48">
        <f t="shared" si="2"/>
        <v>-3</v>
      </c>
      <c r="Q48" t="str">
        <f>_xlfn.XLOOKUP(A48, 'Item Master'!$B$3:$B$502, 'Item Master'!$G$3:$G$502,,0)</f>
        <v>CV Mitra Perkasa</v>
      </c>
      <c r="R48" t="str">
        <f t="shared" si="3"/>
        <v>MINUS</v>
      </c>
    </row>
    <row r="49" spans="1:18" x14ac:dyDescent="0.25">
      <c r="A49" t="s">
        <v>128</v>
      </c>
      <c r="B49" t="s">
        <v>47</v>
      </c>
      <c r="C49" t="s">
        <v>16</v>
      </c>
      <c r="D49" t="s">
        <v>2</v>
      </c>
      <c r="E49">
        <v>122</v>
      </c>
      <c r="F49">
        <v>39</v>
      </c>
      <c r="G49">
        <v>66</v>
      </c>
      <c r="H49" s="2">
        <v>170000</v>
      </c>
      <c r="I49" t="s">
        <v>129</v>
      </c>
      <c r="J49">
        <f>SUMIF('STOCK IN'!$C:$C, A49, 'STOCK IN'!$E:$E)</f>
        <v>166</v>
      </c>
      <c r="K49">
        <f>SUMIF('STOCK OUT'!$C:$C, A49, 'STOCK OUT'!$E:$E)</f>
        <v>137</v>
      </c>
      <c r="L49">
        <f t="shared" si="0"/>
        <v>151</v>
      </c>
      <c r="M49" t="str" cm="1">
        <f t="array" ref="M49">_xlfn.IFS(L49&lt;=0, "OUT OF STOCK", L49&lt;=F49, "REORDER", L49&lt;=G49, "LOW STOCK", TRUE, "IN STOCK")</f>
        <v>IN STOCK</v>
      </c>
      <c r="N49" s="2">
        <f t="shared" si="1"/>
        <v>25670000</v>
      </c>
      <c r="O49">
        <v>151</v>
      </c>
      <c r="P49">
        <f t="shared" si="2"/>
        <v>0</v>
      </c>
      <c r="Q49" t="str">
        <f>_xlfn.XLOOKUP(A49, 'Item Master'!$B$3:$B$502, 'Item Master'!$G$3:$G$502,,0)</f>
        <v>PT Cipta Sarana Niaga</v>
      </c>
      <c r="R49" t="str">
        <f t="shared" si="3"/>
        <v>CONFORM</v>
      </c>
    </row>
    <row r="50" spans="1:18" x14ac:dyDescent="0.25">
      <c r="A50" t="s">
        <v>130</v>
      </c>
      <c r="B50" t="s">
        <v>1</v>
      </c>
      <c r="C50" t="s">
        <v>16</v>
      </c>
      <c r="D50" t="s">
        <v>2</v>
      </c>
      <c r="E50">
        <v>219</v>
      </c>
      <c r="F50">
        <v>40</v>
      </c>
      <c r="G50">
        <v>54</v>
      </c>
      <c r="H50" s="2">
        <v>130000</v>
      </c>
      <c r="I50" t="s">
        <v>19</v>
      </c>
      <c r="J50">
        <f>SUMIF('STOCK IN'!$C:$C, A50, 'STOCK IN'!$E:$E)</f>
        <v>67</v>
      </c>
      <c r="K50">
        <f>SUMIF('STOCK OUT'!$C:$C, A50, 'STOCK OUT'!$E:$E)</f>
        <v>128</v>
      </c>
      <c r="L50">
        <f t="shared" si="0"/>
        <v>158</v>
      </c>
      <c r="M50" t="str" cm="1">
        <f t="array" ref="M50">_xlfn.IFS(L50&lt;=0, "OUT OF STOCK", L50&lt;=F50, "REORDER", L50&lt;=G50, "LOW STOCK", TRUE, "IN STOCK")</f>
        <v>IN STOCK</v>
      </c>
      <c r="N50" s="2">
        <f t="shared" si="1"/>
        <v>20540000</v>
      </c>
      <c r="O50">
        <v>158</v>
      </c>
      <c r="P50">
        <f t="shared" si="2"/>
        <v>0</v>
      </c>
      <c r="Q50" t="str">
        <f>_xlfn.XLOOKUP(A50, 'Item Master'!$B$3:$B$502, 'Item Master'!$G$3:$G$502,,0)</f>
        <v>CV Mitra Perkasa</v>
      </c>
      <c r="R50" t="str">
        <f t="shared" si="3"/>
        <v>CONFORM</v>
      </c>
    </row>
    <row r="51" spans="1:18" x14ac:dyDescent="0.25">
      <c r="A51" t="s">
        <v>131</v>
      </c>
      <c r="B51" t="s">
        <v>15</v>
      </c>
      <c r="C51" t="s">
        <v>16</v>
      </c>
      <c r="D51" t="s">
        <v>2</v>
      </c>
      <c r="E51">
        <v>200</v>
      </c>
      <c r="F51">
        <v>40</v>
      </c>
      <c r="G51">
        <v>50</v>
      </c>
      <c r="H51" s="2">
        <v>112000</v>
      </c>
      <c r="I51" t="s">
        <v>113</v>
      </c>
      <c r="J51">
        <f>SUMIF('STOCK IN'!$C:$C, A51, 'STOCK IN'!$E:$E)</f>
        <v>124</v>
      </c>
      <c r="K51">
        <f>SUMIF('STOCK OUT'!$C:$C, A51, 'STOCK OUT'!$E:$E)</f>
        <v>60</v>
      </c>
      <c r="L51">
        <f t="shared" si="0"/>
        <v>264</v>
      </c>
      <c r="M51" t="str" cm="1">
        <f t="array" ref="M51">_xlfn.IFS(L51&lt;=0, "OUT OF STOCK", L51&lt;=F51, "REORDER", L51&lt;=G51, "LOW STOCK", TRUE, "IN STOCK")</f>
        <v>IN STOCK</v>
      </c>
      <c r="N51" s="2">
        <f t="shared" si="1"/>
        <v>29568000</v>
      </c>
      <c r="O51">
        <v>264</v>
      </c>
      <c r="P51">
        <f t="shared" si="2"/>
        <v>0</v>
      </c>
      <c r="Q51" t="str">
        <f>_xlfn.XLOOKUP(A51, 'Item Master'!$B$3:$B$502, 'Item Master'!$G$3:$G$502,,0)</f>
        <v>PT Cipta Sarana Niaga</v>
      </c>
      <c r="R51" t="str">
        <f t="shared" si="3"/>
        <v>CONFORM</v>
      </c>
    </row>
    <row r="52" spans="1:18" x14ac:dyDescent="0.25">
      <c r="A52" t="s">
        <v>132</v>
      </c>
      <c r="B52" t="s">
        <v>26</v>
      </c>
      <c r="C52" t="s">
        <v>16</v>
      </c>
      <c r="D52" t="s">
        <v>2</v>
      </c>
      <c r="E52">
        <v>97</v>
      </c>
      <c r="F52">
        <v>18</v>
      </c>
      <c r="G52">
        <v>44</v>
      </c>
      <c r="H52" s="2">
        <v>547000</v>
      </c>
      <c r="I52" t="s">
        <v>133</v>
      </c>
      <c r="J52">
        <f>SUMIF('STOCK IN'!$C:$C, A52, 'STOCK IN'!$E:$E)</f>
        <v>25</v>
      </c>
      <c r="K52">
        <f>SUMIF('STOCK OUT'!$C:$C, A52, 'STOCK OUT'!$E:$E)</f>
        <v>42</v>
      </c>
      <c r="L52">
        <f t="shared" si="0"/>
        <v>80</v>
      </c>
      <c r="M52" t="str" cm="1">
        <f t="array" ref="M52">_xlfn.IFS(L52&lt;=0, "OUT OF STOCK", L52&lt;=F52, "REORDER", L52&lt;=G52, "LOW STOCK", TRUE, "IN STOCK")</f>
        <v>IN STOCK</v>
      </c>
      <c r="N52" s="2">
        <f t="shared" si="1"/>
        <v>43760000</v>
      </c>
      <c r="O52">
        <v>77</v>
      </c>
      <c r="P52">
        <f t="shared" si="2"/>
        <v>-3</v>
      </c>
      <c r="Q52" t="str">
        <f>_xlfn.XLOOKUP(A52, 'Item Master'!$B$3:$B$502, 'Item Master'!$G$3:$G$502,,0)</f>
        <v>PT Cipta Sarana Niaga</v>
      </c>
      <c r="R52" t="str">
        <f t="shared" si="3"/>
        <v>MINUS</v>
      </c>
    </row>
    <row r="53" spans="1:18" x14ac:dyDescent="0.25">
      <c r="A53" t="s">
        <v>134</v>
      </c>
      <c r="B53" t="s">
        <v>47</v>
      </c>
      <c r="C53" t="s">
        <v>16</v>
      </c>
      <c r="D53" t="s">
        <v>2</v>
      </c>
      <c r="E53">
        <v>33</v>
      </c>
      <c r="F53">
        <v>45</v>
      </c>
      <c r="G53">
        <v>63</v>
      </c>
      <c r="H53" s="2">
        <v>116000</v>
      </c>
      <c r="I53" t="s">
        <v>38</v>
      </c>
      <c r="J53">
        <f>SUMIF('STOCK IN'!$C:$C, A53, 'STOCK IN'!$E:$E)</f>
        <v>64</v>
      </c>
      <c r="K53">
        <f>SUMIF('STOCK OUT'!$C:$C, A53, 'STOCK OUT'!$E:$E)</f>
        <v>209</v>
      </c>
      <c r="L53">
        <f t="shared" si="0"/>
        <v>-112</v>
      </c>
      <c r="M53" t="str" cm="1">
        <f t="array" ref="M53">_xlfn.IFS(L53&lt;=0, "OUT OF STOCK", L53&lt;=F53, "REORDER", L53&lt;=G53, "LOW STOCK", TRUE, "IN STOCK")</f>
        <v>OUT OF STOCK</v>
      </c>
      <c r="N53" s="2">
        <f t="shared" si="1"/>
        <v>-12992000</v>
      </c>
      <c r="O53">
        <v>0</v>
      </c>
      <c r="P53">
        <f t="shared" si="2"/>
        <v>0</v>
      </c>
      <c r="Q53" t="str">
        <f>_xlfn.XLOOKUP(A53, 'Item Master'!$B$3:$B$502, 'Item Master'!$G$3:$G$502,,0)</f>
        <v>PT Cipta Sarana Niaga</v>
      </c>
      <c r="R53" t="str">
        <f t="shared" si="3"/>
        <v>CONFORM</v>
      </c>
    </row>
    <row r="54" spans="1:18" x14ac:dyDescent="0.25">
      <c r="A54" t="s">
        <v>135</v>
      </c>
      <c r="B54" t="s">
        <v>44</v>
      </c>
      <c r="C54" t="s">
        <v>16</v>
      </c>
      <c r="D54" t="s">
        <v>2</v>
      </c>
      <c r="E54">
        <v>173</v>
      </c>
      <c r="F54">
        <v>21</v>
      </c>
      <c r="G54">
        <v>43</v>
      </c>
      <c r="H54" s="2">
        <v>31000</v>
      </c>
      <c r="I54" t="s">
        <v>73</v>
      </c>
      <c r="J54">
        <f>SUMIF('STOCK IN'!$C:$C, A54, 'STOCK IN'!$E:$E)</f>
        <v>224</v>
      </c>
      <c r="K54">
        <f>SUMIF('STOCK OUT'!$C:$C, A54, 'STOCK OUT'!$E:$E)</f>
        <v>114</v>
      </c>
      <c r="L54">
        <f t="shared" si="0"/>
        <v>283</v>
      </c>
      <c r="M54" t="str" cm="1">
        <f t="array" ref="M54">_xlfn.IFS(L54&lt;=0, "OUT OF STOCK", L54&lt;=F54, "REORDER", L54&lt;=G54, "LOW STOCK", TRUE, "IN STOCK")</f>
        <v>IN STOCK</v>
      </c>
      <c r="N54" s="2">
        <f t="shared" si="1"/>
        <v>8773000</v>
      </c>
      <c r="O54">
        <v>283</v>
      </c>
      <c r="P54">
        <f t="shared" si="2"/>
        <v>0</v>
      </c>
      <c r="Q54" t="str">
        <f>_xlfn.XLOOKUP(A54, 'Item Master'!$B$3:$B$502, 'Item Master'!$G$3:$G$502,,0)</f>
        <v>CV Karya Mandiri</v>
      </c>
      <c r="R54" t="str">
        <f t="shared" si="3"/>
        <v>CONFORM</v>
      </c>
    </row>
    <row r="55" spans="1:18" x14ac:dyDescent="0.25">
      <c r="A55" t="s">
        <v>136</v>
      </c>
      <c r="B55" t="s">
        <v>21</v>
      </c>
      <c r="C55" t="s">
        <v>16</v>
      </c>
      <c r="D55" t="s">
        <v>2</v>
      </c>
      <c r="E55">
        <v>38</v>
      </c>
      <c r="F55">
        <v>9</v>
      </c>
      <c r="G55">
        <v>36</v>
      </c>
      <c r="H55" s="2">
        <v>21000</v>
      </c>
      <c r="I55" t="s">
        <v>83</v>
      </c>
      <c r="J55">
        <f>SUMIF('STOCK IN'!$C:$C, A55, 'STOCK IN'!$E:$E)</f>
        <v>179</v>
      </c>
      <c r="K55">
        <f>SUMIF('STOCK OUT'!$C:$C, A55, 'STOCK OUT'!$E:$E)</f>
        <v>183</v>
      </c>
      <c r="L55">
        <f t="shared" si="0"/>
        <v>34</v>
      </c>
      <c r="M55" t="str" cm="1">
        <f t="array" ref="M55">_xlfn.IFS(L55&lt;=0, "OUT OF STOCK", L55&lt;=F55, "REORDER", L55&lt;=G55, "LOW STOCK", TRUE, "IN STOCK")</f>
        <v>LOW STOCK</v>
      </c>
      <c r="N55" s="2">
        <f t="shared" si="1"/>
        <v>714000</v>
      </c>
      <c r="O55">
        <v>33</v>
      </c>
      <c r="P55">
        <f t="shared" si="2"/>
        <v>-1</v>
      </c>
      <c r="Q55" t="str">
        <f>_xlfn.XLOOKUP(A55, 'Item Master'!$B$3:$B$502, 'Item Master'!$G$3:$G$502,,0)</f>
        <v>PT Sentosa Distribusi</v>
      </c>
      <c r="R55" t="str">
        <f t="shared" si="3"/>
        <v>MINUS</v>
      </c>
    </row>
    <row r="56" spans="1:18" x14ac:dyDescent="0.25">
      <c r="A56" t="s">
        <v>137</v>
      </c>
      <c r="B56" t="s">
        <v>44</v>
      </c>
      <c r="C56" t="s">
        <v>16</v>
      </c>
      <c r="D56" t="s">
        <v>2</v>
      </c>
      <c r="E56">
        <v>151</v>
      </c>
      <c r="F56">
        <v>14</v>
      </c>
      <c r="G56">
        <v>37</v>
      </c>
      <c r="H56" s="2">
        <v>89000</v>
      </c>
      <c r="I56" t="s">
        <v>38</v>
      </c>
      <c r="J56">
        <f>SUMIF('STOCK IN'!$C:$C, A56, 'STOCK IN'!$E:$E)</f>
        <v>51</v>
      </c>
      <c r="K56">
        <f>SUMIF('STOCK OUT'!$C:$C, A56, 'STOCK OUT'!$E:$E)</f>
        <v>158</v>
      </c>
      <c r="L56">
        <f t="shared" si="0"/>
        <v>44</v>
      </c>
      <c r="M56" t="str" cm="1">
        <f t="array" ref="M56">_xlfn.IFS(L56&lt;=0, "OUT OF STOCK", L56&lt;=F56, "REORDER", L56&lt;=G56, "LOW STOCK", TRUE, "IN STOCK")</f>
        <v>IN STOCK</v>
      </c>
      <c r="N56" s="2">
        <f t="shared" si="1"/>
        <v>3916000</v>
      </c>
      <c r="O56">
        <v>44</v>
      </c>
      <c r="P56">
        <f t="shared" si="2"/>
        <v>0</v>
      </c>
      <c r="Q56" t="str">
        <f>_xlfn.XLOOKUP(A56, 'Item Master'!$B$3:$B$502, 'Item Master'!$G$3:$G$502,,0)</f>
        <v>PT Sentosa Distribusi</v>
      </c>
      <c r="R56" t="str">
        <f t="shared" si="3"/>
        <v>CONFORM</v>
      </c>
    </row>
    <row r="57" spans="1:18" x14ac:dyDescent="0.25">
      <c r="A57" t="s">
        <v>138</v>
      </c>
      <c r="B57" t="s">
        <v>44</v>
      </c>
      <c r="C57" t="s">
        <v>16</v>
      </c>
      <c r="D57" t="s">
        <v>2</v>
      </c>
      <c r="E57">
        <v>240</v>
      </c>
      <c r="F57">
        <v>27</v>
      </c>
      <c r="G57">
        <v>60</v>
      </c>
      <c r="H57" s="2">
        <v>20000</v>
      </c>
      <c r="I57" t="s">
        <v>98</v>
      </c>
      <c r="J57">
        <f>SUMIF('STOCK IN'!$C:$C, A57, 'STOCK IN'!$E:$E)</f>
        <v>141</v>
      </c>
      <c r="K57">
        <f>SUMIF('STOCK OUT'!$C:$C, A57, 'STOCK OUT'!$E:$E)</f>
        <v>135</v>
      </c>
      <c r="L57">
        <f t="shared" si="0"/>
        <v>246</v>
      </c>
      <c r="M57" t="str" cm="1">
        <f t="array" ref="M57">_xlfn.IFS(L57&lt;=0, "OUT OF STOCK", L57&lt;=F57, "REORDER", L57&lt;=G57, "LOW STOCK", TRUE, "IN STOCK")</f>
        <v>IN STOCK</v>
      </c>
      <c r="N57" s="2">
        <f t="shared" si="1"/>
        <v>4920000</v>
      </c>
      <c r="O57">
        <v>246</v>
      </c>
      <c r="P57">
        <f t="shared" si="2"/>
        <v>0</v>
      </c>
      <c r="Q57" t="str">
        <f>_xlfn.XLOOKUP(A57, 'Item Master'!$B$3:$B$502, 'Item Master'!$G$3:$G$502,,0)</f>
        <v>CV Prima Logistik</v>
      </c>
      <c r="R57" t="str">
        <f t="shared" si="3"/>
        <v>CONFORM</v>
      </c>
    </row>
    <row r="58" spans="1:18" x14ac:dyDescent="0.25">
      <c r="A58" t="s">
        <v>139</v>
      </c>
      <c r="B58" t="s">
        <v>44</v>
      </c>
      <c r="C58" t="s">
        <v>16</v>
      </c>
      <c r="D58" t="s">
        <v>2</v>
      </c>
      <c r="E58">
        <v>236</v>
      </c>
      <c r="F58">
        <v>31</v>
      </c>
      <c r="G58">
        <v>59</v>
      </c>
      <c r="H58" s="2">
        <v>86000</v>
      </c>
      <c r="I58" t="s">
        <v>140</v>
      </c>
      <c r="J58">
        <f>SUMIF('STOCK IN'!$C:$C, A58, 'STOCK IN'!$E:$E)</f>
        <v>294</v>
      </c>
      <c r="K58">
        <f>SUMIF('STOCK OUT'!$C:$C, A58, 'STOCK OUT'!$E:$E)</f>
        <v>45</v>
      </c>
      <c r="L58">
        <f t="shared" si="0"/>
        <v>485</v>
      </c>
      <c r="M58" t="str" cm="1">
        <f t="array" ref="M58">_xlfn.IFS(L58&lt;=0, "OUT OF STOCK", L58&lt;=F58, "REORDER", L58&lt;=G58, "LOW STOCK", TRUE, "IN STOCK")</f>
        <v>IN STOCK</v>
      </c>
      <c r="N58" s="2">
        <f t="shared" si="1"/>
        <v>41710000</v>
      </c>
      <c r="O58">
        <v>483</v>
      </c>
      <c r="P58">
        <f t="shared" si="2"/>
        <v>-2</v>
      </c>
      <c r="Q58" t="str">
        <f>_xlfn.XLOOKUP(A58, 'Item Master'!$B$3:$B$502, 'Item Master'!$G$3:$G$502,,0)</f>
        <v>PT Sentosa Distribusi</v>
      </c>
      <c r="R58" t="str">
        <f t="shared" si="3"/>
        <v>MINUS</v>
      </c>
    </row>
    <row r="59" spans="1:18" x14ac:dyDescent="0.25">
      <c r="A59" t="s">
        <v>141</v>
      </c>
      <c r="B59" t="s">
        <v>66</v>
      </c>
      <c r="C59" t="s">
        <v>16</v>
      </c>
      <c r="D59" t="s">
        <v>2</v>
      </c>
      <c r="E59">
        <v>16</v>
      </c>
      <c r="F59">
        <v>16</v>
      </c>
      <c r="G59">
        <v>44</v>
      </c>
      <c r="H59" s="2">
        <v>175000</v>
      </c>
      <c r="I59" t="s">
        <v>142</v>
      </c>
      <c r="J59">
        <f>SUMIF('STOCK IN'!$C:$C, A59, 'STOCK IN'!$E:$E)</f>
        <v>187</v>
      </c>
      <c r="K59">
        <f>SUMIF('STOCK OUT'!$C:$C, A59, 'STOCK OUT'!$E:$E)</f>
        <v>101</v>
      </c>
      <c r="L59">
        <f t="shared" si="0"/>
        <v>102</v>
      </c>
      <c r="M59" t="str" cm="1">
        <f t="array" ref="M59">_xlfn.IFS(L59&lt;=0, "OUT OF STOCK", L59&lt;=F59, "REORDER", L59&lt;=G59, "LOW STOCK", TRUE, "IN STOCK")</f>
        <v>IN STOCK</v>
      </c>
      <c r="N59" s="2">
        <f t="shared" si="1"/>
        <v>17850000</v>
      </c>
      <c r="O59">
        <v>105</v>
      </c>
      <c r="P59">
        <f t="shared" si="2"/>
        <v>3</v>
      </c>
      <c r="Q59" t="str">
        <f>_xlfn.XLOOKUP(A59, 'Item Master'!$B$3:$B$502, 'Item Master'!$G$3:$G$502,,0)</f>
        <v>CV Berkah Jaya</v>
      </c>
      <c r="R59" t="str">
        <f t="shared" si="3"/>
        <v>SURPLUS</v>
      </c>
    </row>
    <row r="60" spans="1:18" x14ac:dyDescent="0.25">
      <c r="A60" t="s">
        <v>143</v>
      </c>
      <c r="B60" t="s">
        <v>47</v>
      </c>
      <c r="C60" t="s">
        <v>16</v>
      </c>
      <c r="D60" t="s">
        <v>2</v>
      </c>
      <c r="E60">
        <v>211</v>
      </c>
      <c r="F60">
        <v>49</v>
      </c>
      <c r="G60">
        <v>57</v>
      </c>
      <c r="H60" s="2">
        <v>171000</v>
      </c>
      <c r="I60" t="s">
        <v>144</v>
      </c>
      <c r="J60">
        <f>SUMIF('STOCK IN'!$C:$C, A60, 'STOCK IN'!$E:$E)</f>
        <v>369</v>
      </c>
      <c r="K60">
        <f>SUMIF('STOCK OUT'!$C:$C, A60, 'STOCK OUT'!$E:$E)</f>
        <v>60</v>
      </c>
      <c r="L60">
        <f t="shared" si="0"/>
        <v>520</v>
      </c>
      <c r="M60" t="str" cm="1">
        <f t="array" ref="M60">_xlfn.IFS(L60&lt;=0, "OUT OF STOCK", L60&lt;=F60, "REORDER", L60&lt;=G60, "LOW STOCK", TRUE, "IN STOCK")</f>
        <v>IN STOCK</v>
      </c>
      <c r="N60" s="2">
        <f t="shared" si="1"/>
        <v>88920000</v>
      </c>
      <c r="O60">
        <v>520</v>
      </c>
      <c r="P60">
        <f t="shared" si="2"/>
        <v>0</v>
      </c>
      <c r="Q60" t="str">
        <f>_xlfn.XLOOKUP(A60, 'Item Master'!$B$3:$B$502, 'Item Master'!$G$3:$G$502,,0)</f>
        <v>PT Global Office Supply</v>
      </c>
      <c r="R60" t="str">
        <f t="shared" si="3"/>
        <v>CONFORM</v>
      </c>
    </row>
    <row r="61" spans="1:18" x14ac:dyDescent="0.25">
      <c r="A61" t="s">
        <v>145</v>
      </c>
      <c r="B61" t="s">
        <v>26</v>
      </c>
      <c r="C61" t="s">
        <v>16</v>
      </c>
      <c r="D61" t="s">
        <v>2</v>
      </c>
      <c r="E61">
        <v>219</v>
      </c>
      <c r="F61">
        <v>34</v>
      </c>
      <c r="G61">
        <v>54</v>
      </c>
      <c r="H61" s="2">
        <v>282000</v>
      </c>
      <c r="I61" t="s">
        <v>59</v>
      </c>
      <c r="J61">
        <f>SUMIF('STOCK IN'!$C:$C, A61, 'STOCK IN'!$E:$E)</f>
        <v>47</v>
      </c>
      <c r="K61">
        <f>SUMIF('STOCK OUT'!$C:$C, A61, 'STOCK OUT'!$E:$E)</f>
        <v>165</v>
      </c>
      <c r="L61">
        <f t="shared" si="0"/>
        <v>101</v>
      </c>
      <c r="M61" t="str" cm="1">
        <f t="array" ref="M61">_xlfn.IFS(L61&lt;=0, "OUT OF STOCK", L61&lt;=F61, "REORDER", L61&lt;=G61, "LOW STOCK", TRUE, "IN STOCK")</f>
        <v>IN STOCK</v>
      </c>
      <c r="N61" s="2">
        <f t="shared" si="1"/>
        <v>28482000</v>
      </c>
      <c r="O61">
        <v>100</v>
      </c>
      <c r="P61">
        <f t="shared" si="2"/>
        <v>-1</v>
      </c>
      <c r="Q61" t="str">
        <f>_xlfn.XLOOKUP(A61, 'Item Master'!$B$3:$B$502, 'Item Master'!$G$3:$G$502,,0)</f>
        <v>PT Cipta Sarana Niaga</v>
      </c>
      <c r="R61" t="str">
        <f t="shared" si="3"/>
        <v>MINUS</v>
      </c>
    </row>
    <row r="62" spans="1:18" x14ac:dyDescent="0.25">
      <c r="A62" t="s">
        <v>146</v>
      </c>
      <c r="B62" t="s">
        <v>1</v>
      </c>
      <c r="C62" t="s">
        <v>16</v>
      </c>
      <c r="D62" t="s">
        <v>2</v>
      </c>
      <c r="E62">
        <v>59</v>
      </c>
      <c r="F62">
        <v>30</v>
      </c>
      <c r="G62">
        <v>45</v>
      </c>
      <c r="H62" s="2">
        <v>129000</v>
      </c>
      <c r="I62" t="s">
        <v>147</v>
      </c>
      <c r="J62">
        <f>SUMIF('STOCK IN'!$C:$C, A62, 'STOCK IN'!$E:$E)</f>
        <v>59</v>
      </c>
      <c r="K62">
        <f>SUMIF('STOCK OUT'!$C:$C, A62, 'STOCK OUT'!$E:$E)</f>
        <v>191</v>
      </c>
      <c r="L62">
        <f t="shared" si="0"/>
        <v>-73</v>
      </c>
      <c r="M62" t="str" cm="1">
        <f t="array" ref="M62">_xlfn.IFS(L62&lt;=0, "OUT OF STOCK", L62&lt;=F62, "REORDER", L62&lt;=G62, "LOW STOCK", TRUE, "IN STOCK")</f>
        <v>OUT OF STOCK</v>
      </c>
      <c r="N62" s="2">
        <f t="shared" si="1"/>
        <v>-9417000</v>
      </c>
      <c r="O62">
        <v>0</v>
      </c>
      <c r="P62">
        <f t="shared" si="2"/>
        <v>0</v>
      </c>
      <c r="Q62" t="str">
        <f>_xlfn.XLOOKUP(A62, 'Item Master'!$B$3:$B$502, 'Item Master'!$G$3:$G$502,,0)</f>
        <v>PT Cipta Sarana Niaga</v>
      </c>
      <c r="R62" t="str">
        <f t="shared" si="3"/>
        <v>CONFORM</v>
      </c>
    </row>
    <row r="63" spans="1:18" x14ac:dyDescent="0.25">
      <c r="A63" t="s">
        <v>148</v>
      </c>
      <c r="B63" t="s">
        <v>44</v>
      </c>
      <c r="C63" t="s">
        <v>16</v>
      </c>
      <c r="D63" t="s">
        <v>2</v>
      </c>
      <c r="E63">
        <v>112</v>
      </c>
      <c r="F63">
        <v>48</v>
      </c>
      <c r="G63">
        <v>70</v>
      </c>
      <c r="H63" s="2">
        <v>80000</v>
      </c>
      <c r="I63" t="s">
        <v>149</v>
      </c>
      <c r="J63">
        <f>SUMIF('STOCK IN'!$C:$C, A63, 'STOCK IN'!$E:$E)</f>
        <v>94</v>
      </c>
      <c r="K63">
        <f>SUMIF('STOCK OUT'!$C:$C, A63, 'STOCK OUT'!$E:$E)</f>
        <v>44</v>
      </c>
      <c r="L63">
        <f t="shared" si="0"/>
        <v>162</v>
      </c>
      <c r="M63" t="str" cm="1">
        <f t="array" ref="M63">_xlfn.IFS(L63&lt;=0, "OUT OF STOCK", L63&lt;=F63, "REORDER", L63&lt;=G63, "LOW STOCK", TRUE, "IN STOCK")</f>
        <v>IN STOCK</v>
      </c>
      <c r="N63" s="2">
        <f t="shared" si="1"/>
        <v>12960000</v>
      </c>
      <c r="O63">
        <v>165</v>
      </c>
      <c r="P63">
        <f t="shared" si="2"/>
        <v>3</v>
      </c>
      <c r="Q63" t="str">
        <f>_xlfn.XLOOKUP(A63, 'Item Master'!$B$3:$B$502, 'Item Master'!$G$3:$G$502,,0)</f>
        <v>CV Berkah Jaya</v>
      </c>
      <c r="R63" t="str">
        <f t="shared" si="3"/>
        <v>SURPLUS</v>
      </c>
    </row>
    <row r="64" spans="1:18" x14ac:dyDescent="0.25">
      <c r="A64" t="s">
        <v>150</v>
      </c>
      <c r="B64" t="s">
        <v>47</v>
      </c>
      <c r="C64" t="s">
        <v>16</v>
      </c>
      <c r="D64" t="s">
        <v>2</v>
      </c>
      <c r="E64">
        <v>158</v>
      </c>
      <c r="F64">
        <v>21</v>
      </c>
      <c r="G64">
        <v>39</v>
      </c>
      <c r="H64" s="2">
        <v>181000</v>
      </c>
      <c r="I64" t="s">
        <v>71</v>
      </c>
      <c r="J64">
        <f>SUMIF('STOCK IN'!$C:$C, A64, 'STOCK IN'!$E:$E)</f>
        <v>205</v>
      </c>
      <c r="K64">
        <f>SUMIF('STOCK OUT'!$C:$C, A64, 'STOCK OUT'!$E:$E)</f>
        <v>156</v>
      </c>
      <c r="L64">
        <f t="shared" si="0"/>
        <v>207</v>
      </c>
      <c r="M64" t="str" cm="1">
        <f t="array" ref="M64">_xlfn.IFS(L64&lt;=0, "OUT OF STOCK", L64&lt;=F64, "REORDER", L64&lt;=G64, "LOW STOCK", TRUE, "IN STOCK")</f>
        <v>IN STOCK</v>
      </c>
      <c r="N64" s="2">
        <f t="shared" si="1"/>
        <v>37467000</v>
      </c>
      <c r="O64">
        <v>207</v>
      </c>
      <c r="P64">
        <f t="shared" si="2"/>
        <v>0</v>
      </c>
      <c r="Q64" t="str">
        <f>_xlfn.XLOOKUP(A64, 'Item Master'!$B$3:$B$502, 'Item Master'!$G$3:$G$502,,0)</f>
        <v>CV Mitra Perkasa</v>
      </c>
      <c r="R64" t="str">
        <f t="shared" si="3"/>
        <v>CONFORM</v>
      </c>
    </row>
    <row r="65" spans="1:18" x14ac:dyDescent="0.25">
      <c r="A65" t="s">
        <v>151</v>
      </c>
      <c r="B65" t="s">
        <v>44</v>
      </c>
      <c r="C65" t="s">
        <v>16</v>
      </c>
      <c r="D65" t="s">
        <v>2</v>
      </c>
      <c r="E65">
        <v>121</v>
      </c>
      <c r="F65">
        <v>43</v>
      </c>
      <c r="G65">
        <v>64</v>
      </c>
      <c r="H65" s="2">
        <v>55000</v>
      </c>
      <c r="I65" t="s">
        <v>152</v>
      </c>
      <c r="J65">
        <f>SUMIF('STOCK IN'!$C:$C, A65, 'STOCK IN'!$E:$E)</f>
        <v>46</v>
      </c>
      <c r="K65">
        <f>SUMIF('STOCK OUT'!$C:$C, A65, 'STOCK OUT'!$E:$E)</f>
        <v>94</v>
      </c>
      <c r="L65">
        <f t="shared" si="0"/>
        <v>73</v>
      </c>
      <c r="M65" t="str" cm="1">
        <f t="array" ref="M65">_xlfn.IFS(L65&lt;=0, "OUT OF STOCK", L65&lt;=F65, "REORDER", L65&lt;=G65, "LOW STOCK", TRUE, "IN STOCK")</f>
        <v>IN STOCK</v>
      </c>
      <c r="N65" s="2">
        <f t="shared" si="1"/>
        <v>4015000</v>
      </c>
      <c r="O65">
        <v>76</v>
      </c>
      <c r="P65">
        <f t="shared" si="2"/>
        <v>3</v>
      </c>
      <c r="Q65" t="str">
        <f>_xlfn.XLOOKUP(A65, 'Item Master'!$B$3:$B$502, 'Item Master'!$G$3:$G$502,,0)</f>
        <v>CV Mitra Perkasa</v>
      </c>
      <c r="R65" t="str">
        <f t="shared" si="3"/>
        <v>SURPLUS</v>
      </c>
    </row>
    <row r="66" spans="1:18" x14ac:dyDescent="0.25">
      <c r="A66" t="s">
        <v>153</v>
      </c>
      <c r="B66" t="s">
        <v>26</v>
      </c>
      <c r="C66" t="s">
        <v>16</v>
      </c>
      <c r="D66" t="s">
        <v>2</v>
      </c>
      <c r="E66">
        <v>21</v>
      </c>
      <c r="F66">
        <v>50</v>
      </c>
      <c r="G66">
        <v>68</v>
      </c>
      <c r="H66" s="2">
        <v>310000</v>
      </c>
      <c r="I66" t="s">
        <v>93</v>
      </c>
      <c r="J66">
        <f>SUMIF('STOCK IN'!$C:$C, A66, 'STOCK IN'!$E:$E)</f>
        <v>49</v>
      </c>
      <c r="K66">
        <f>SUMIF('STOCK OUT'!$C:$C, A66, 'STOCK OUT'!$E:$E)</f>
        <v>230</v>
      </c>
      <c r="L66">
        <f t="shared" si="0"/>
        <v>-160</v>
      </c>
      <c r="M66" t="str" cm="1">
        <f t="array" ref="M66">_xlfn.IFS(L66&lt;=0, "OUT OF STOCK", L66&lt;=F66, "REORDER", L66&lt;=G66, "LOW STOCK", TRUE, "IN STOCK")</f>
        <v>OUT OF STOCK</v>
      </c>
      <c r="N66" s="2">
        <f t="shared" si="1"/>
        <v>-49600000</v>
      </c>
      <c r="O66">
        <v>0</v>
      </c>
      <c r="P66">
        <f t="shared" si="2"/>
        <v>0</v>
      </c>
      <c r="Q66" t="str">
        <f>_xlfn.XLOOKUP(A66, 'Item Master'!$B$3:$B$502, 'Item Master'!$G$3:$G$502,,0)</f>
        <v>PT Sumber Teknologi Nusantara</v>
      </c>
      <c r="R66" t="str">
        <f t="shared" si="3"/>
        <v>CONFORM</v>
      </c>
    </row>
    <row r="67" spans="1:18" x14ac:dyDescent="0.25">
      <c r="A67" t="s">
        <v>154</v>
      </c>
      <c r="B67" t="s">
        <v>26</v>
      </c>
      <c r="C67" t="s">
        <v>16</v>
      </c>
      <c r="D67" t="s">
        <v>2</v>
      </c>
      <c r="E67">
        <v>120</v>
      </c>
      <c r="F67">
        <v>9</v>
      </c>
      <c r="G67">
        <v>35</v>
      </c>
      <c r="H67" s="2">
        <v>366000</v>
      </c>
      <c r="I67" t="s">
        <v>155</v>
      </c>
      <c r="J67">
        <f>SUMIF('STOCK IN'!$C:$C, A67, 'STOCK IN'!$E:$E)</f>
        <v>181</v>
      </c>
      <c r="K67">
        <f>SUMIF('STOCK OUT'!$C:$C, A67, 'STOCK OUT'!$E:$E)</f>
        <v>152</v>
      </c>
      <c r="L67">
        <f t="shared" ref="L67:L130" si="4">E67+J67-K67</f>
        <v>149</v>
      </c>
      <c r="M67" t="str" cm="1">
        <f t="array" ref="M67">_xlfn.IFS(L67&lt;=0, "OUT OF STOCK", L67&lt;=F67, "REORDER", L67&lt;=G67, "LOW STOCK", TRUE, "IN STOCK")</f>
        <v>IN STOCK</v>
      </c>
      <c r="N67" s="2">
        <f t="shared" ref="N67:N130" si="5">L67*H67</f>
        <v>54534000</v>
      </c>
      <c r="O67">
        <v>149</v>
      </c>
      <c r="P67">
        <f t="shared" ref="P67:P130" si="6">IF(L67&lt;0, 0, O67 - L67)</f>
        <v>0</v>
      </c>
      <c r="Q67" t="str">
        <f>_xlfn.XLOOKUP(A67, 'Item Master'!$B$3:$B$502, 'Item Master'!$G$3:$G$502,,0)</f>
        <v>CV Berkah Jaya</v>
      </c>
      <c r="R67" t="str">
        <f t="shared" ref="R67:R130" si="7">IF(P67=0, "CONFORM", IF(P67&gt;0, "SURPLUS", "MINUS"))</f>
        <v>CONFORM</v>
      </c>
    </row>
    <row r="68" spans="1:18" x14ac:dyDescent="0.25">
      <c r="A68" t="s">
        <v>156</v>
      </c>
      <c r="B68" t="s">
        <v>15</v>
      </c>
      <c r="C68" t="s">
        <v>16</v>
      </c>
      <c r="D68" t="s">
        <v>2</v>
      </c>
      <c r="E68">
        <v>240</v>
      </c>
      <c r="F68">
        <v>24</v>
      </c>
      <c r="G68">
        <v>60</v>
      </c>
      <c r="H68" s="2">
        <v>269000</v>
      </c>
      <c r="I68" t="s">
        <v>98</v>
      </c>
      <c r="J68">
        <f>SUMIF('STOCK IN'!$C:$C, A68, 'STOCK IN'!$E:$E)</f>
        <v>98</v>
      </c>
      <c r="K68">
        <f>SUMIF('STOCK OUT'!$C:$C, A68, 'STOCK OUT'!$E:$E)</f>
        <v>260</v>
      </c>
      <c r="L68">
        <f t="shared" si="4"/>
        <v>78</v>
      </c>
      <c r="M68" t="str" cm="1">
        <f t="array" ref="M68">_xlfn.IFS(L68&lt;=0, "OUT OF STOCK", L68&lt;=F68, "REORDER", L68&lt;=G68, "LOW STOCK", TRUE, "IN STOCK")</f>
        <v>IN STOCK</v>
      </c>
      <c r="N68" s="2">
        <f t="shared" si="5"/>
        <v>20982000</v>
      </c>
      <c r="O68">
        <v>75</v>
      </c>
      <c r="P68">
        <f t="shared" si="6"/>
        <v>-3</v>
      </c>
      <c r="Q68" t="str">
        <f>_xlfn.XLOOKUP(A68, 'Item Master'!$B$3:$B$502, 'Item Master'!$G$3:$G$502,,0)</f>
        <v>PT Cipta Sarana Niaga</v>
      </c>
      <c r="R68" t="str">
        <f t="shared" si="7"/>
        <v>MINUS</v>
      </c>
    </row>
    <row r="69" spans="1:18" x14ac:dyDescent="0.25">
      <c r="A69" t="s">
        <v>157</v>
      </c>
      <c r="B69" t="s">
        <v>44</v>
      </c>
      <c r="C69" t="s">
        <v>16</v>
      </c>
      <c r="D69" t="s">
        <v>2</v>
      </c>
      <c r="E69">
        <v>188</v>
      </c>
      <c r="F69">
        <v>23</v>
      </c>
      <c r="G69">
        <v>47</v>
      </c>
      <c r="H69" s="2">
        <v>66000</v>
      </c>
      <c r="I69" t="s">
        <v>158</v>
      </c>
      <c r="J69">
        <f>SUMIF('STOCK IN'!$C:$C, A69, 'STOCK IN'!$E:$E)</f>
        <v>63</v>
      </c>
      <c r="K69">
        <f>SUMIF('STOCK OUT'!$C:$C, A69, 'STOCK OUT'!$E:$E)</f>
        <v>174</v>
      </c>
      <c r="L69">
        <f t="shared" si="4"/>
        <v>77</v>
      </c>
      <c r="M69" t="str" cm="1">
        <f t="array" ref="M69">_xlfn.IFS(L69&lt;=0, "OUT OF STOCK", L69&lt;=F69, "REORDER", L69&lt;=G69, "LOW STOCK", TRUE, "IN STOCK")</f>
        <v>IN STOCK</v>
      </c>
      <c r="N69" s="2">
        <f t="shared" si="5"/>
        <v>5082000</v>
      </c>
      <c r="O69">
        <v>74</v>
      </c>
      <c r="P69">
        <f t="shared" si="6"/>
        <v>-3</v>
      </c>
      <c r="Q69" t="str">
        <f>_xlfn.XLOOKUP(A69, 'Item Master'!$B$3:$B$502, 'Item Master'!$G$3:$G$502,,0)</f>
        <v>PT Sentosa Distribusi</v>
      </c>
      <c r="R69" t="str">
        <f t="shared" si="7"/>
        <v>MINUS</v>
      </c>
    </row>
    <row r="70" spans="1:18" x14ac:dyDescent="0.25">
      <c r="A70" t="s">
        <v>159</v>
      </c>
      <c r="B70" t="s">
        <v>29</v>
      </c>
      <c r="C70" t="s">
        <v>16</v>
      </c>
      <c r="D70" t="s">
        <v>2</v>
      </c>
      <c r="E70">
        <v>167</v>
      </c>
      <c r="F70">
        <v>41</v>
      </c>
      <c r="G70">
        <v>55</v>
      </c>
      <c r="H70" s="2">
        <v>169000</v>
      </c>
      <c r="I70" t="s">
        <v>73</v>
      </c>
      <c r="J70">
        <f>SUMIF('STOCK IN'!$C:$C, A70, 'STOCK IN'!$E:$E)</f>
        <v>67</v>
      </c>
      <c r="K70">
        <f>SUMIF('STOCK OUT'!$C:$C, A70, 'STOCK OUT'!$E:$E)</f>
        <v>138</v>
      </c>
      <c r="L70">
        <f t="shared" si="4"/>
        <v>96</v>
      </c>
      <c r="M70" t="str" cm="1">
        <f t="array" ref="M70">_xlfn.IFS(L70&lt;=0, "OUT OF STOCK", L70&lt;=F70, "REORDER", L70&lt;=G70, "LOW STOCK", TRUE, "IN STOCK")</f>
        <v>IN STOCK</v>
      </c>
      <c r="N70" s="2">
        <f t="shared" si="5"/>
        <v>16224000</v>
      </c>
      <c r="O70">
        <v>96</v>
      </c>
      <c r="P70">
        <f t="shared" si="6"/>
        <v>0</v>
      </c>
      <c r="Q70" t="str">
        <f>_xlfn.XLOOKUP(A70, 'Item Master'!$B$3:$B$502, 'Item Master'!$G$3:$G$502,,0)</f>
        <v>PT Global Office Supply</v>
      </c>
      <c r="R70" t="str">
        <f t="shared" si="7"/>
        <v>CONFORM</v>
      </c>
    </row>
    <row r="71" spans="1:18" x14ac:dyDescent="0.25">
      <c r="A71" t="s">
        <v>160</v>
      </c>
      <c r="B71" t="s">
        <v>47</v>
      </c>
      <c r="C71" t="s">
        <v>16</v>
      </c>
      <c r="D71" t="s">
        <v>2</v>
      </c>
      <c r="E71">
        <v>63</v>
      </c>
      <c r="F71">
        <v>32</v>
      </c>
      <c r="G71">
        <v>62</v>
      </c>
      <c r="H71" s="2">
        <v>236000</v>
      </c>
      <c r="I71" t="s">
        <v>161</v>
      </c>
      <c r="J71">
        <f>SUMIF('STOCK IN'!$C:$C, A71, 'STOCK IN'!$E:$E)</f>
        <v>151</v>
      </c>
      <c r="K71">
        <f>SUMIF('STOCK OUT'!$C:$C, A71, 'STOCK OUT'!$E:$E)</f>
        <v>109</v>
      </c>
      <c r="L71">
        <f t="shared" si="4"/>
        <v>105</v>
      </c>
      <c r="M71" t="str" cm="1">
        <f t="array" ref="M71">_xlfn.IFS(L71&lt;=0, "OUT OF STOCK", L71&lt;=F71, "REORDER", L71&lt;=G71, "LOW STOCK", TRUE, "IN STOCK")</f>
        <v>IN STOCK</v>
      </c>
      <c r="N71" s="2">
        <f t="shared" si="5"/>
        <v>24780000</v>
      </c>
      <c r="O71">
        <v>103</v>
      </c>
      <c r="P71">
        <f t="shared" si="6"/>
        <v>-2</v>
      </c>
      <c r="Q71" t="str">
        <f>_xlfn.XLOOKUP(A71, 'Item Master'!$B$3:$B$502, 'Item Master'!$G$3:$G$502,,0)</f>
        <v>PT Solusi Komputer</v>
      </c>
      <c r="R71" t="str">
        <f t="shared" si="7"/>
        <v>MINUS</v>
      </c>
    </row>
    <row r="72" spans="1:18" x14ac:dyDescent="0.25">
      <c r="A72" t="s">
        <v>162</v>
      </c>
      <c r="B72" t="s">
        <v>163</v>
      </c>
      <c r="C72" t="s">
        <v>16</v>
      </c>
      <c r="D72" t="s">
        <v>2</v>
      </c>
      <c r="E72">
        <v>123</v>
      </c>
      <c r="F72">
        <v>48</v>
      </c>
      <c r="G72">
        <v>59</v>
      </c>
      <c r="H72" s="2">
        <v>66000</v>
      </c>
      <c r="I72" t="s">
        <v>164</v>
      </c>
      <c r="J72">
        <f>SUMIF('STOCK IN'!$C:$C, A72, 'STOCK IN'!$E:$E)</f>
        <v>238</v>
      </c>
      <c r="K72">
        <f>SUMIF('STOCK OUT'!$C:$C, A72, 'STOCK OUT'!$E:$E)</f>
        <v>83</v>
      </c>
      <c r="L72">
        <f t="shared" si="4"/>
        <v>278</v>
      </c>
      <c r="M72" t="str" cm="1">
        <f t="array" ref="M72">_xlfn.IFS(L72&lt;=0, "OUT OF STOCK", L72&lt;=F72, "REORDER", L72&lt;=G72, "LOW STOCK", TRUE, "IN STOCK")</f>
        <v>IN STOCK</v>
      </c>
      <c r="N72" s="2">
        <f t="shared" si="5"/>
        <v>18348000</v>
      </c>
      <c r="O72">
        <v>279</v>
      </c>
      <c r="P72">
        <f t="shared" si="6"/>
        <v>1</v>
      </c>
      <c r="Q72" t="str">
        <f>_xlfn.XLOOKUP(A72, 'Item Master'!$B$3:$B$502, 'Item Master'!$G$3:$G$502,,0)</f>
        <v>PT Indo Elektrik</v>
      </c>
      <c r="R72" t="str">
        <f t="shared" si="7"/>
        <v>SURPLUS</v>
      </c>
    </row>
    <row r="73" spans="1:18" x14ac:dyDescent="0.25">
      <c r="A73" t="s">
        <v>165</v>
      </c>
      <c r="B73" t="s">
        <v>15</v>
      </c>
      <c r="C73" t="s">
        <v>16</v>
      </c>
      <c r="D73" t="s">
        <v>2</v>
      </c>
      <c r="E73">
        <v>141</v>
      </c>
      <c r="F73">
        <v>47</v>
      </c>
      <c r="G73">
        <v>72</v>
      </c>
      <c r="H73" s="2">
        <v>157000</v>
      </c>
      <c r="I73" t="s">
        <v>166</v>
      </c>
      <c r="J73">
        <f>SUMIF('STOCK IN'!$C:$C, A73, 'STOCK IN'!$E:$E)</f>
        <v>173</v>
      </c>
      <c r="K73">
        <f>SUMIF('STOCK OUT'!$C:$C, A73, 'STOCK OUT'!$E:$E)</f>
        <v>209</v>
      </c>
      <c r="L73">
        <f t="shared" si="4"/>
        <v>105</v>
      </c>
      <c r="M73" t="str" cm="1">
        <f t="array" ref="M73">_xlfn.IFS(L73&lt;=0, "OUT OF STOCK", L73&lt;=F73, "REORDER", L73&lt;=G73, "LOW STOCK", TRUE, "IN STOCK")</f>
        <v>IN STOCK</v>
      </c>
      <c r="N73" s="2">
        <f t="shared" si="5"/>
        <v>16485000</v>
      </c>
      <c r="O73">
        <v>103</v>
      </c>
      <c r="P73">
        <f t="shared" si="6"/>
        <v>-2</v>
      </c>
      <c r="Q73" t="str">
        <f>_xlfn.XLOOKUP(A73, 'Item Master'!$B$3:$B$502, 'Item Master'!$G$3:$G$502,,0)</f>
        <v>PT Solusi Komputer</v>
      </c>
      <c r="R73" t="str">
        <f t="shared" si="7"/>
        <v>MINUS</v>
      </c>
    </row>
    <row r="74" spans="1:18" x14ac:dyDescent="0.25">
      <c r="A74" t="s">
        <v>167</v>
      </c>
      <c r="B74" t="s">
        <v>26</v>
      </c>
      <c r="C74" t="s">
        <v>16</v>
      </c>
      <c r="D74" t="s">
        <v>2</v>
      </c>
      <c r="E74">
        <v>89</v>
      </c>
      <c r="F74">
        <v>19</v>
      </c>
      <c r="G74">
        <v>49</v>
      </c>
      <c r="H74" s="2">
        <v>524000</v>
      </c>
      <c r="I74" t="s">
        <v>64</v>
      </c>
      <c r="J74">
        <f>SUMIF('STOCK IN'!$C:$C, A74, 'STOCK IN'!$E:$E)</f>
        <v>75</v>
      </c>
      <c r="K74">
        <f>SUMIF('STOCK OUT'!$C:$C, A74, 'STOCK OUT'!$E:$E)</f>
        <v>205</v>
      </c>
      <c r="L74">
        <f t="shared" si="4"/>
        <v>-41</v>
      </c>
      <c r="M74" t="str" cm="1">
        <f t="array" ref="M74">_xlfn.IFS(L74&lt;=0, "OUT OF STOCK", L74&lt;=F74, "REORDER", L74&lt;=G74, "LOW STOCK", TRUE, "IN STOCK")</f>
        <v>OUT OF STOCK</v>
      </c>
      <c r="N74" s="2">
        <f t="shared" si="5"/>
        <v>-21484000</v>
      </c>
      <c r="O74">
        <v>0</v>
      </c>
      <c r="P74">
        <f t="shared" si="6"/>
        <v>0</v>
      </c>
      <c r="Q74" t="str">
        <f>_xlfn.XLOOKUP(A74, 'Item Master'!$B$3:$B$502, 'Item Master'!$G$3:$G$502,,0)</f>
        <v>CV Prima Logistik</v>
      </c>
      <c r="R74" t="str">
        <f t="shared" si="7"/>
        <v>CONFORM</v>
      </c>
    </row>
    <row r="75" spans="1:18" x14ac:dyDescent="0.25">
      <c r="A75" t="s">
        <v>168</v>
      </c>
      <c r="B75" t="s">
        <v>1</v>
      </c>
      <c r="C75" t="s">
        <v>16</v>
      </c>
      <c r="D75" t="s">
        <v>2</v>
      </c>
      <c r="E75">
        <v>131</v>
      </c>
      <c r="F75">
        <v>44</v>
      </c>
      <c r="G75">
        <v>73</v>
      </c>
      <c r="H75" s="2">
        <v>76000</v>
      </c>
      <c r="I75" t="s">
        <v>124</v>
      </c>
      <c r="J75">
        <f>SUMIF('STOCK IN'!$C:$C, A75, 'STOCK IN'!$E:$E)</f>
        <v>136</v>
      </c>
      <c r="K75">
        <f>SUMIF('STOCK OUT'!$C:$C, A75, 'STOCK OUT'!$E:$E)</f>
        <v>121</v>
      </c>
      <c r="L75">
        <f t="shared" si="4"/>
        <v>146</v>
      </c>
      <c r="M75" t="str" cm="1">
        <f t="array" ref="M75">_xlfn.IFS(L75&lt;=0, "OUT OF STOCK", L75&lt;=F75, "REORDER", L75&lt;=G75, "LOW STOCK", TRUE, "IN STOCK")</f>
        <v>IN STOCK</v>
      </c>
      <c r="N75" s="2">
        <f t="shared" si="5"/>
        <v>11096000</v>
      </c>
      <c r="O75">
        <v>146</v>
      </c>
      <c r="P75">
        <f t="shared" si="6"/>
        <v>0</v>
      </c>
      <c r="Q75" t="str">
        <f>_xlfn.XLOOKUP(A75, 'Item Master'!$B$3:$B$502, 'Item Master'!$G$3:$G$502,,0)</f>
        <v>CV Mitra Perkasa</v>
      </c>
      <c r="R75" t="str">
        <f t="shared" si="7"/>
        <v>CONFORM</v>
      </c>
    </row>
    <row r="76" spans="1:18" x14ac:dyDescent="0.25">
      <c r="A76" t="s">
        <v>169</v>
      </c>
      <c r="B76" t="s">
        <v>54</v>
      </c>
      <c r="C76" t="s">
        <v>16</v>
      </c>
      <c r="D76" t="s">
        <v>2</v>
      </c>
      <c r="E76">
        <v>193</v>
      </c>
      <c r="F76">
        <v>49</v>
      </c>
      <c r="G76">
        <v>66</v>
      </c>
      <c r="H76" s="2">
        <v>74000</v>
      </c>
      <c r="I76" t="s">
        <v>119</v>
      </c>
      <c r="J76">
        <f>SUMIF('STOCK IN'!$C:$C, A76, 'STOCK IN'!$E:$E)</f>
        <v>194</v>
      </c>
      <c r="K76">
        <f>SUMIF('STOCK OUT'!$C:$C, A76, 'STOCK OUT'!$E:$E)</f>
        <v>30</v>
      </c>
      <c r="L76">
        <f t="shared" si="4"/>
        <v>357</v>
      </c>
      <c r="M76" t="str" cm="1">
        <f t="array" ref="M76">_xlfn.IFS(L76&lt;=0, "OUT OF STOCK", L76&lt;=F76, "REORDER", L76&lt;=G76, "LOW STOCK", TRUE, "IN STOCK")</f>
        <v>IN STOCK</v>
      </c>
      <c r="N76" s="2">
        <f t="shared" si="5"/>
        <v>26418000</v>
      </c>
      <c r="O76">
        <v>357</v>
      </c>
      <c r="P76">
        <f t="shared" si="6"/>
        <v>0</v>
      </c>
      <c r="Q76" t="str">
        <f>_xlfn.XLOOKUP(A76, 'Item Master'!$B$3:$B$502, 'Item Master'!$G$3:$G$502,,0)</f>
        <v>CV Karya Mandiri</v>
      </c>
      <c r="R76" t="str">
        <f t="shared" si="7"/>
        <v>CONFORM</v>
      </c>
    </row>
    <row r="77" spans="1:18" x14ac:dyDescent="0.25">
      <c r="A77" t="s">
        <v>170</v>
      </c>
      <c r="B77" t="s">
        <v>66</v>
      </c>
      <c r="C77" t="s">
        <v>16</v>
      </c>
      <c r="D77" t="s">
        <v>2</v>
      </c>
      <c r="E77">
        <v>186</v>
      </c>
      <c r="F77">
        <v>5</v>
      </c>
      <c r="G77">
        <v>46</v>
      </c>
      <c r="H77" s="2">
        <v>237000</v>
      </c>
      <c r="I77" t="s">
        <v>171</v>
      </c>
      <c r="J77">
        <f>SUMIF('STOCK IN'!$C:$C, A77, 'STOCK IN'!$E:$E)</f>
        <v>147</v>
      </c>
      <c r="K77">
        <f>SUMIF('STOCK OUT'!$C:$C, A77, 'STOCK OUT'!$E:$E)</f>
        <v>196</v>
      </c>
      <c r="L77">
        <f t="shared" si="4"/>
        <v>137</v>
      </c>
      <c r="M77" t="str" cm="1">
        <f t="array" ref="M77">_xlfn.IFS(L77&lt;=0, "OUT OF STOCK", L77&lt;=F77, "REORDER", L77&lt;=G77, "LOW STOCK", TRUE, "IN STOCK")</f>
        <v>IN STOCK</v>
      </c>
      <c r="N77" s="2">
        <f t="shared" si="5"/>
        <v>32469000</v>
      </c>
      <c r="O77">
        <v>134</v>
      </c>
      <c r="P77">
        <f t="shared" si="6"/>
        <v>-3</v>
      </c>
      <c r="Q77" t="str">
        <f>_xlfn.XLOOKUP(A77, 'Item Master'!$B$3:$B$502, 'Item Master'!$G$3:$G$502,,0)</f>
        <v>CV Mitra Perkasa</v>
      </c>
      <c r="R77" t="str">
        <f t="shared" si="7"/>
        <v>MINUS</v>
      </c>
    </row>
    <row r="78" spans="1:18" x14ac:dyDescent="0.25">
      <c r="A78" t="s">
        <v>172</v>
      </c>
      <c r="B78" t="s">
        <v>26</v>
      </c>
      <c r="C78" t="s">
        <v>16</v>
      </c>
      <c r="D78" t="s">
        <v>2</v>
      </c>
      <c r="E78">
        <v>215</v>
      </c>
      <c r="F78">
        <v>49</v>
      </c>
      <c r="G78">
        <v>70</v>
      </c>
      <c r="H78" s="2">
        <v>270000</v>
      </c>
      <c r="I78" t="s">
        <v>173</v>
      </c>
      <c r="J78">
        <f>SUMIF('STOCK IN'!$C:$C, A78, 'STOCK IN'!$E:$E)</f>
        <v>142</v>
      </c>
      <c r="K78">
        <f>SUMIF('STOCK OUT'!$C:$C, A78, 'STOCK OUT'!$E:$E)</f>
        <v>78</v>
      </c>
      <c r="L78">
        <f t="shared" si="4"/>
        <v>279</v>
      </c>
      <c r="M78" t="str" cm="1">
        <f t="array" ref="M78">_xlfn.IFS(L78&lt;=0, "OUT OF STOCK", L78&lt;=F78, "REORDER", L78&lt;=G78, "LOW STOCK", TRUE, "IN STOCK")</f>
        <v>IN STOCK</v>
      </c>
      <c r="N78" s="2">
        <f t="shared" si="5"/>
        <v>75330000</v>
      </c>
      <c r="O78">
        <v>278</v>
      </c>
      <c r="P78">
        <f t="shared" si="6"/>
        <v>-1</v>
      </c>
      <c r="Q78" t="str">
        <f>_xlfn.XLOOKUP(A78, 'Item Master'!$B$3:$B$502, 'Item Master'!$G$3:$G$502,,0)</f>
        <v>CV Karya Mandiri</v>
      </c>
      <c r="R78" t="str">
        <f t="shared" si="7"/>
        <v>MINUS</v>
      </c>
    </row>
    <row r="79" spans="1:18" x14ac:dyDescent="0.25">
      <c r="A79" t="s">
        <v>174</v>
      </c>
      <c r="B79" t="s">
        <v>26</v>
      </c>
      <c r="C79" t="s">
        <v>16</v>
      </c>
      <c r="D79" t="s">
        <v>2</v>
      </c>
      <c r="E79">
        <v>227</v>
      </c>
      <c r="F79">
        <v>12</v>
      </c>
      <c r="G79">
        <v>56</v>
      </c>
      <c r="H79" s="2">
        <v>649000</v>
      </c>
      <c r="I79" t="s">
        <v>175</v>
      </c>
      <c r="J79">
        <f>SUMIF('STOCK IN'!$C:$C, A79, 'STOCK IN'!$E:$E)</f>
        <v>184</v>
      </c>
      <c r="K79">
        <f>SUMIF('STOCK OUT'!$C:$C, A79, 'STOCK OUT'!$E:$E)</f>
        <v>44</v>
      </c>
      <c r="L79">
        <f t="shared" si="4"/>
        <v>367</v>
      </c>
      <c r="M79" t="str" cm="1">
        <f t="array" ref="M79">_xlfn.IFS(L79&lt;=0, "OUT OF STOCK", L79&lt;=F79, "REORDER", L79&lt;=G79, "LOW STOCK", TRUE, "IN STOCK")</f>
        <v>IN STOCK</v>
      </c>
      <c r="N79" s="2">
        <f t="shared" si="5"/>
        <v>238183000</v>
      </c>
      <c r="O79">
        <v>365</v>
      </c>
      <c r="P79">
        <f t="shared" si="6"/>
        <v>-2</v>
      </c>
      <c r="Q79" t="str">
        <f>_xlfn.XLOOKUP(A79, 'Item Master'!$B$3:$B$502, 'Item Master'!$G$3:$G$502,,0)</f>
        <v>PT Sentosa Distribusi</v>
      </c>
      <c r="R79" t="str">
        <f t="shared" si="7"/>
        <v>MINUS</v>
      </c>
    </row>
    <row r="80" spans="1:18" x14ac:dyDescent="0.25">
      <c r="A80" t="s">
        <v>176</v>
      </c>
      <c r="B80" t="s">
        <v>21</v>
      </c>
      <c r="C80" t="s">
        <v>16</v>
      </c>
      <c r="D80" t="s">
        <v>2</v>
      </c>
      <c r="E80">
        <v>91</v>
      </c>
      <c r="F80">
        <v>33</v>
      </c>
      <c r="G80">
        <v>57</v>
      </c>
      <c r="H80" s="2">
        <v>96000</v>
      </c>
      <c r="I80" t="s">
        <v>177</v>
      </c>
      <c r="J80">
        <f>SUMIF('STOCK IN'!$C:$C, A80, 'STOCK IN'!$E:$E)</f>
        <v>168</v>
      </c>
      <c r="K80">
        <f>SUMIF('STOCK OUT'!$C:$C, A80, 'STOCK OUT'!$E:$E)</f>
        <v>128</v>
      </c>
      <c r="L80">
        <f t="shared" si="4"/>
        <v>131</v>
      </c>
      <c r="M80" t="str" cm="1">
        <f t="array" ref="M80">_xlfn.IFS(L80&lt;=0, "OUT OF STOCK", L80&lt;=F80, "REORDER", L80&lt;=G80, "LOW STOCK", TRUE, "IN STOCK")</f>
        <v>IN STOCK</v>
      </c>
      <c r="N80" s="2">
        <f t="shared" si="5"/>
        <v>12576000</v>
      </c>
      <c r="O80">
        <v>131</v>
      </c>
      <c r="P80">
        <f t="shared" si="6"/>
        <v>0</v>
      </c>
      <c r="Q80" t="str">
        <f>_xlfn.XLOOKUP(A80, 'Item Master'!$B$3:$B$502, 'Item Master'!$G$3:$G$502,,0)</f>
        <v>PT Indo Elektrik</v>
      </c>
      <c r="R80" t="str">
        <f t="shared" si="7"/>
        <v>CONFORM</v>
      </c>
    </row>
    <row r="81" spans="1:18" x14ac:dyDescent="0.25">
      <c r="A81" t="s">
        <v>178</v>
      </c>
      <c r="B81" t="s">
        <v>163</v>
      </c>
      <c r="C81" t="s">
        <v>16</v>
      </c>
      <c r="D81" t="s">
        <v>2</v>
      </c>
      <c r="E81">
        <v>200</v>
      </c>
      <c r="F81">
        <v>35</v>
      </c>
      <c r="G81">
        <v>54</v>
      </c>
      <c r="H81" s="2">
        <v>30000</v>
      </c>
      <c r="I81" t="s">
        <v>110</v>
      </c>
      <c r="J81">
        <f>SUMIF('STOCK IN'!$C:$C, A81, 'STOCK IN'!$E:$E)</f>
        <v>65</v>
      </c>
      <c r="K81">
        <f>SUMIF('STOCK OUT'!$C:$C, A81, 'STOCK OUT'!$E:$E)</f>
        <v>87</v>
      </c>
      <c r="L81">
        <f t="shared" si="4"/>
        <v>178</v>
      </c>
      <c r="M81" t="str" cm="1">
        <f t="array" ref="M81">_xlfn.IFS(L81&lt;=0, "OUT OF STOCK", L81&lt;=F81, "REORDER", L81&lt;=G81, "LOW STOCK", TRUE, "IN STOCK")</f>
        <v>IN STOCK</v>
      </c>
      <c r="N81" s="2">
        <f t="shared" si="5"/>
        <v>5340000</v>
      </c>
      <c r="O81">
        <v>176</v>
      </c>
      <c r="P81">
        <f t="shared" si="6"/>
        <v>-2</v>
      </c>
      <c r="Q81" t="str">
        <f>_xlfn.XLOOKUP(A81, 'Item Master'!$B$3:$B$502, 'Item Master'!$G$3:$G$502,,0)</f>
        <v>PT Cipta Sarana Niaga</v>
      </c>
      <c r="R81" t="str">
        <f t="shared" si="7"/>
        <v>MINUS</v>
      </c>
    </row>
    <row r="82" spans="1:18" x14ac:dyDescent="0.25">
      <c r="A82" t="s">
        <v>179</v>
      </c>
      <c r="B82" t="s">
        <v>47</v>
      </c>
      <c r="C82" t="s">
        <v>16</v>
      </c>
      <c r="D82" t="s">
        <v>2</v>
      </c>
      <c r="E82">
        <v>209</v>
      </c>
      <c r="F82">
        <v>38</v>
      </c>
      <c r="G82">
        <v>58</v>
      </c>
      <c r="H82" s="2">
        <v>482000</v>
      </c>
      <c r="I82" t="s">
        <v>50</v>
      </c>
      <c r="J82">
        <f>SUMIF('STOCK IN'!$C:$C, A82, 'STOCK IN'!$E:$E)</f>
        <v>53</v>
      </c>
      <c r="K82">
        <f>SUMIF('STOCK OUT'!$C:$C, A82, 'STOCK OUT'!$E:$E)</f>
        <v>174</v>
      </c>
      <c r="L82">
        <f t="shared" si="4"/>
        <v>88</v>
      </c>
      <c r="M82" t="str" cm="1">
        <f t="array" ref="M82">_xlfn.IFS(L82&lt;=0, "OUT OF STOCK", L82&lt;=F82, "REORDER", L82&lt;=G82, "LOW STOCK", TRUE, "IN STOCK")</f>
        <v>IN STOCK</v>
      </c>
      <c r="N82" s="2">
        <f t="shared" si="5"/>
        <v>42416000</v>
      </c>
      <c r="O82">
        <v>89</v>
      </c>
      <c r="P82">
        <f t="shared" si="6"/>
        <v>1</v>
      </c>
      <c r="Q82" t="str">
        <f>_xlfn.XLOOKUP(A82, 'Item Master'!$B$3:$B$502, 'Item Master'!$G$3:$G$502,,0)</f>
        <v>CV Prima Logistik</v>
      </c>
      <c r="R82" t="str">
        <f t="shared" si="7"/>
        <v>SURPLUS</v>
      </c>
    </row>
    <row r="83" spans="1:18" x14ac:dyDescent="0.25">
      <c r="A83" t="s">
        <v>180</v>
      </c>
      <c r="B83" t="s">
        <v>15</v>
      </c>
      <c r="C83" t="s">
        <v>16</v>
      </c>
      <c r="D83" t="s">
        <v>2</v>
      </c>
      <c r="E83">
        <v>83</v>
      </c>
      <c r="F83">
        <v>20</v>
      </c>
      <c r="G83">
        <v>33</v>
      </c>
      <c r="H83" s="2">
        <v>267000</v>
      </c>
      <c r="I83" t="s">
        <v>181</v>
      </c>
      <c r="J83">
        <f>SUMIF('STOCK IN'!$C:$C, A83, 'STOCK IN'!$E:$E)</f>
        <v>91</v>
      </c>
      <c r="K83">
        <f>SUMIF('STOCK OUT'!$C:$C, A83, 'STOCK OUT'!$E:$E)</f>
        <v>120</v>
      </c>
      <c r="L83">
        <f t="shared" si="4"/>
        <v>54</v>
      </c>
      <c r="M83" t="str" cm="1">
        <f t="array" ref="M83">_xlfn.IFS(L83&lt;=0, "OUT OF STOCK", L83&lt;=F83, "REORDER", L83&lt;=G83, "LOW STOCK", TRUE, "IN STOCK")</f>
        <v>IN STOCK</v>
      </c>
      <c r="N83" s="2">
        <f t="shared" si="5"/>
        <v>14418000</v>
      </c>
      <c r="O83">
        <v>56</v>
      </c>
      <c r="P83">
        <f t="shared" si="6"/>
        <v>2</v>
      </c>
      <c r="Q83" t="str">
        <f>_xlfn.XLOOKUP(A83, 'Item Master'!$B$3:$B$502, 'Item Master'!$G$3:$G$502,,0)</f>
        <v>CV Berkah Jaya</v>
      </c>
      <c r="R83" t="str">
        <f t="shared" si="7"/>
        <v>SURPLUS</v>
      </c>
    </row>
    <row r="84" spans="1:18" x14ac:dyDescent="0.25">
      <c r="A84" t="s">
        <v>182</v>
      </c>
      <c r="B84" t="s">
        <v>15</v>
      </c>
      <c r="C84" t="s">
        <v>16</v>
      </c>
      <c r="D84" t="s">
        <v>2</v>
      </c>
      <c r="E84">
        <v>48</v>
      </c>
      <c r="F84">
        <v>19</v>
      </c>
      <c r="G84">
        <v>36</v>
      </c>
      <c r="H84" s="2">
        <v>120000</v>
      </c>
      <c r="I84" t="s">
        <v>183</v>
      </c>
      <c r="J84">
        <f>SUMIF('STOCK IN'!$C:$C, A84, 'STOCK IN'!$E:$E)</f>
        <v>32</v>
      </c>
      <c r="K84">
        <f>SUMIF('STOCK OUT'!$C:$C, A84, 'STOCK OUT'!$E:$E)</f>
        <v>113</v>
      </c>
      <c r="L84">
        <f t="shared" si="4"/>
        <v>-33</v>
      </c>
      <c r="M84" t="str" cm="1">
        <f t="array" ref="M84">_xlfn.IFS(L84&lt;=0, "OUT OF STOCK", L84&lt;=F84, "REORDER", L84&lt;=G84, "LOW STOCK", TRUE, "IN STOCK")</f>
        <v>OUT OF STOCK</v>
      </c>
      <c r="N84" s="2">
        <f t="shared" si="5"/>
        <v>-3960000</v>
      </c>
      <c r="O84">
        <v>0</v>
      </c>
      <c r="P84">
        <f t="shared" si="6"/>
        <v>0</v>
      </c>
      <c r="Q84" t="str">
        <f>_xlfn.XLOOKUP(A84, 'Item Master'!$B$3:$B$502, 'Item Master'!$G$3:$G$502,,0)</f>
        <v>PT Sentosa Distribusi</v>
      </c>
      <c r="R84" t="str">
        <f t="shared" si="7"/>
        <v>CONFORM</v>
      </c>
    </row>
    <row r="85" spans="1:18" x14ac:dyDescent="0.25">
      <c r="A85" t="s">
        <v>184</v>
      </c>
      <c r="B85" t="s">
        <v>15</v>
      </c>
      <c r="C85" t="s">
        <v>16</v>
      </c>
      <c r="D85" t="s">
        <v>2</v>
      </c>
      <c r="E85">
        <v>114</v>
      </c>
      <c r="F85">
        <v>26</v>
      </c>
      <c r="G85">
        <v>48</v>
      </c>
      <c r="H85" s="2">
        <v>191000</v>
      </c>
      <c r="I85" t="s">
        <v>185</v>
      </c>
      <c r="J85">
        <f>SUMIF('STOCK IN'!$C:$C, A85, 'STOCK IN'!$E:$E)</f>
        <v>50</v>
      </c>
      <c r="K85">
        <f>SUMIF('STOCK OUT'!$C:$C, A85, 'STOCK OUT'!$E:$E)</f>
        <v>154</v>
      </c>
      <c r="L85">
        <f t="shared" si="4"/>
        <v>10</v>
      </c>
      <c r="M85" t="str" cm="1">
        <f t="array" ref="M85">_xlfn.IFS(L85&lt;=0, "OUT OF STOCK", L85&lt;=F85, "REORDER", L85&lt;=G85, "LOW STOCK", TRUE, "IN STOCK")</f>
        <v>REORDER</v>
      </c>
      <c r="N85" s="2">
        <f t="shared" si="5"/>
        <v>1910000</v>
      </c>
      <c r="O85">
        <v>13</v>
      </c>
      <c r="P85">
        <f t="shared" si="6"/>
        <v>3</v>
      </c>
      <c r="Q85" t="str">
        <f>_xlfn.XLOOKUP(A85, 'Item Master'!$B$3:$B$502, 'Item Master'!$G$3:$G$502,,0)</f>
        <v>CV Karya Mandiri</v>
      </c>
      <c r="R85" t="str">
        <f t="shared" si="7"/>
        <v>SURPLUS</v>
      </c>
    </row>
    <row r="86" spans="1:18" x14ac:dyDescent="0.25">
      <c r="A86" t="s">
        <v>186</v>
      </c>
      <c r="B86" t="s">
        <v>26</v>
      </c>
      <c r="C86" t="s">
        <v>16</v>
      </c>
      <c r="D86" t="s">
        <v>2</v>
      </c>
      <c r="E86">
        <v>117</v>
      </c>
      <c r="F86">
        <v>29</v>
      </c>
      <c r="G86">
        <v>58</v>
      </c>
      <c r="H86" s="2">
        <v>606000</v>
      </c>
      <c r="I86" t="s">
        <v>52</v>
      </c>
      <c r="J86">
        <f>SUMIF('STOCK IN'!$C:$C, A86, 'STOCK IN'!$E:$E)</f>
        <v>66</v>
      </c>
      <c r="K86">
        <f>SUMIF('STOCK OUT'!$C:$C, A86, 'STOCK OUT'!$E:$E)</f>
        <v>99</v>
      </c>
      <c r="L86">
        <f t="shared" si="4"/>
        <v>84</v>
      </c>
      <c r="M86" t="str" cm="1">
        <f t="array" ref="M86">_xlfn.IFS(L86&lt;=0, "OUT OF STOCK", L86&lt;=F86, "REORDER", L86&lt;=G86, "LOW STOCK", TRUE, "IN STOCK")</f>
        <v>IN STOCK</v>
      </c>
      <c r="N86" s="2">
        <f t="shared" si="5"/>
        <v>50904000</v>
      </c>
      <c r="O86">
        <v>85</v>
      </c>
      <c r="P86">
        <f t="shared" si="6"/>
        <v>1</v>
      </c>
      <c r="Q86" t="str">
        <f>_xlfn.XLOOKUP(A86, 'Item Master'!$B$3:$B$502, 'Item Master'!$G$3:$G$502,,0)</f>
        <v>PT Solusi Komputer</v>
      </c>
      <c r="R86" t="str">
        <f t="shared" si="7"/>
        <v>SURPLUS</v>
      </c>
    </row>
    <row r="87" spans="1:18" x14ac:dyDescent="0.25">
      <c r="A87" t="s">
        <v>187</v>
      </c>
      <c r="B87" t="s">
        <v>54</v>
      </c>
      <c r="C87" t="s">
        <v>16</v>
      </c>
      <c r="D87" t="s">
        <v>2</v>
      </c>
      <c r="E87">
        <v>132</v>
      </c>
      <c r="F87">
        <v>5</v>
      </c>
      <c r="G87">
        <v>33</v>
      </c>
      <c r="H87" s="2">
        <v>122000</v>
      </c>
      <c r="I87" t="s">
        <v>110</v>
      </c>
      <c r="J87">
        <f>SUMIF('STOCK IN'!$C:$C, A87, 'STOCK IN'!$E:$E)</f>
        <v>190</v>
      </c>
      <c r="K87">
        <f>SUMIF('STOCK OUT'!$C:$C, A87, 'STOCK OUT'!$E:$E)</f>
        <v>118</v>
      </c>
      <c r="L87">
        <f t="shared" si="4"/>
        <v>204</v>
      </c>
      <c r="M87" t="str" cm="1">
        <f t="array" ref="M87">_xlfn.IFS(L87&lt;=0, "OUT OF STOCK", L87&lt;=F87, "REORDER", L87&lt;=G87, "LOW STOCK", TRUE, "IN STOCK")</f>
        <v>IN STOCK</v>
      </c>
      <c r="N87" s="2">
        <f t="shared" si="5"/>
        <v>24888000</v>
      </c>
      <c r="O87">
        <v>204</v>
      </c>
      <c r="P87">
        <f t="shared" si="6"/>
        <v>0</v>
      </c>
      <c r="Q87" t="str">
        <f>_xlfn.XLOOKUP(A87, 'Item Master'!$B$3:$B$502, 'Item Master'!$G$3:$G$502,,0)</f>
        <v>PT Cipta Sarana Niaga</v>
      </c>
      <c r="R87" t="str">
        <f t="shared" si="7"/>
        <v>CONFORM</v>
      </c>
    </row>
    <row r="88" spans="1:18" x14ac:dyDescent="0.25">
      <c r="A88" t="s">
        <v>188</v>
      </c>
      <c r="B88" t="s">
        <v>29</v>
      </c>
      <c r="C88" t="s">
        <v>16</v>
      </c>
      <c r="D88" t="s">
        <v>2</v>
      </c>
      <c r="E88">
        <v>134</v>
      </c>
      <c r="F88">
        <v>19</v>
      </c>
      <c r="G88">
        <v>33</v>
      </c>
      <c r="H88" s="2">
        <v>192000</v>
      </c>
      <c r="I88" t="s">
        <v>189</v>
      </c>
      <c r="J88">
        <f>SUMIF('STOCK IN'!$C:$C, A88, 'STOCK IN'!$E:$E)</f>
        <v>93</v>
      </c>
      <c r="K88">
        <f>SUMIF('STOCK OUT'!$C:$C, A88, 'STOCK OUT'!$E:$E)</f>
        <v>187</v>
      </c>
      <c r="L88">
        <f t="shared" si="4"/>
        <v>40</v>
      </c>
      <c r="M88" t="str" cm="1">
        <f t="array" ref="M88">_xlfn.IFS(L88&lt;=0, "OUT OF STOCK", L88&lt;=F88, "REORDER", L88&lt;=G88, "LOW STOCK", TRUE, "IN STOCK")</f>
        <v>IN STOCK</v>
      </c>
      <c r="N88" s="2">
        <f t="shared" si="5"/>
        <v>7680000</v>
      </c>
      <c r="O88">
        <v>41</v>
      </c>
      <c r="P88">
        <f t="shared" si="6"/>
        <v>1</v>
      </c>
      <c r="Q88" t="str">
        <f>_xlfn.XLOOKUP(A88, 'Item Master'!$B$3:$B$502, 'Item Master'!$G$3:$G$502,,0)</f>
        <v>PT Global Office Supply</v>
      </c>
      <c r="R88" t="str">
        <f t="shared" si="7"/>
        <v>SURPLUS</v>
      </c>
    </row>
    <row r="89" spans="1:18" x14ac:dyDescent="0.25">
      <c r="A89" t="s">
        <v>190</v>
      </c>
      <c r="B89" t="s">
        <v>29</v>
      </c>
      <c r="C89" t="s">
        <v>16</v>
      </c>
      <c r="D89" t="s">
        <v>2</v>
      </c>
      <c r="E89">
        <v>181</v>
      </c>
      <c r="F89">
        <v>48</v>
      </c>
      <c r="G89">
        <v>78</v>
      </c>
      <c r="H89" s="2">
        <v>252000</v>
      </c>
      <c r="I89" t="s">
        <v>77</v>
      </c>
      <c r="J89">
        <f>SUMIF('STOCK IN'!$C:$C, A89, 'STOCK IN'!$E:$E)</f>
        <v>226</v>
      </c>
      <c r="K89">
        <f>SUMIF('STOCK OUT'!$C:$C, A89, 'STOCK OUT'!$E:$E)</f>
        <v>92</v>
      </c>
      <c r="L89">
        <f t="shared" si="4"/>
        <v>315</v>
      </c>
      <c r="M89" t="str" cm="1">
        <f t="array" ref="M89">_xlfn.IFS(L89&lt;=0, "OUT OF STOCK", L89&lt;=F89, "REORDER", L89&lt;=G89, "LOW STOCK", TRUE, "IN STOCK")</f>
        <v>IN STOCK</v>
      </c>
      <c r="N89" s="2">
        <f t="shared" si="5"/>
        <v>79380000</v>
      </c>
      <c r="O89">
        <v>315</v>
      </c>
      <c r="P89">
        <f t="shared" si="6"/>
        <v>0</v>
      </c>
      <c r="Q89" t="str">
        <f>_xlfn.XLOOKUP(A89, 'Item Master'!$B$3:$B$502, 'Item Master'!$G$3:$G$502,,0)</f>
        <v>PT Global Office Supply</v>
      </c>
      <c r="R89" t="str">
        <f t="shared" si="7"/>
        <v>CONFORM</v>
      </c>
    </row>
    <row r="90" spans="1:18" x14ac:dyDescent="0.25">
      <c r="A90" t="s">
        <v>191</v>
      </c>
      <c r="B90" t="s">
        <v>163</v>
      </c>
      <c r="C90" t="s">
        <v>16</v>
      </c>
      <c r="D90" t="s">
        <v>2</v>
      </c>
      <c r="E90">
        <v>169</v>
      </c>
      <c r="F90">
        <v>39</v>
      </c>
      <c r="G90">
        <v>44</v>
      </c>
      <c r="H90" s="2">
        <v>26000</v>
      </c>
      <c r="I90" t="s">
        <v>95</v>
      </c>
      <c r="J90">
        <f>SUMIF('STOCK IN'!$C:$C, A90, 'STOCK IN'!$E:$E)</f>
        <v>179</v>
      </c>
      <c r="K90">
        <f>SUMIF('STOCK OUT'!$C:$C, A90, 'STOCK OUT'!$E:$E)</f>
        <v>138</v>
      </c>
      <c r="L90">
        <f t="shared" si="4"/>
        <v>210</v>
      </c>
      <c r="M90" t="str" cm="1">
        <f t="array" ref="M90">_xlfn.IFS(L90&lt;=0, "OUT OF STOCK", L90&lt;=F90, "REORDER", L90&lt;=G90, "LOW STOCK", TRUE, "IN STOCK")</f>
        <v>IN STOCK</v>
      </c>
      <c r="N90" s="2">
        <f t="shared" si="5"/>
        <v>5460000</v>
      </c>
      <c r="O90">
        <v>210</v>
      </c>
      <c r="P90">
        <f t="shared" si="6"/>
        <v>0</v>
      </c>
      <c r="Q90" t="str">
        <f>_xlfn.XLOOKUP(A90, 'Item Master'!$B$3:$B$502, 'Item Master'!$G$3:$G$502,,0)</f>
        <v>PT Global Office Supply</v>
      </c>
      <c r="R90" t="str">
        <f t="shared" si="7"/>
        <v>CONFORM</v>
      </c>
    </row>
    <row r="91" spans="1:18" x14ac:dyDescent="0.25">
      <c r="A91" t="s">
        <v>192</v>
      </c>
      <c r="B91" t="s">
        <v>1</v>
      </c>
      <c r="C91" t="s">
        <v>16</v>
      </c>
      <c r="D91" t="s">
        <v>2</v>
      </c>
      <c r="E91">
        <v>174</v>
      </c>
      <c r="F91">
        <v>32</v>
      </c>
      <c r="G91">
        <v>43</v>
      </c>
      <c r="H91" s="2">
        <v>55000</v>
      </c>
      <c r="I91" t="s">
        <v>193</v>
      </c>
      <c r="J91">
        <f>SUMIF('STOCK IN'!$C:$C, A91, 'STOCK IN'!$E:$E)</f>
        <v>101</v>
      </c>
      <c r="K91">
        <f>SUMIF('STOCK OUT'!$C:$C, A91, 'STOCK OUT'!$E:$E)</f>
        <v>55</v>
      </c>
      <c r="L91">
        <f t="shared" si="4"/>
        <v>220</v>
      </c>
      <c r="M91" t="str" cm="1">
        <f t="array" ref="M91">_xlfn.IFS(L91&lt;=0, "OUT OF STOCK", L91&lt;=F91, "REORDER", L91&lt;=G91, "LOW STOCK", TRUE, "IN STOCK")</f>
        <v>IN STOCK</v>
      </c>
      <c r="N91" s="2">
        <f t="shared" si="5"/>
        <v>12100000</v>
      </c>
      <c r="O91">
        <v>220</v>
      </c>
      <c r="P91">
        <f t="shared" si="6"/>
        <v>0</v>
      </c>
      <c r="Q91" t="str">
        <f>_xlfn.XLOOKUP(A91, 'Item Master'!$B$3:$B$502, 'Item Master'!$G$3:$G$502,,0)</f>
        <v>CV Karya Mandiri</v>
      </c>
      <c r="R91" t="str">
        <f t="shared" si="7"/>
        <v>CONFORM</v>
      </c>
    </row>
    <row r="92" spans="1:18" x14ac:dyDescent="0.25">
      <c r="A92" t="s">
        <v>194</v>
      </c>
      <c r="B92" t="s">
        <v>47</v>
      </c>
      <c r="C92" t="s">
        <v>16</v>
      </c>
      <c r="D92" t="s">
        <v>2</v>
      </c>
      <c r="E92">
        <v>93</v>
      </c>
      <c r="F92">
        <v>18</v>
      </c>
      <c r="G92">
        <v>37</v>
      </c>
      <c r="H92" s="2">
        <v>284000</v>
      </c>
      <c r="I92" t="s">
        <v>195</v>
      </c>
      <c r="J92">
        <f>SUMIF('STOCK IN'!$C:$C, A92, 'STOCK IN'!$E:$E)</f>
        <v>81</v>
      </c>
      <c r="K92">
        <f>SUMIF('STOCK OUT'!$C:$C, A92, 'STOCK OUT'!$E:$E)</f>
        <v>74</v>
      </c>
      <c r="L92">
        <f t="shared" si="4"/>
        <v>100</v>
      </c>
      <c r="M92" t="str" cm="1">
        <f t="array" ref="M92">_xlfn.IFS(L92&lt;=0, "OUT OF STOCK", L92&lt;=F92, "REORDER", L92&lt;=G92, "LOW STOCK", TRUE, "IN STOCK")</f>
        <v>IN STOCK</v>
      </c>
      <c r="N92" s="2">
        <f t="shared" si="5"/>
        <v>28400000</v>
      </c>
      <c r="O92">
        <v>100</v>
      </c>
      <c r="P92">
        <f t="shared" si="6"/>
        <v>0</v>
      </c>
      <c r="Q92" t="str">
        <f>_xlfn.XLOOKUP(A92, 'Item Master'!$B$3:$B$502, 'Item Master'!$G$3:$G$502,,0)</f>
        <v>CV Berkah Jaya</v>
      </c>
      <c r="R92" t="str">
        <f t="shared" si="7"/>
        <v>CONFORM</v>
      </c>
    </row>
    <row r="93" spans="1:18" x14ac:dyDescent="0.25">
      <c r="A93" t="s">
        <v>196</v>
      </c>
      <c r="B93" t="s">
        <v>47</v>
      </c>
      <c r="C93" t="s">
        <v>16</v>
      </c>
      <c r="D93" t="s">
        <v>2</v>
      </c>
      <c r="E93">
        <v>222</v>
      </c>
      <c r="F93">
        <v>31</v>
      </c>
      <c r="G93">
        <v>55</v>
      </c>
      <c r="H93" s="2">
        <v>475000</v>
      </c>
      <c r="I93" t="s">
        <v>164</v>
      </c>
      <c r="J93">
        <f>SUMIF('STOCK IN'!$C:$C, A93, 'STOCK IN'!$E:$E)</f>
        <v>154</v>
      </c>
      <c r="K93">
        <f>SUMIF('STOCK OUT'!$C:$C, A93, 'STOCK OUT'!$E:$E)</f>
        <v>140</v>
      </c>
      <c r="L93">
        <f t="shared" si="4"/>
        <v>236</v>
      </c>
      <c r="M93" t="str" cm="1">
        <f t="array" ref="M93">_xlfn.IFS(L93&lt;=0, "OUT OF STOCK", L93&lt;=F93, "REORDER", L93&lt;=G93, "LOW STOCK", TRUE, "IN STOCK")</f>
        <v>IN STOCK</v>
      </c>
      <c r="N93" s="2">
        <f t="shared" si="5"/>
        <v>112100000</v>
      </c>
      <c r="O93">
        <v>236</v>
      </c>
      <c r="P93">
        <f t="shared" si="6"/>
        <v>0</v>
      </c>
      <c r="Q93" t="str">
        <f>_xlfn.XLOOKUP(A93, 'Item Master'!$B$3:$B$502, 'Item Master'!$G$3:$G$502,,0)</f>
        <v>CV Mitra Perkasa</v>
      </c>
      <c r="R93" t="str">
        <f t="shared" si="7"/>
        <v>CONFORM</v>
      </c>
    </row>
    <row r="94" spans="1:18" x14ac:dyDescent="0.25">
      <c r="A94" t="s">
        <v>197</v>
      </c>
      <c r="B94" t="s">
        <v>21</v>
      </c>
      <c r="C94" t="s">
        <v>16</v>
      </c>
      <c r="D94" t="s">
        <v>2</v>
      </c>
      <c r="E94">
        <v>99</v>
      </c>
      <c r="F94">
        <v>19</v>
      </c>
      <c r="G94">
        <v>44</v>
      </c>
      <c r="H94" s="2">
        <v>26000</v>
      </c>
      <c r="I94" t="s">
        <v>171</v>
      </c>
      <c r="J94">
        <f>SUMIF('STOCK IN'!$C:$C, A94, 'STOCK IN'!$E:$E)</f>
        <v>228</v>
      </c>
      <c r="K94">
        <f>SUMIF('STOCK OUT'!$C:$C, A94, 'STOCK OUT'!$E:$E)</f>
        <v>90</v>
      </c>
      <c r="L94">
        <f t="shared" si="4"/>
        <v>237</v>
      </c>
      <c r="M94" t="str" cm="1">
        <f t="array" ref="M94">_xlfn.IFS(L94&lt;=0, "OUT OF STOCK", L94&lt;=F94, "REORDER", L94&lt;=G94, "LOW STOCK", TRUE, "IN STOCK")</f>
        <v>IN STOCK</v>
      </c>
      <c r="N94" s="2">
        <f t="shared" si="5"/>
        <v>6162000</v>
      </c>
      <c r="O94">
        <v>240</v>
      </c>
      <c r="P94">
        <f t="shared" si="6"/>
        <v>3</v>
      </c>
      <c r="Q94" t="str">
        <f>_xlfn.XLOOKUP(A94, 'Item Master'!$B$3:$B$502, 'Item Master'!$G$3:$G$502,,0)</f>
        <v>CV Mitra Perkasa</v>
      </c>
      <c r="R94" t="str">
        <f t="shared" si="7"/>
        <v>SURPLUS</v>
      </c>
    </row>
    <row r="95" spans="1:18" x14ac:dyDescent="0.25">
      <c r="A95" t="s">
        <v>198</v>
      </c>
      <c r="B95" t="s">
        <v>1</v>
      </c>
      <c r="C95" t="s">
        <v>16</v>
      </c>
      <c r="D95" t="s">
        <v>2</v>
      </c>
      <c r="E95">
        <v>61</v>
      </c>
      <c r="F95">
        <v>6</v>
      </c>
      <c r="G95">
        <v>30</v>
      </c>
      <c r="H95" s="2">
        <v>76000</v>
      </c>
      <c r="I95" t="s">
        <v>140</v>
      </c>
      <c r="J95">
        <f>SUMIF('STOCK IN'!$C:$C, A95, 'STOCK IN'!$E:$E)</f>
        <v>60</v>
      </c>
      <c r="K95">
        <f>SUMIF('STOCK OUT'!$C:$C, A95, 'STOCK OUT'!$E:$E)</f>
        <v>127</v>
      </c>
      <c r="L95">
        <f t="shared" si="4"/>
        <v>-6</v>
      </c>
      <c r="M95" t="str" cm="1">
        <f t="array" ref="M95">_xlfn.IFS(L95&lt;=0, "OUT OF STOCK", L95&lt;=F95, "REORDER", L95&lt;=G95, "LOW STOCK", TRUE, "IN STOCK")</f>
        <v>OUT OF STOCK</v>
      </c>
      <c r="N95" s="2">
        <f t="shared" si="5"/>
        <v>-456000</v>
      </c>
      <c r="O95">
        <v>0</v>
      </c>
      <c r="P95">
        <f t="shared" si="6"/>
        <v>0</v>
      </c>
      <c r="Q95" t="str">
        <f>_xlfn.XLOOKUP(A95, 'Item Master'!$B$3:$B$502, 'Item Master'!$G$3:$G$502,,0)</f>
        <v>PT Sentosa Distribusi</v>
      </c>
      <c r="R95" t="str">
        <f t="shared" si="7"/>
        <v>CONFORM</v>
      </c>
    </row>
    <row r="96" spans="1:18" x14ac:dyDescent="0.25">
      <c r="A96" t="s">
        <v>199</v>
      </c>
      <c r="B96" t="s">
        <v>163</v>
      </c>
      <c r="C96" t="s">
        <v>16</v>
      </c>
      <c r="D96" t="s">
        <v>2</v>
      </c>
      <c r="E96">
        <v>154</v>
      </c>
      <c r="F96">
        <v>18</v>
      </c>
      <c r="G96">
        <v>38</v>
      </c>
      <c r="H96" s="2">
        <v>24000</v>
      </c>
      <c r="I96" t="s">
        <v>75</v>
      </c>
      <c r="J96">
        <f>SUMIF('STOCK IN'!$C:$C, A96, 'STOCK IN'!$E:$E)</f>
        <v>262</v>
      </c>
      <c r="K96">
        <f>SUMIF('STOCK OUT'!$C:$C, A96, 'STOCK OUT'!$E:$E)</f>
        <v>156</v>
      </c>
      <c r="L96">
        <f t="shared" si="4"/>
        <v>260</v>
      </c>
      <c r="M96" t="str" cm="1">
        <f t="array" ref="M96">_xlfn.IFS(L96&lt;=0, "OUT OF STOCK", L96&lt;=F96, "REORDER", L96&lt;=G96, "LOW STOCK", TRUE, "IN STOCK")</f>
        <v>IN STOCK</v>
      </c>
      <c r="N96" s="2">
        <f t="shared" si="5"/>
        <v>6240000</v>
      </c>
      <c r="O96">
        <v>258</v>
      </c>
      <c r="P96">
        <f t="shared" si="6"/>
        <v>-2</v>
      </c>
      <c r="Q96" t="str">
        <f>_xlfn.XLOOKUP(A96, 'Item Master'!$B$3:$B$502, 'Item Master'!$G$3:$G$502,,0)</f>
        <v>PT Cipta Sarana Niaga</v>
      </c>
      <c r="R96" t="str">
        <f t="shared" si="7"/>
        <v>MINUS</v>
      </c>
    </row>
    <row r="97" spans="1:18" x14ac:dyDescent="0.25">
      <c r="A97" t="s">
        <v>200</v>
      </c>
      <c r="B97" t="s">
        <v>66</v>
      </c>
      <c r="C97" t="s">
        <v>16</v>
      </c>
      <c r="D97" t="s">
        <v>2</v>
      </c>
      <c r="E97">
        <v>165</v>
      </c>
      <c r="F97">
        <v>50</v>
      </c>
      <c r="G97">
        <v>58</v>
      </c>
      <c r="H97" s="2">
        <v>225000</v>
      </c>
      <c r="I97" t="s">
        <v>201</v>
      </c>
      <c r="J97">
        <f>SUMIF('STOCK IN'!$C:$C, A97, 'STOCK IN'!$E:$E)</f>
        <v>136</v>
      </c>
      <c r="K97">
        <f>SUMIF('STOCK OUT'!$C:$C, A97, 'STOCK OUT'!$E:$E)</f>
        <v>156</v>
      </c>
      <c r="L97">
        <f t="shared" si="4"/>
        <v>145</v>
      </c>
      <c r="M97" t="str" cm="1">
        <f t="array" ref="M97">_xlfn.IFS(L97&lt;=0, "OUT OF STOCK", L97&lt;=F97, "REORDER", L97&lt;=G97, "LOW STOCK", TRUE, "IN STOCK")</f>
        <v>IN STOCK</v>
      </c>
      <c r="N97" s="2">
        <f t="shared" si="5"/>
        <v>32625000</v>
      </c>
      <c r="O97">
        <v>142</v>
      </c>
      <c r="P97">
        <f t="shared" si="6"/>
        <v>-3</v>
      </c>
      <c r="Q97" t="str">
        <f>_xlfn.XLOOKUP(A97, 'Item Master'!$B$3:$B$502, 'Item Master'!$G$3:$G$502,,0)</f>
        <v>PT Sentosa Distribusi</v>
      </c>
      <c r="R97" t="str">
        <f t="shared" si="7"/>
        <v>MINUS</v>
      </c>
    </row>
    <row r="98" spans="1:18" x14ac:dyDescent="0.25">
      <c r="A98" t="s">
        <v>202</v>
      </c>
      <c r="B98" t="s">
        <v>54</v>
      </c>
      <c r="C98" t="s">
        <v>16</v>
      </c>
      <c r="D98" t="s">
        <v>2</v>
      </c>
      <c r="E98">
        <v>247</v>
      </c>
      <c r="F98">
        <v>24</v>
      </c>
      <c r="G98">
        <v>61</v>
      </c>
      <c r="H98" s="2">
        <v>31000</v>
      </c>
      <c r="I98" t="s">
        <v>203</v>
      </c>
      <c r="J98">
        <f>SUMIF('STOCK IN'!$C:$C, A98, 'STOCK IN'!$E:$E)</f>
        <v>158</v>
      </c>
      <c r="K98">
        <f>SUMIF('STOCK OUT'!$C:$C, A98, 'STOCK OUT'!$E:$E)</f>
        <v>161</v>
      </c>
      <c r="L98">
        <f t="shared" si="4"/>
        <v>244</v>
      </c>
      <c r="M98" t="str" cm="1">
        <f t="array" ref="M98">_xlfn.IFS(L98&lt;=0, "OUT OF STOCK", L98&lt;=F98, "REORDER", L98&lt;=G98, "LOW STOCK", TRUE, "IN STOCK")</f>
        <v>IN STOCK</v>
      </c>
      <c r="N98" s="2">
        <f t="shared" si="5"/>
        <v>7564000</v>
      </c>
      <c r="O98">
        <v>244</v>
      </c>
      <c r="P98">
        <f t="shared" si="6"/>
        <v>0</v>
      </c>
      <c r="Q98" t="str">
        <f>_xlfn.XLOOKUP(A98, 'Item Master'!$B$3:$B$502, 'Item Master'!$G$3:$G$502,,0)</f>
        <v>PT Global Office Supply</v>
      </c>
      <c r="R98" t="str">
        <f t="shared" si="7"/>
        <v>CONFORM</v>
      </c>
    </row>
    <row r="99" spans="1:18" x14ac:dyDescent="0.25">
      <c r="A99" t="s">
        <v>204</v>
      </c>
      <c r="B99" t="s">
        <v>15</v>
      </c>
      <c r="C99" t="s">
        <v>16</v>
      </c>
      <c r="D99" t="s">
        <v>2</v>
      </c>
      <c r="E99">
        <v>186</v>
      </c>
      <c r="F99">
        <v>45</v>
      </c>
      <c r="G99">
        <v>57</v>
      </c>
      <c r="H99" s="2">
        <v>236000</v>
      </c>
      <c r="I99" t="s">
        <v>52</v>
      </c>
      <c r="J99">
        <f>SUMIF('STOCK IN'!$C:$C, A99, 'STOCK IN'!$E:$E)</f>
        <v>143</v>
      </c>
      <c r="K99">
        <f>SUMIF('STOCK OUT'!$C:$C, A99, 'STOCK OUT'!$E:$E)</f>
        <v>39</v>
      </c>
      <c r="L99">
        <f t="shared" si="4"/>
        <v>290</v>
      </c>
      <c r="M99" t="str" cm="1">
        <f t="array" ref="M99">_xlfn.IFS(L99&lt;=0, "OUT OF STOCK", L99&lt;=F99, "REORDER", L99&lt;=G99, "LOW STOCK", TRUE, "IN STOCK")</f>
        <v>IN STOCK</v>
      </c>
      <c r="N99" s="2">
        <f t="shared" si="5"/>
        <v>68440000</v>
      </c>
      <c r="O99">
        <v>287</v>
      </c>
      <c r="P99">
        <f t="shared" si="6"/>
        <v>-3</v>
      </c>
      <c r="Q99" t="str">
        <f>_xlfn.XLOOKUP(A99, 'Item Master'!$B$3:$B$502, 'Item Master'!$G$3:$G$502,,0)</f>
        <v>CV Mitra Perkasa</v>
      </c>
      <c r="R99" t="str">
        <f t="shared" si="7"/>
        <v>MINUS</v>
      </c>
    </row>
    <row r="100" spans="1:18" x14ac:dyDescent="0.25">
      <c r="A100" t="s">
        <v>205</v>
      </c>
      <c r="B100" t="s">
        <v>54</v>
      </c>
      <c r="C100" t="s">
        <v>16</v>
      </c>
      <c r="D100" t="s">
        <v>2</v>
      </c>
      <c r="E100">
        <v>213</v>
      </c>
      <c r="F100">
        <v>41</v>
      </c>
      <c r="G100">
        <v>71</v>
      </c>
      <c r="H100" s="2">
        <v>55000</v>
      </c>
      <c r="I100" t="s">
        <v>206</v>
      </c>
      <c r="J100">
        <f>SUMIF('STOCK IN'!$C:$C, A100, 'STOCK IN'!$E:$E)</f>
        <v>56</v>
      </c>
      <c r="K100">
        <f>SUMIF('STOCK OUT'!$C:$C, A100, 'STOCK OUT'!$E:$E)</f>
        <v>171</v>
      </c>
      <c r="L100">
        <f t="shared" si="4"/>
        <v>98</v>
      </c>
      <c r="M100" t="str" cm="1">
        <f t="array" ref="M100">_xlfn.IFS(L100&lt;=0, "OUT OF STOCK", L100&lt;=F100, "REORDER", L100&lt;=G100, "LOW STOCK", TRUE, "IN STOCK")</f>
        <v>IN STOCK</v>
      </c>
      <c r="N100" s="2">
        <f t="shared" si="5"/>
        <v>5390000</v>
      </c>
      <c r="O100">
        <v>96</v>
      </c>
      <c r="P100">
        <f t="shared" si="6"/>
        <v>-2</v>
      </c>
      <c r="Q100" t="str">
        <f>_xlfn.XLOOKUP(A100, 'Item Master'!$B$3:$B$502, 'Item Master'!$G$3:$G$502,,0)</f>
        <v>PT Sumber Teknologi Nusantara</v>
      </c>
      <c r="R100" t="str">
        <f t="shared" si="7"/>
        <v>MINUS</v>
      </c>
    </row>
    <row r="101" spans="1:18" x14ac:dyDescent="0.25">
      <c r="A101" t="s">
        <v>207</v>
      </c>
      <c r="B101" t="s">
        <v>29</v>
      </c>
      <c r="C101" t="s">
        <v>16</v>
      </c>
      <c r="D101" t="s">
        <v>2</v>
      </c>
      <c r="E101">
        <v>27</v>
      </c>
      <c r="F101">
        <v>37</v>
      </c>
      <c r="G101">
        <v>62</v>
      </c>
      <c r="H101" s="2">
        <v>269000</v>
      </c>
      <c r="I101" t="s">
        <v>208</v>
      </c>
      <c r="J101">
        <f>SUMIF('STOCK IN'!$C:$C, A101, 'STOCK IN'!$E:$E)</f>
        <v>208</v>
      </c>
      <c r="K101">
        <f>SUMIF('STOCK OUT'!$C:$C, A101, 'STOCK OUT'!$E:$E)</f>
        <v>164</v>
      </c>
      <c r="L101">
        <f t="shared" si="4"/>
        <v>71</v>
      </c>
      <c r="M101" t="str" cm="1">
        <f t="array" ref="M101">_xlfn.IFS(L101&lt;=0, "OUT OF STOCK", L101&lt;=F101, "REORDER", L101&lt;=G101, "LOW STOCK", TRUE, "IN STOCK")</f>
        <v>IN STOCK</v>
      </c>
      <c r="N101" s="2">
        <f t="shared" si="5"/>
        <v>19099000</v>
      </c>
      <c r="O101">
        <v>71</v>
      </c>
      <c r="P101">
        <f t="shared" si="6"/>
        <v>0</v>
      </c>
      <c r="Q101" t="str">
        <f>_xlfn.XLOOKUP(A101, 'Item Master'!$B$3:$B$502, 'Item Master'!$G$3:$G$502,,0)</f>
        <v>CV Berkah Jaya</v>
      </c>
      <c r="R101" t="str">
        <f t="shared" si="7"/>
        <v>CONFORM</v>
      </c>
    </row>
    <row r="102" spans="1:18" x14ac:dyDescent="0.25">
      <c r="A102" t="s">
        <v>209</v>
      </c>
      <c r="B102" t="s">
        <v>210</v>
      </c>
      <c r="C102" t="s">
        <v>211</v>
      </c>
      <c r="D102" t="s">
        <v>2</v>
      </c>
      <c r="E102">
        <v>120</v>
      </c>
      <c r="F102">
        <v>28</v>
      </c>
      <c r="G102">
        <v>53</v>
      </c>
      <c r="H102" s="2">
        <v>4229000</v>
      </c>
      <c r="I102" t="s">
        <v>183</v>
      </c>
      <c r="J102">
        <f>SUMIF('STOCK IN'!$C:$C, A102, 'STOCK IN'!$E:$E)</f>
        <v>83</v>
      </c>
      <c r="K102">
        <f>SUMIF('STOCK OUT'!$C:$C, A102, 'STOCK OUT'!$E:$E)</f>
        <v>81</v>
      </c>
      <c r="L102">
        <f t="shared" si="4"/>
        <v>122</v>
      </c>
      <c r="M102" t="str" cm="1">
        <f t="array" ref="M102">_xlfn.IFS(L102&lt;=0, "OUT OF STOCK", L102&lt;=F102, "REORDER", L102&lt;=G102, "LOW STOCK", TRUE, "IN STOCK")</f>
        <v>IN STOCK</v>
      </c>
      <c r="N102" s="2">
        <f t="shared" si="5"/>
        <v>515938000</v>
      </c>
      <c r="O102">
        <v>124</v>
      </c>
      <c r="P102">
        <f t="shared" si="6"/>
        <v>2</v>
      </c>
      <c r="Q102" t="str">
        <f>_xlfn.XLOOKUP(A102, 'Item Master'!$B$3:$B$502, 'Item Master'!$G$3:$G$502,,0)</f>
        <v>CV Karya Mandiri</v>
      </c>
      <c r="R102" t="str">
        <f t="shared" si="7"/>
        <v>SURPLUS</v>
      </c>
    </row>
    <row r="103" spans="1:18" x14ac:dyDescent="0.25">
      <c r="A103" t="s">
        <v>212</v>
      </c>
      <c r="B103" t="s">
        <v>213</v>
      </c>
      <c r="C103" t="s">
        <v>211</v>
      </c>
      <c r="D103" t="s">
        <v>2</v>
      </c>
      <c r="E103">
        <v>197</v>
      </c>
      <c r="F103">
        <v>38</v>
      </c>
      <c r="G103">
        <v>63</v>
      </c>
      <c r="H103" s="2">
        <v>2642000</v>
      </c>
      <c r="I103" t="s">
        <v>129</v>
      </c>
      <c r="J103">
        <f>SUMIF('STOCK IN'!$C:$C, A103, 'STOCK IN'!$E:$E)</f>
        <v>144</v>
      </c>
      <c r="K103">
        <f>SUMIF('STOCK OUT'!$C:$C, A103, 'STOCK OUT'!$E:$E)</f>
        <v>155</v>
      </c>
      <c r="L103">
        <f t="shared" si="4"/>
        <v>186</v>
      </c>
      <c r="M103" t="str" cm="1">
        <f t="array" ref="M103">_xlfn.IFS(L103&lt;=0, "OUT OF STOCK", L103&lt;=F103, "REORDER", L103&lt;=G103, "LOW STOCK", TRUE, "IN STOCK")</f>
        <v>IN STOCK</v>
      </c>
      <c r="N103" s="2">
        <f t="shared" si="5"/>
        <v>491412000</v>
      </c>
      <c r="O103">
        <v>187</v>
      </c>
      <c r="P103">
        <f t="shared" si="6"/>
        <v>1</v>
      </c>
      <c r="Q103" t="str">
        <f>_xlfn.XLOOKUP(A103, 'Item Master'!$B$3:$B$502, 'Item Master'!$G$3:$G$502,,0)</f>
        <v>PT Cipta Sarana Niaga</v>
      </c>
      <c r="R103" t="str">
        <f t="shared" si="7"/>
        <v>SURPLUS</v>
      </c>
    </row>
    <row r="104" spans="1:18" x14ac:dyDescent="0.25">
      <c r="A104" t="s">
        <v>214</v>
      </c>
      <c r="B104" t="s">
        <v>210</v>
      </c>
      <c r="C104" t="s">
        <v>211</v>
      </c>
      <c r="D104" t="s">
        <v>2</v>
      </c>
      <c r="E104">
        <v>121</v>
      </c>
      <c r="F104">
        <v>42</v>
      </c>
      <c r="G104">
        <v>55</v>
      </c>
      <c r="H104" s="2">
        <v>10116000</v>
      </c>
      <c r="I104" t="s">
        <v>100</v>
      </c>
      <c r="J104">
        <f>SUMIF('STOCK IN'!$C:$C, A104, 'STOCK IN'!$E:$E)</f>
        <v>128</v>
      </c>
      <c r="K104">
        <f>SUMIF('STOCK OUT'!$C:$C, A104, 'STOCK OUT'!$E:$E)</f>
        <v>106</v>
      </c>
      <c r="L104">
        <f t="shared" si="4"/>
        <v>143</v>
      </c>
      <c r="M104" t="str" cm="1">
        <f t="array" ref="M104">_xlfn.IFS(L104&lt;=0, "OUT OF STOCK", L104&lt;=F104, "REORDER", L104&lt;=G104, "LOW STOCK", TRUE, "IN STOCK")</f>
        <v>IN STOCK</v>
      </c>
      <c r="N104" s="2">
        <f t="shared" si="5"/>
        <v>1446588000</v>
      </c>
      <c r="O104">
        <v>143</v>
      </c>
      <c r="P104">
        <f t="shared" si="6"/>
        <v>0</v>
      </c>
      <c r="Q104" t="str">
        <f>_xlfn.XLOOKUP(A104, 'Item Master'!$B$3:$B$502, 'Item Master'!$G$3:$G$502,,0)</f>
        <v>CV Berkah Jaya</v>
      </c>
      <c r="R104" t="str">
        <f t="shared" si="7"/>
        <v>CONFORM</v>
      </c>
    </row>
    <row r="105" spans="1:18" x14ac:dyDescent="0.25">
      <c r="A105" t="s">
        <v>215</v>
      </c>
      <c r="B105" t="s">
        <v>216</v>
      </c>
      <c r="C105" t="s">
        <v>211</v>
      </c>
      <c r="D105" t="s">
        <v>2</v>
      </c>
      <c r="E105">
        <v>72</v>
      </c>
      <c r="F105">
        <v>34</v>
      </c>
      <c r="G105">
        <v>57</v>
      </c>
      <c r="H105" s="2">
        <v>761000</v>
      </c>
      <c r="I105" t="s">
        <v>98</v>
      </c>
      <c r="J105">
        <f>SUMIF('STOCK IN'!$C:$C, A105, 'STOCK IN'!$E:$E)</f>
        <v>0</v>
      </c>
      <c r="K105">
        <f>SUMIF('STOCK OUT'!$C:$C, A105, 'STOCK OUT'!$E:$E)</f>
        <v>29</v>
      </c>
      <c r="L105">
        <f t="shared" si="4"/>
        <v>43</v>
      </c>
      <c r="M105" t="str" cm="1">
        <f t="array" ref="M105">_xlfn.IFS(L105&lt;=0, "OUT OF STOCK", L105&lt;=F105, "REORDER", L105&lt;=G105, "LOW STOCK", TRUE, "IN STOCK")</f>
        <v>LOW STOCK</v>
      </c>
      <c r="N105" s="2">
        <f t="shared" si="5"/>
        <v>32723000</v>
      </c>
      <c r="O105">
        <v>42</v>
      </c>
      <c r="P105">
        <f t="shared" si="6"/>
        <v>-1</v>
      </c>
      <c r="Q105" t="str">
        <f>_xlfn.XLOOKUP(A105, 'Item Master'!$B$3:$B$502, 'Item Master'!$G$3:$G$502,,0)</f>
        <v>PT Solusi Komputer</v>
      </c>
      <c r="R105" t="str">
        <f t="shared" si="7"/>
        <v>MINUS</v>
      </c>
    </row>
    <row r="106" spans="1:18" x14ac:dyDescent="0.25">
      <c r="A106" t="s">
        <v>217</v>
      </c>
      <c r="B106" t="s">
        <v>218</v>
      </c>
      <c r="C106" t="s">
        <v>211</v>
      </c>
      <c r="D106" t="s">
        <v>2</v>
      </c>
      <c r="E106">
        <v>136</v>
      </c>
      <c r="F106">
        <v>25</v>
      </c>
      <c r="G106">
        <v>35</v>
      </c>
      <c r="H106" s="2">
        <v>908000</v>
      </c>
      <c r="I106" t="s">
        <v>219</v>
      </c>
      <c r="J106">
        <f>SUMIF('STOCK IN'!$C:$C, A106, 'STOCK IN'!$E:$E)</f>
        <v>98</v>
      </c>
      <c r="K106">
        <f>SUMIF('STOCK OUT'!$C:$C, A106, 'STOCK OUT'!$E:$E)</f>
        <v>128</v>
      </c>
      <c r="L106">
        <f t="shared" si="4"/>
        <v>106</v>
      </c>
      <c r="M106" t="str" cm="1">
        <f t="array" ref="M106">_xlfn.IFS(L106&lt;=0, "OUT OF STOCK", L106&lt;=F106, "REORDER", L106&lt;=G106, "LOW STOCK", TRUE, "IN STOCK")</f>
        <v>IN STOCK</v>
      </c>
      <c r="N106" s="2">
        <f t="shared" si="5"/>
        <v>96248000</v>
      </c>
      <c r="O106">
        <v>108</v>
      </c>
      <c r="P106">
        <f t="shared" si="6"/>
        <v>2</v>
      </c>
      <c r="Q106" t="str">
        <f>_xlfn.XLOOKUP(A106, 'Item Master'!$B$3:$B$502, 'Item Master'!$G$3:$G$502,,0)</f>
        <v>CV Karya Mandiri</v>
      </c>
      <c r="R106" t="str">
        <f t="shared" si="7"/>
        <v>SURPLUS</v>
      </c>
    </row>
    <row r="107" spans="1:18" x14ac:dyDescent="0.25">
      <c r="A107" t="s">
        <v>220</v>
      </c>
      <c r="B107" t="s">
        <v>216</v>
      </c>
      <c r="C107" t="s">
        <v>211</v>
      </c>
      <c r="D107" t="s">
        <v>2</v>
      </c>
      <c r="E107">
        <v>81</v>
      </c>
      <c r="F107">
        <v>43</v>
      </c>
      <c r="G107">
        <v>70</v>
      </c>
      <c r="H107" s="2">
        <v>648000</v>
      </c>
      <c r="I107" t="s">
        <v>221</v>
      </c>
      <c r="J107">
        <f>SUMIF('STOCK IN'!$C:$C, A107, 'STOCK IN'!$E:$E)</f>
        <v>50</v>
      </c>
      <c r="K107">
        <f>SUMIF('STOCK OUT'!$C:$C, A107, 'STOCK OUT'!$E:$E)</f>
        <v>61</v>
      </c>
      <c r="L107">
        <f t="shared" si="4"/>
        <v>70</v>
      </c>
      <c r="M107" t="str" cm="1">
        <f t="array" ref="M107">_xlfn.IFS(L107&lt;=0, "OUT OF STOCK", L107&lt;=F107, "REORDER", L107&lt;=G107, "LOW STOCK", TRUE, "IN STOCK")</f>
        <v>LOW STOCK</v>
      </c>
      <c r="N107" s="2">
        <f t="shared" si="5"/>
        <v>45360000</v>
      </c>
      <c r="O107">
        <v>73</v>
      </c>
      <c r="P107">
        <f t="shared" si="6"/>
        <v>3</v>
      </c>
      <c r="Q107" t="str">
        <f>_xlfn.XLOOKUP(A107, 'Item Master'!$B$3:$B$502, 'Item Master'!$G$3:$G$502,,0)</f>
        <v>PT Cipta Sarana Niaga</v>
      </c>
      <c r="R107" t="str">
        <f t="shared" si="7"/>
        <v>SURPLUS</v>
      </c>
    </row>
    <row r="108" spans="1:18" x14ac:dyDescent="0.25">
      <c r="A108" t="s">
        <v>222</v>
      </c>
      <c r="B108" t="s">
        <v>223</v>
      </c>
      <c r="C108" t="s">
        <v>211</v>
      </c>
      <c r="D108" t="s">
        <v>2</v>
      </c>
      <c r="E108">
        <v>58</v>
      </c>
      <c r="F108">
        <v>10</v>
      </c>
      <c r="G108">
        <v>22</v>
      </c>
      <c r="H108" s="2">
        <v>1150000</v>
      </c>
      <c r="I108" t="s">
        <v>189</v>
      </c>
      <c r="J108">
        <f>SUMIF('STOCK IN'!$C:$C, A108, 'STOCK IN'!$E:$E)</f>
        <v>109</v>
      </c>
      <c r="K108">
        <f>SUMIF('STOCK OUT'!$C:$C, A108, 'STOCK OUT'!$E:$E)</f>
        <v>112</v>
      </c>
      <c r="L108">
        <f t="shared" si="4"/>
        <v>55</v>
      </c>
      <c r="M108" t="str" cm="1">
        <f t="array" ref="M108">_xlfn.IFS(L108&lt;=0, "OUT OF STOCK", L108&lt;=F108, "REORDER", L108&lt;=G108, "LOW STOCK", TRUE, "IN STOCK")</f>
        <v>IN STOCK</v>
      </c>
      <c r="N108" s="2">
        <f t="shared" si="5"/>
        <v>63250000</v>
      </c>
      <c r="O108">
        <v>56</v>
      </c>
      <c r="P108">
        <f t="shared" si="6"/>
        <v>1</v>
      </c>
      <c r="Q108" t="str">
        <f>_xlfn.XLOOKUP(A108, 'Item Master'!$B$3:$B$502, 'Item Master'!$G$3:$G$502,,0)</f>
        <v>PT Global Office Supply</v>
      </c>
      <c r="R108" t="str">
        <f t="shared" si="7"/>
        <v>SURPLUS</v>
      </c>
    </row>
    <row r="109" spans="1:18" x14ac:dyDescent="0.25">
      <c r="A109" t="s">
        <v>224</v>
      </c>
      <c r="B109" t="s">
        <v>225</v>
      </c>
      <c r="C109" t="s">
        <v>211</v>
      </c>
      <c r="D109" t="s">
        <v>2</v>
      </c>
      <c r="E109">
        <v>131</v>
      </c>
      <c r="F109">
        <v>46</v>
      </c>
      <c r="G109">
        <v>73</v>
      </c>
      <c r="H109" s="2">
        <v>803000</v>
      </c>
      <c r="I109" t="s">
        <v>106</v>
      </c>
      <c r="J109">
        <f>SUMIF('STOCK IN'!$C:$C, A109, 'STOCK IN'!$E:$E)</f>
        <v>142</v>
      </c>
      <c r="K109">
        <f>SUMIF('STOCK OUT'!$C:$C, A109, 'STOCK OUT'!$E:$E)</f>
        <v>191</v>
      </c>
      <c r="L109">
        <f t="shared" si="4"/>
        <v>82</v>
      </c>
      <c r="M109" t="str" cm="1">
        <f t="array" ref="M109">_xlfn.IFS(L109&lt;=0, "OUT OF STOCK", L109&lt;=F109, "REORDER", L109&lt;=G109, "LOW STOCK", TRUE, "IN STOCK")</f>
        <v>IN STOCK</v>
      </c>
      <c r="N109" s="2">
        <f t="shared" si="5"/>
        <v>65846000</v>
      </c>
      <c r="O109">
        <v>80</v>
      </c>
      <c r="P109">
        <f t="shared" si="6"/>
        <v>-2</v>
      </c>
      <c r="Q109" t="str">
        <f>_xlfn.XLOOKUP(A109, 'Item Master'!$B$3:$B$502, 'Item Master'!$G$3:$G$502,,0)</f>
        <v>CV Karya Mandiri</v>
      </c>
      <c r="R109" t="str">
        <f t="shared" si="7"/>
        <v>MINUS</v>
      </c>
    </row>
    <row r="110" spans="1:18" x14ac:dyDescent="0.25">
      <c r="A110" t="s">
        <v>226</v>
      </c>
      <c r="B110" t="s">
        <v>227</v>
      </c>
      <c r="C110" t="s">
        <v>211</v>
      </c>
      <c r="D110" t="s">
        <v>2</v>
      </c>
      <c r="E110">
        <v>66</v>
      </c>
      <c r="F110">
        <v>30</v>
      </c>
      <c r="G110">
        <v>57</v>
      </c>
      <c r="H110" s="2">
        <v>851000</v>
      </c>
      <c r="I110" t="s">
        <v>201</v>
      </c>
      <c r="J110">
        <f>SUMIF('STOCK IN'!$C:$C, A110, 'STOCK IN'!$E:$E)</f>
        <v>362</v>
      </c>
      <c r="K110">
        <f>SUMIF('STOCK OUT'!$C:$C, A110, 'STOCK OUT'!$E:$E)</f>
        <v>71</v>
      </c>
      <c r="L110">
        <f t="shared" si="4"/>
        <v>357</v>
      </c>
      <c r="M110" t="str" cm="1">
        <f t="array" ref="M110">_xlfn.IFS(L110&lt;=0, "OUT OF STOCK", L110&lt;=F110, "REORDER", L110&lt;=G110, "LOW STOCK", TRUE, "IN STOCK")</f>
        <v>IN STOCK</v>
      </c>
      <c r="N110" s="2">
        <f t="shared" si="5"/>
        <v>303807000</v>
      </c>
      <c r="O110">
        <v>357</v>
      </c>
      <c r="P110">
        <f t="shared" si="6"/>
        <v>0</v>
      </c>
      <c r="Q110" t="str">
        <f>_xlfn.XLOOKUP(A110, 'Item Master'!$B$3:$B$502, 'Item Master'!$G$3:$G$502,,0)</f>
        <v>CV Prima Logistik</v>
      </c>
      <c r="R110" t="str">
        <f t="shared" si="7"/>
        <v>CONFORM</v>
      </c>
    </row>
    <row r="111" spans="1:18" x14ac:dyDescent="0.25">
      <c r="A111" t="s">
        <v>228</v>
      </c>
      <c r="B111" t="s">
        <v>218</v>
      </c>
      <c r="C111" t="s">
        <v>211</v>
      </c>
      <c r="D111" t="s">
        <v>2</v>
      </c>
      <c r="E111">
        <v>151</v>
      </c>
      <c r="F111">
        <v>38</v>
      </c>
      <c r="G111">
        <v>54</v>
      </c>
      <c r="H111" s="2">
        <v>1819000</v>
      </c>
      <c r="I111" t="s">
        <v>67</v>
      </c>
      <c r="J111">
        <f>SUMIF('STOCK IN'!$C:$C, A111, 'STOCK IN'!$E:$E)</f>
        <v>157</v>
      </c>
      <c r="K111">
        <f>SUMIF('STOCK OUT'!$C:$C, A111, 'STOCK OUT'!$E:$E)</f>
        <v>161</v>
      </c>
      <c r="L111">
        <f t="shared" si="4"/>
        <v>147</v>
      </c>
      <c r="M111" t="str" cm="1">
        <f t="array" ref="M111">_xlfn.IFS(L111&lt;=0, "OUT OF STOCK", L111&lt;=F111, "REORDER", L111&lt;=G111, "LOW STOCK", TRUE, "IN STOCK")</f>
        <v>IN STOCK</v>
      </c>
      <c r="N111" s="2">
        <f t="shared" si="5"/>
        <v>267393000</v>
      </c>
      <c r="O111">
        <v>149</v>
      </c>
      <c r="P111">
        <f t="shared" si="6"/>
        <v>2</v>
      </c>
      <c r="Q111" t="str">
        <f>_xlfn.XLOOKUP(A111, 'Item Master'!$B$3:$B$502, 'Item Master'!$G$3:$G$502,,0)</f>
        <v>PT Global Office Supply</v>
      </c>
      <c r="R111" t="str">
        <f t="shared" si="7"/>
        <v>SURPLUS</v>
      </c>
    </row>
    <row r="112" spans="1:18" x14ac:dyDescent="0.25">
      <c r="A112" t="s">
        <v>229</v>
      </c>
      <c r="B112" t="s">
        <v>218</v>
      </c>
      <c r="C112" t="s">
        <v>211</v>
      </c>
      <c r="D112" t="s">
        <v>2</v>
      </c>
      <c r="E112">
        <v>189</v>
      </c>
      <c r="F112">
        <v>34</v>
      </c>
      <c r="G112">
        <v>47</v>
      </c>
      <c r="H112" s="2">
        <v>1570000</v>
      </c>
      <c r="I112" t="s">
        <v>230</v>
      </c>
      <c r="J112">
        <f>SUMIF('STOCK IN'!$C:$C, A112, 'STOCK IN'!$E:$E)</f>
        <v>188</v>
      </c>
      <c r="K112">
        <f>SUMIF('STOCK OUT'!$C:$C, A112, 'STOCK OUT'!$E:$E)</f>
        <v>105</v>
      </c>
      <c r="L112">
        <f t="shared" si="4"/>
        <v>272</v>
      </c>
      <c r="M112" t="str" cm="1">
        <f t="array" ref="M112">_xlfn.IFS(L112&lt;=0, "OUT OF STOCK", L112&lt;=F112, "REORDER", L112&lt;=G112, "LOW STOCK", TRUE, "IN STOCK")</f>
        <v>IN STOCK</v>
      </c>
      <c r="N112" s="2">
        <f t="shared" si="5"/>
        <v>427040000</v>
      </c>
      <c r="O112">
        <v>272</v>
      </c>
      <c r="P112">
        <f t="shared" si="6"/>
        <v>0</v>
      </c>
      <c r="Q112" t="str">
        <f>_xlfn.XLOOKUP(A112, 'Item Master'!$B$3:$B$502, 'Item Master'!$G$3:$G$502,,0)</f>
        <v>PT Cipta Sarana Niaga</v>
      </c>
      <c r="R112" t="str">
        <f t="shared" si="7"/>
        <v>CONFORM</v>
      </c>
    </row>
    <row r="113" spans="1:18" x14ac:dyDescent="0.25">
      <c r="A113" t="s">
        <v>231</v>
      </c>
      <c r="B113" t="s">
        <v>227</v>
      </c>
      <c r="C113" t="s">
        <v>211</v>
      </c>
      <c r="D113" t="s">
        <v>2</v>
      </c>
      <c r="E113">
        <v>90</v>
      </c>
      <c r="F113">
        <v>12</v>
      </c>
      <c r="G113">
        <v>40</v>
      </c>
      <c r="H113" s="2">
        <v>747000</v>
      </c>
      <c r="I113" t="s">
        <v>30</v>
      </c>
      <c r="J113">
        <f>SUMIF('STOCK IN'!$C:$C, A113, 'STOCK IN'!$E:$E)</f>
        <v>133</v>
      </c>
      <c r="K113">
        <f>SUMIF('STOCK OUT'!$C:$C, A113, 'STOCK OUT'!$E:$E)</f>
        <v>83</v>
      </c>
      <c r="L113">
        <f t="shared" si="4"/>
        <v>140</v>
      </c>
      <c r="M113" t="str" cm="1">
        <f t="array" ref="M113">_xlfn.IFS(L113&lt;=0, "OUT OF STOCK", L113&lt;=F113, "REORDER", L113&lt;=G113, "LOW STOCK", TRUE, "IN STOCK")</f>
        <v>IN STOCK</v>
      </c>
      <c r="N113" s="2">
        <f t="shared" si="5"/>
        <v>104580000</v>
      </c>
      <c r="O113">
        <v>143</v>
      </c>
      <c r="P113">
        <f t="shared" si="6"/>
        <v>3</v>
      </c>
      <c r="Q113" t="str">
        <f>_xlfn.XLOOKUP(A113, 'Item Master'!$B$3:$B$502, 'Item Master'!$G$3:$G$502,,0)</f>
        <v>PT Indo Elektrik</v>
      </c>
      <c r="R113" t="str">
        <f t="shared" si="7"/>
        <v>SURPLUS</v>
      </c>
    </row>
    <row r="114" spans="1:18" x14ac:dyDescent="0.25">
      <c r="A114" t="s">
        <v>232</v>
      </c>
      <c r="B114" t="s">
        <v>225</v>
      </c>
      <c r="C114" t="s">
        <v>211</v>
      </c>
      <c r="D114" t="s">
        <v>2</v>
      </c>
      <c r="E114">
        <v>199</v>
      </c>
      <c r="F114">
        <v>35</v>
      </c>
      <c r="G114">
        <v>49</v>
      </c>
      <c r="H114" s="2">
        <v>560000</v>
      </c>
      <c r="I114" t="s">
        <v>30</v>
      </c>
      <c r="J114">
        <f>SUMIF('STOCK IN'!$C:$C, A114, 'STOCK IN'!$E:$E)</f>
        <v>145</v>
      </c>
      <c r="K114">
        <f>SUMIF('STOCK OUT'!$C:$C, A114, 'STOCK OUT'!$E:$E)</f>
        <v>141</v>
      </c>
      <c r="L114">
        <f t="shared" si="4"/>
        <v>203</v>
      </c>
      <c r="M114" t="str" cm="1">
        <f t="array" ref="M114">_xlfn.IFS(L114&lt;=0, "OUT OF STOCK", L114&lt;=F114, "REORDER", L114&lt;=G114, "LOW STOCK", TRUE, "IN STOCK")</f>
        <v>IN STOCK</v>
      </c>
      <c r="N114" s="2">
        <f t="shared" si="5"/>
        <v>113680000</v>
      </c>
      <c r="O114">
        <v>203</v>
      </c>
      <c r="P114">
        <f t="shared" si="6"/>
        <v>0</v>
      </c>
      <c r="Q114" t="str">
        <f>_xlfn.XLOOKUP(A114, 'Item Master'!$B$3:$B$502, 'Item Master'!$G$3:$G$502,,0)</f>
        <v>PT Solusi Komputer</v>
      </c>
      <c r="R114" t="str">
        <f t="shared" si="7"/>
        <v>CONFORM</v>
      </c>
    </row>
    <row r="115" spans="1:18" x14ac:dyDescent="0.25">
      <c r="A115" t="s">
        <v>233</v>
      </c>
      <c r="B115" t="s">
        <v>234</v>
      </c>
      <c r="C115" t="s">
        <v>211</v>
      </c>
      <c r="D115" t="s">
        <v>2</v>
      </c>
      <c r="E115">
        <v>35</v>
      </c>
      <c r="F115">
        <v>17</v>
      </c>
      <c r="G115">
        <v>31</v>
      </c>
      <c r="H115" s="2">
        <v>929000</v>
      </c>
      <c r="I115" t="s">
        <v>87</v>
      </c>
      <c r="J115">
        <f>SUMIF('STOCK IN'!$C:$C, A115, 'STOCK IN'!$E:$E)</f>
        <v>84</v>
      </c>
      <c r="K115">
        <f>SUMIF('STOCK OUT'!$C:$C, A115, 'STOCK OUT'!$E:$E)</f>
        <v>95</v>
      </c>
      <c r="L115">
        <f t="shared" si="4"/>
        <v>24</v>
      </c>
      <c r="M115" t="str" cm="1">
        <f t="array" ref="M115">_xlfn.IFS(L115&lt;=0, "OUT OF STOCK", L115&lt;=F115, "REORDER", L115&lt;=G115, "LOW STOCK", TRUE, "IN STOCK")</f>
        <v>LOW STOCK</v>
      </c>
      <c r="N115" s="2">
        <f t="shared" si="5"/>
        <v>22296000</v>
      </c>
      <c r="O115">
        <v>24</v>
      </c>
      <c r="P115">
        <f t="shared" si="6"/>
        <v>0</v>
      </c>
      <c r="Q115" t="str">
        <f>_xlfn.XLOOKUP(A115, 'Item Master'!$B$3:$B$502, 'Item Master'!$G$3:$G$502,,0)</f>
        <v>CV Prima Logistik</v>
      </c>
      <c r="R115" t="str">
        <f t="shared" si="7"/>
        <v>CONFORM</v>
      </c>
    </row>
    <row r="116" spans="1:18" x14ac:dyDescent="0.25">
      <c r="A116" t="s">
        <v>235</v>
      </c>
      <c r="B116" t="s">
        <v>216</v>
      </c>
      <c r="C116" t="s">
        <v>211</v>
      </c>
      <c r="D116" t="s">
        <v>2</v>
      </c>
      <c r="E116">
        <v>191</v>
      </c>
      <c r="F116">
        <v>39</v>
      </c>
      <c r="G116">
        <v>48</v>
      </c>
      <c r="H116" s="2">
        <v>314000</v>
      </c>
      <c r="I116" t="s">
        <v>38</v>
      </c>
      <c r="J116">
        <f>SUMIF('STOCK IN'!$C:$C, A116, 'STOCK IN'!$E:$E)</f>
        <v>99</v>
      </c>
      <c r="K116">
        <f>SUMIF('STOCK OUT'!$C:$C, A116, 'STOCK OUT'!$E:$E)</f>
        <v>205</v>
      </c>
      <c r="L116">
        <f t="shared" si="4"/>
        <v>85</v>
      </c>
      <c r="M116" t="str" cm="1">
        <f t="array" ref="M116">_xlfn.IFS(L116&lt;=0, "OUT OF STOCK", L116&lt;=F116, "REORDER", L116&lt;=G116, "LOW STOCK", TRUE, "IN STOCK")</f>
        <v>IN STOCK</v>
      </c>
      <c r="N116" s="2">
        <f t="shared" si="5"/>
        <v>26690000</v>
      </c>
      <c r="O116">
        <v>83</v>
      </c>
      <c r="P116">
        <f t="shared" si="6"/>
        <v>-2</v>
      </c>
      <c r="Q116" t="str">
        <f>_xlfn.XLOOKUP(A116, 'Item Master'!$B$3:$B$502, 'Item Master'!$G$3:$G$502,,0)</f>
        <v>PT Cipta Sarana Niaga</v>
      </c>
      <c r="R116" t="str">
        <f t="shared" si="7"/>
        <v>MINUS</v>
      </c>
    </row>
    <row r="117" spans="1:18" x14ac:dyDescent="0.25">
      <c r="A117" t="s">
        <v>236</v>
      </c>
      <c r="B117" t="s">
        <v>223</v>
      </c>
      <c r="C117" t="s">
        <v>211</v>
      </c>
      <c r="D117" t="s">
        <v>2</v>
      </c>
      <c r="E117">
        <v>188</v>
      </c>
      <c r="F117">
        <v>13</v>
      </c>
      <c r="G117">
        <v>47</v>
      </c>
      <c r="H117" s="2">
        <v>479000</v>
      </c>
      <c r="I117" t="s">
        <v>34</v>
      </c>
      <c r="J117">
        <f>SUMIF('STOCK IN'!$C:$C, A117, 'STOCK IN'!$E:$E)</f>
        <v>105</v>
      </c>
      <c r="K117">
        <f>SUMIF('STOCK OUT'!$C:$C, A117, 'STOCK OUT'!$E:$E)</f>
        <v>311</v>
      </c>
      <c r="L117">
        <f t="shared" si="4"/>
        <v>-18</v>
      </c>
      <c r="M117" t="str" cm="1">
        <f t="array" ref="M117">_xlfn.IFS(L117&lt;=0, "OUT OF STOCK", L117&lt;=F117, "REORDER", L117&lt;=G117, "LOW STOCK", TRUE, "IN STOCK")</f>
        <v>OUT OF STOCK</v>
      </c>
      <c r="N117" s="2">
        <f t="shared" si="5"/>
        <v>-8622000</v>
      </c>
      <c r="O117">
        <v>0</v>
      </c>
      <c r="P117">
        <f t="shared" si="6"/>
        <v>0</v>
      </c>
      <c r="Q117" t="str">
        <f>_xlfn.XLOOKUP(A117, 'Item Master'!$B$3:$B$502, 'Item Master'!$G$3:$G$502,,0)</f>
        <v>CV Karya Mandiri</v>
      </c>
      <c r="R117" t="str">
        <f t="shared" si="7"/>
        <v>CONFORM</v>
      </c>
    </row>
    <row r="118" spans="1:18" x14ac:dyDescent="0.25">
      <c r="A118" t="s">
        <v>237</v>
      </c>
      <c r="B118" t="s">
        <v>234</v>
      </c>
      <c r="C118" t="s">
        <v>211</v>
      </c>
      <c r="D118" t="s">
        <v>2</v>
      </c>
      <c r="E118">
        <v>130</v>
      </c>
      <c r="F118">
        <v>35</v>
      </c>
      <c r="G118">
        <v>54</v>
      </c>
      <c r="H118" s="2">
        <v>932000</v>
      </c>
      <c r="I118" t="s">
        <v>193</v>
      </c>
      <c r="J118">
        <f>SUMIF('STOCK IN'!$C:$C, A118, 'STOCK IN'!$E:$E)</f>
        <v>0</v>
      </c>
      <c r="K118">
        <f>SUMIF('STOCK OUT'!$C:$C, A118, 'STOCK OUT'!$E:$E)</f>
        <v>138</v>
      </c>
      <c r="L118">
        <f t="shared" si="4"/>
        <v>-8</v>
      </c>
      <c r="M118" t="str" cm="1">
        <f t="array" ref="M118">_xlfn.IFS(L118&lt;=0, "OUT OF STOCK", L118&lt;=F118, "REORDER", L118&lt;=G118, "LOW STOCK", TRUE, "IN STOCK")</f>
        <v>OUT OF STOCK</v>
      </c>
      <c r="N118" s="2">
        <f t="shared" si="5"/>
        <v>-7456000</v>
      </c>
      <c r="O118">
        <v>0</v>
      </c>
      <c r="P118">
        <f t="shared" si="6"/>
        <v>0</v>
      </c>
      <c r="Q118" t="str">
        <f>_xlfn.XLOOKUP(A118, 'Item Master'!$B$3:$B$502, 'Item Master'!$G$3:$G$502,,0)</f>
        <v>CV Berkah Jaya</v>
      </c>
      <c r="R118" t="str">
        <f t="shared" si="7"/>
        <v>CONFORM</v>
      </c>
    </row>
    <row r="119" spans="1:18" x14ac:dyDescent="0.25">
      <c r="A119" t="s">
        <v>238</v>
      </c>
      <c r="B119" t="s">
        <v>216</v>
      </c>
      <c r="C119" t="s">
        <v>211</v>
      </c>
      <c r="D119" t="s">
        <v>2</v>
      </c>
      <c r="E119">
        <v>39</v>
      </c>
      <c r="F119">
        <v>9</v>
      </c>
      <c r="G119">
        <v>26</v>
      </c>
      <c r="H119" s="2">
        <v>789000</v>
      </c>
      <c r="I119" t="s">
        <v>126</v>
      </c>
      <c r="J119">
        <f>SUMIF('STOCK IN'!$C:$C, A119, 'STOCK IN'!$E:$E)</f>
        <v>125</v>
      </c>
      <c r="K119">
        <f>SUMIF('STOCK OUT'!$C:$C, A119, 'STOCK OUT'!$E:$E)</f>
        <v>114</v>
      </c>
      <c r="L119">
        <f t="shared" si="4"/>
        <v>50</v>
      </c>
      <c r="M119" t="str" cm="1">
        <f t="array" ref="M119">_xlfn.IFS(L119&lt;=0, "OUT OF STOCK", L119&lt;=F119, "REORDER", L119&lt;=G119, "LOW STOCK", TRUE, "IN STOCK")</f>
        <v>IN STOCK</v>
      </c>
      <c r="N119" s="2">
        <f t="shared" si="5"/>
        <v>39450000</v>
      </c>
      <c r="O119">
        <v>48</v>
      </c>
      <c r="P119">
        <f t="shared" si="6"/>
        <v>-2</v>
      </c>
      <c r="Q119" t="str">
        <f>_xlfn.XLOOKUP(A119, 'Item Master'!$B$3:$B$502, 'Item Master'!$G$3:$G$502,,0)</f>
        <v>CV Karya Mandiri</v>
      </c>
      <c r="R119" t="str">
        <f t="shared" si="7"/>
        <v>MINUS</v>
      </c>
    </row>
    <row r="120" spans="1:18" x14ac:dyDescent="0.25">
      <c r="A120" t="s">
        <v>239</v>
      </c>
      <c r="B120" t="s">
        <v>240</v>
      </c>
      <c r="C120" t="s">
        <v>211</v>
      </c>
      <c r="D120" t="s">
        <v>2</v>
      </c>
      <c r="E120">
        <v>48</v>
      </c>
      <c r="F120">
        <v>41</v>
      </c>
      <c r="G120">
        <v>55</v>
      </c>
      <c r="H120" s="2">
        <v>427000</v>
      </c>
      <c r="I120" t="s">
        <v>100</v>
      </c>
      <c r="J120">
        <f>SUMIF('STOCK IN'!$C:$C, A120, 'STOCK IN'!$E:$E)</f>
        <v>111</v>
      </c>
      <c r="K120">
        <f>SUMIF('STOCK OUT'!$C:$C, A120, 'STOCK OUT'!$E:$E)</f>
        <v>106</v>
      </c>
      <c r="L120">
        <f t="shared" si="4"/>
        <v>53</v>
      </c>
      <c r="M120" t="str" cm="1">
        <f t="array" ref="M120">_xlfn.IFS(L120&lt;=0, "OUT OF STOCK", L120&lt;=F120, "REORDER", L120&lt;=G120, "LOW STOCK", TRUE, "IN STOCK")</f>
        <v>LOW STOCK</v>
      </c>
      <c r="N120" s="2">
        <f t="shared" si="5"/>
        <v>22631000</v>
      </c>
      <c r="O120">
        <v>55</v>
      </c>
      <c r="P120">
        <f t="shared" si="6"/>
        <v>2</v>
      </c>
      <c r="Q120" t="str">
        <f>_xlfn.XLOOKUP(A120, 'Item Master'!$B$3:$B$502, 'Item Master'!$G$3:$G$502,,0)</f>
        <v>CV Mitra Perkasa</v>
      </c>
      <c r="R120" t="str">
        <f t="shared" si="7"/>
        <v>SURPLUS</v>
      </c>
    </row>
    <row r="121" spans="1:18" x14ac:dyDescent="0.25">
      <c r="A121" t="s">
        <v>241</v>
      </c>
      <c r="B121" t="s">
        <v>223</v>
      </c>
      <c r="C121" t="s">
        <v>211</v>
      </c>
      <c r="D121" t="s">
        <v>2</v>
      </c>
      <c r="E121">
        <v>116</v>
      </c>
      <c r="F121">
        <v>43</v>
      </c>
      <c r="G121">
        <v>67</v>
      </c>
      <c r="H121" s="2">
        <v>962000</v>
      </c>
      <c r="I121" t="s">
        <v>242</v>
      </c>
      <c r="J121">
        <f>SUMIF('STOCK IN'!$C:$C, A121, 'STOCK IN'!$E:$E)</f>
        <v>65</v>
      </c>
      <c r="K121">
        <f>SUMIF('STOCK OUT'!$C:$C, A121, 'STOCK OUT'!$E:$E)</f>
        <v>193</v>
      </c>
      <c r="L121">
        <f t="shared" si="4"/>
        <v>-12</v>
      </c>
      <c r="M121" t="str" cm="1">
        <f t="array" ref="M121">_xlfn.IFS(L121&lt;=0, "OUT OF STOCK", L121&lt;=F121, "REORDER", L121&lt;=G121, "LOW STOCK", TRUE, "IN STOCK")</f>
        <v>OUT OF STOCK</v>
      </c>
      <c r="N121" s="2">
        <f t="shared" si="5"/>
        <v>-11544000</v>
      </c>
      <c r="O121">
        <v>0</v>
      </c>
      <c r="P121">
        <f t="shared" si="6"/>
        <v>0</v>
      </c>
      <c r="Q121" t="str">
        <f>_xlfn.XLOOKUP(A121, 'Item Master'!$B$3:$B$502, 'Item Master'!$G$3:$G$502,,0)</f>
        <v>PT Solusi Komputer</v>
      </c>
      <c r="R121" t="str">
        <f t="shared" si="7"/>
        <v>CONFORM</v>
      </c>
    </row>
    <row r="122" spans="1:18" x14ac:dyDescent="0.25">
      <c r="A122" t="s">
        <v>243</v>
      </c>
      <c r="B122" t="s">
        <v>213</v>
      </c>
      <c r="C122" t="s">
        <v>211</v>
      </c>
      <c r="D122" t="s">
        <v>2</v>
      </c>
      <c r="E122">
        <v>242</v>
      </c>
      <c r="F122">
        <v>33</v>
      </c>
      <c r="G122">
        <v>60</v>
      </c>
      <c r="H122" s="2">
        <v>4890000</v>
      </c>
      <c r="I122" t="s">
        <v>177</v>
      </c>
      <c r="J122">
        <f>SUMIF('STOCK IN'!$C:$C, A122, 'STOCK IN'!$E:$E)</f>
        <v>167</v>
      </c>
      <c r="K122">
        <f>SUMIF('STOCK OUT'!$C:$C, A122, 'STOCK OUT'!$E:$E)</f>
        <v>286</v>
      </c>
      <c r="L122">
        <f t="shared" si="4"/>
        <v>123</v>
      </c>
      <c r="M122" t="str" cm="1">
        <f t="array" ref="M122">_xlfn.IFS(L122&lt;=0, "OUT OF STOCK", L122&lt;=F122, "REORDER", L122&lt;=G122, "LOW STOCK", TRUE, "IN STOCK")</f>
        <v>IN STOCK</v>
      </c>
      <c r="N122" s="2">
        <f t="shared" si="5"/>
        <v>601470000</v>
      </c>
      <c r="O122">
        <v>123</v>
      </c>
      <c r="P122">
        <f t="shared" si="6"/>
        <v>0</v>
      </c>
      <c r="Q122" t="str">
        <f>_xlfn.XLOOKUP(A122, 'Item Master'!$B$3:$B$502, 'Item Master'!$G$3:$G$502,,0)</f>
        <v>PT Solusi Komputer</v>
      </c>
      <c r="R122" t="str">
        <f t="shared" si="7"/>
        <v>CONFORM</v>
      </c>
    </row>
    <row r="123" spans="1:18" x14ac:dyDescent="0.25">
      <c r="A123" t="s">
        <v>244</v>
      </c>
      <c r="B123" t="s">
        <v>234</v>
      </c>
      <c r="C123" t="s">
        <v>211</v>
      </c>
      <c r="D123" t="s">
        <v>2</v>
      </c>
      <c r="E123">
        <v>25</v>
      </c>
      <c r="F123">
        <v>44</v>
      </c>
      <c r="G123">
        <v>72</v>
      </c>
      <c r="H123" s="2">
        <v>1621000</v>
      </c>
      <c r="I123" t="s">
        <v>30</v>
      </c>
      <c r="J123">
        <f>SUMIF('STOCK IN'!$C:$C, A123, 'STOCK IN'!$E:$E)</f>
        <v>141</v>
      </c>
      <c r="K123">
        <f>SUMIF('STOCK OUT'!$C:$C, A123, 'STOCK OUT'!$E:$E)</f>
        <v>64</v>
      </c>
      <c r="L123">
        <f t="shared" si="4"/>
        <v>102</v>
      </c>
      <c r="M123" t="str" cm="1">
        <f t="array" ref="M123">_xlfn.IFS(L123&lt;=0, "OUT OF STOCK", L123&lt;=F123, "REORDER", L123&lt;=G123, "LOW STOCK", TRUE, "IN STOCK")</f>
        <v>IN STOCK</v>
      </c>
      <c r="N123" s="2">
        <f t="shared" si="5"/>
        <v>165342000</v>
      </c>
      <c r="O123">
        <v>100</v>
      </c>
      <c r="P123">
        <f t="shared" si="6"/>
        <v>-2</v>
      </c>
      <c r="Q123" t="str">
        <f>_xlfn.XLOOKUP(A123, 'Item Master'!$B$3:$B$502, 'Item Master'!$G$3:$G$502,,0)</f>
        <v>CV Mitra Perkasa</v>
      </c>
      <c r="R123" t="str">
        <f t="shared" si="7"/>
        <v>MINUS</v>
      </c>
    </row>
    <row r="124" spans="1:18" x14ac:dyDescent="0.25">
      <c r="A124" t="s">
        <v>245</v>
      </c>
      <c r="B124" t="s">
        <v>225</v>
      </c>
      <c r="C124" t="s">
        <v>211</v>
      </c>
      <c r="D124" t="s">
        <v>2</v>
      </c>
      <c r="E124">
        <v>179</v>
      </c>
      <c r="F124">
        <v>10</v>
      </c>
      <c r="G124">
        <v>44</v>
      </c>
      <c r="H124" s="2">
        <v>585000</v>
      </c>
      <c r="I124" t="s">
        <v>246</v>
      </c>
      <c r="J124">
        <f>SUMIF('STOCK IN'!$C:$C, A124, 'STOCK IN'!$E:$E)</f>
        <v>69</v>
      </c>
      <c r="K124">
        <f>SUMIF('STOCK OUT'!$C:$C, A124, 'STOCK OUT'!$E:$E)</f>
        <v>0</v>
      </c>
      <c r="L124">
        <f t="shared" si="4"/>
        <v>248</v>
      </c>
      <c r="M124" t="str" cm="1">
        <f t="array" ref="M124">_xlfn.IFS(L124&lt;=0, "OUT OF STOCK", L124&lt;=F124, "REORDER", L124&lt;=G124, "LOW STOCK", TRUE, "IN STOCK")</f>
        <v>IN STOCK</v>
      </c>
      <c r="N124" s="2">
        <f t="shared" si="5"/>
        <v>145080000</v>
      </c>
      <c r="O124">
        <v>247</v>
      </c>
      <c r="P124">
        <f t="shared" si="6"/>
        <v>-1</v>
      </c>
      <c r="Q124" t="str">
        <f>_xlfn.XLOOKUP(A124, 'Item Master'!$B$3:$B$502, 'Item Master'!$G$3:$G$502,,0)</f>
        <v>CV Prima Logistik</v>
      </c>
      <c r="R124" t="str">
        <f t="shared" si="7"/>
        <v>MINUS</v>
      </c>
    </row>
    <row r="125" spans="1:18" x14ac:dyDescent="0.25">
      <c r="A125" t="s">
        <v>247</v>
      </c>
      <c r="B125" t="s">
        <v>227</v>
      </c>
      <c r="C125" t="s">
        <v>211</v>
      </c>
      <c r="D125" t="s">
        <v>2</v>
      </c>
      <c r="E125">
        <v>10</v>
      </c>
      <c r="F125">
        <v>31</v>
      </c>
      <c r="G125">
        <v>50</v>
      </c>
      <c r="H125" s="2">
        <v>710000</v>
      </c>
      <c r="I125" t="s">
        <v>164</v>
      </c>
      <c r="J125">
        <f>SUMIF('STOCK IN'!$C:$C, A125, 'STOCK IN'!$E:$E)</f>
        <v>39</v>
      </c>
      <c r="K125">
        <f>SUMIF('STOCK OUT'!$C:$C, A125, 'STOCK OUT'!$E:$E)</f>
        <v>25</v>
      </c>
      <c r="L125">
        <f t="shared" si="4"/>
        <v>24</v>
      </c>
      <c r="M125" t="str" cm="1">
        <f t="array" ref="M125">_xlfn.IFS(L125&lt;=0, "OUT OF STOCK", L125&lt;=F125, "REORDER", L125&lt;=G125, "LOW STOCK", TRUE, "IN STOCK")</f>
        <v>REORDER</v>
      </c>
      <c r="N125" s="2">
        <f t="shared" si="5"/>
        <v>17040000</v>
      </c>
      <c r="O125">
        <v>24</v>
      </c>
      <c r="P125">
        <f t="shared" si="6"/>
        <v>0</v>
      </c>
      <c r="Q125" t="str">
        <f>_xlfn.XLOOKUP(A125, 'Item Master'!$B$3:$B$502, 'Item Master'!$G$3:$G$502,,0)</f>
        <v>PT Solusi Komputer</v>
      </c>
      <c r="R125" t="str">
        <f t="shared" si="7"/>
        <v>CONFORM</v>
      </c>
    </row>
    <row r="126" spans="1:18" x14ac:dyDescent="0.25">
      <c r="A126" t="s">
        <v>248</v>
      </c>
      <c r="B126" t="s">
        <v>240</v>
      </c>
      <c r="C126" t="s">
        <v>211</v>
      </c>
      <c r="D126" t="s">
        <v>2</v>
      </c>
      <c r="E126">
        <v>83</v>
      </c>
      <c r="F126">
        <v>50</v>
      </c>
      <c r="G126">
        <v>64</v>
      </c>
      <c r="H126" s="2">
        <v>468000</v>
      </c>
      <c r="I126" t="s">
        <v>126</v>
      </c>
      <c r="J126">
        <f>SUMIF('STOCK IN'!$C:$C, A126, 'STOCK IN'!$E:$E)</f>
        <v>45</v>
      </c>
      <c r="K126">
        <f>SUMIF('STOCK OUT'!$C:$C, A126, 'STOCK OUT'!$E:$E)</f>
        <v>74</v>
      </c>
      <c r="L126">
        <f t="shared" si="4"/>
        <v>54</v>
      </c>
      <c r="M126" t="str" cm="1">
        <f t="array" ref="M126">_xlfn.IFS(L126&lt;=0, "OUT OF STOCK", L126&lt;=F126, "REORDER", L126&lt;=G126, "LOW STOCK", TRUE, "IN STOCK")</f>
        <v>LOW STOCK</v>
      </c>
      <c r="N126" s="2">
        <f t="shared" si="5"/>
        <v>25272000</v>
      </c>
      <c r="O126">
        <v>54</v>
      </c>
      <c r="P126">
        <f t="shared" si="6"/>
        <v>0</v>
      </c>
      <c r="Q126" t="str">
        <f>_xlfn.XLOOKUP(A126, 'Item Master'!$B$3:$B$502, 'Item Master'!$G$3:$G$502,,0)</f>
        <v>CV Karya Mandiri</v>
      </c>
      <c r="R126" t="str">
        <f t="shared" si="7"/>
        <v>CONFORM</v>
      </c>
    </row>
    <row r="127" spans="1:18" x14ac:dyDescent="0.25">
      <c r="A127" t="s">
        <v>249</v>
      </c>
      <c r="B127" t="s">
        <v>216</v>
      </c>
      <c r="C127" t="s">
        <v>211</v>
      </c>
      <c r="D127" t="s">
        <v>2</v>
      </c>
      <c r="E127">
        <v>118</v>
      </c>
      <c r="F127">
        <v>12</v>
      </c>
      <c r="G127">
        <v>34</v>
      </c>
      <c r="H127" s="2">
        <v>502000</v>
      </c>
      <c r="I127" t="s">
        <v>250</v>
      </c>
      <c r="J127">
        <f>SUMIF('STOCK IN'!$C:$C, A127, 'STOCK IN'!$E:$E)</f>
        <v>48</v>
      </c>
      <c r="K127">
        <f>SUMIF('STOCK OUT'!$C:$C, A127, 'STOCK OUT'!$E:$E)</f>
        <v>292</v>
      </c>
      <c r="L127">
        <f t="shared" si="4"/>
        <v>-126</v>
      </c>
      <c r="M127" t="str" cm="1">
        <f t="array" ref="M127">_xlfn.IFS(L127&lt;=0, "OUT OF STOCK", L127&lt;=F127, "REORDER", L127&lt;=G127, "LOW STOCK", TRUE, "IN STOCK")</f>
        <v>OUT OF STOCK</v>
      </c>
      <c r="N127" s="2">
        <f t="shared" si="5"/>
        <v>-63252000</v>
      </c>
      <c r="O127">
        <v>0</v>
      </c>
      <c r="P127">
        <f t="shared" si="6"/>
        <v>0</v>
      </c>
      <c r="Q127" t="str">
        <f>_xlfn.XLOOKUP(A127, 'Item Master'!$B$3:$B$502, 'Item Master'!$G$3:$G$502,,0)</f>
        <v>CV Prima Logistik</v>
      </c>
      <c r="R127" t="str">
        <f t="shared" si="7"/>
        <v>CONFORM</v>
      </c>
    </row>
    <row r="128" spans="1:18" x14ac:dyDescent="0.25">
      <c r="A128" t="s">
        <v>251</v>
      </c>
      <c r="B128" t="s">
        <v>216</v>
      </c>
      <c r="C128" t="s">
        <v>211</v>
      </c>
      <c r="D128" t="s">
        <v>2</v>
      </c>
      <c r="E128">
        <v>28</v>
      </c>
      <c r="F128">
        <v>8</v>
      </c>
      <c r="G128">
        <v>18</v>
      </c>
      <c r="H128" s="2">
        <v>445000</v>
      </c>
      <c r="I128" t="s">
        <v>71</v>
      </c>
      <c r="J128">
        <f>SUMIF('STOCK IN'!$C:$C, A128, 'STOCK IN'!$E:$E)</f>
        <v>236</v>
      </c>
      <c r="K128">
        <f>SUMIF('STOCK OUT'!$C:$C, A128, 'STOCK OUT'!$E:$E)</f>
        <v>32</v>
      </c>
      <c r="L128">
        <f t="shared" si="4"/>
        <v>232</v>
      </c>
      <c r="M128" t="str" cm="1">
        <f t="array" ref="M128">_xlfn.IFS(L128&lt;=0, "OUT OF STOCK", L128&lt;=F128, "REORDER", L128&lt;=G128, "LOW STOCK", TRUE, "IN STOCK")</f>
        <v>IN STOCK</v>
      </c>
      <c r="N128" s="2">
        <f t="shared" si="5"/>
        <v>103240000</v>
      </c>
      <c r="O128">
        <v>235</v>
      </c>
      <c r="P128">
        <f t="shared" si="6"/>
        <v>3</v>
      </c>
      <c r="Q128" t="str">
        <f>_xlfn.XLOOKUP(A128, 'Item Master'!$B$3:$B$502, 'Item Master'!$G$3:$G$502,,0)</f>
        <v>PT Cipta Sarana Niaga</v>
      </c>
      <c r="R128" t="str">
        <f t="shared" si="7"/>
        <v>SURPLUS</v>
      </c>
    </row>
    <row r="129" spans="1:18" x14ac:dyDescent="0.25">
      <c r="A129" t="s">
        <v>252</v>
      </c>
      <c r="B129" t="s">
        <v>216</v>
      </c>
      <c r="C129" t="s">
        <v>211</v>
      </c>
      <c r="D129" t="s">
        <v>2</v>
      </c>
      <c r="E129">
        <v>41</v>
      </c>
      <c r="F129">
        <v>34</v>
      </c>
      <c r="G129">
        <v>61</v>
      </c>
      <c r="H129" s="2">
        <v>749000</v>
      </c>
      <c r="I129" t="s">
        <v>52</v>
      </c>
      <c r="J129">
        <f>SUMIF('STOCK IN'!$C:$C, A129, 'STOCK IN'!$E:$E)</f>
        <v>50</v>
      </c>
      <c r="K129">
        <f>SUMIF('STOCK OUT'!$C:$C, A129, 'STOCK OUT'!$E:$E)</f>
        <v>239</v>
      </c>
      <c r="L129">
        <f t="shared" si="4"/>
        <v>-148</v>
      </c>
      <c r="M129" t="str" cm="1">
        <f t="array" ref="M129">_xlfn.IFS(L129&lt;=0, "OUT OF STOCK", L129&lt;=F129, "REORDER", L129&lt;=G129, "LOW STOCK", TRUE, "IN STOCK")</f>
        <v>OUT OF STOCK</v>
      </c>
      <c r="N129" s="2">
        <f t="shared" si="5"/>
        <v>-110852000</v>
      </c>
      <c r="O129">
        <v>0</v>
      </c>
      <c r="P129">
        <f t="shared" si="6"/>
        <v>0</v>
      </c>
      <c r="Q129" t="str">
        <f>_xlfn.XLOOKUP(A129, 'Item Master'!$B$3:$B$502, 'Item Master'!$G$3:$G$502,,0)</f>
        <v>PT Cipta Sarana Niaga</v>
      </c>
      <c r="R129" t="str">
        <f t="shared" si="7"/>
        <v>CONFORM</v>
      </c>
    </row>
    <row r="130" spans="1:18" x14ac:dyDescent="0.25">
      <c r="A130" t="s">
        <v>253</v>
      </c>
      <c r="B130" t="s">
        <v>216</v>
      </c>
      <c r="C130" t="s">
        <v>211</v>
      </c>
      <c r="D130" t="s">
        <v>2</v>
      </c>
      <c r="E130">
        <v>148</v>
      </c>
      <c r="F130">
        <v>36</v>
      </c>
      <c r="G130">
        <v>55</v>
      </c>
      <c r="H130" s="2">
        <v>812000</v>
      </c>
      <c r="I130" t="s">
        <v>71</v>
      </c>
      <c r="J130">
        <f>SUMIF('STOCK IN'!$C:$C, A130, 'STOCK IN'!$E:$E)</f>
        <v>111</v>
      </c>
      <c r="K130">
        <f>SUMIF('STOCK OUT'!$C:$C, A130, 'STOCK OUT'!$E:$E)</f>
        <v>59</v>
      </c>
      <c r="L130">
        <f t="shared" si="4"/>
        <v>200</v>
      </c>
      <c r="M130" t="str" cm="1">
        <f t="array" ref="M130">_xlfn.IFS(L130&lt;=0, "OUT OF STOCK", L130&lt;=F130, "REORDER", L130&lt;=G130, "LOW STOCK", TRUE, "IN STOCK")</f>
        <v>IN STOCK</v>
      </c>
      <c r="N130" s="2">
        <f t="shared" si="5"/>
        <v>162400000</v>
      </c>
      <c r="O130">
        <v>200</v>
      </c>
      <c r="P130">
        <f t="shared" si="6"/>
        <v>0</v>
      </c>
      <c r="Q130" t="str">
        <f>_xlfn.XLOOKUP(A130, 'Item Master'!$B$3:$B$502, 'Item Master'!$G$3:$G$502,,0)</f>
        <v>CV Mitra Perkasa</v>
      </c>
      <c r="R130" t="str">
        <f t="shared" si="7"/>
        <v>CONFORM</v>
      </c>
    </row>
    <row r="131" spans="1:18" x14ac:dyDescent="0.25">
      <c r="A131" t="s">
        <v>254</v>
      </c>
      <c r="B131" t="s">
        <v>213</v>
      </c>
      <c r="C131" t="s">
        <v>211</v>
      </c>
      <c r="D131" t="s">
        <v>2</v>
      </c>
      <c r="E131">
        <v>164</v>
      </c>
      <c r="F131">
        <v>21</v>
      </c>
      <c r="G131">
        <v>41</v>
      </c>
      <c r="H131" s="2">
        <v>3840000</v>
      </c>
      <c r="I131" t="s">
        <v>59</v>
      </c>
      <c r="J131">
        <f>SUMIF('STOCK IN'!$C:$C, A131, 'STOCK IN'!$E:$E)</f>
        <v>310</v>
      </c>
      <c r="K131">
        <f>SUMIF('STOCK OUT'!$C:$C, A131, 'STOCK OUT'!$E:$E)</f>
        <v>36</v>
      </c>
      <c r="L131">
        <f t="shared" ref="L131:L194" si="8">E131+J131-K131</f>
        <v>438</v>
      </c>
      <c r="M131" t="str" cm="1">
        <f t="array" ref="M131">_xlfn.IFS(L131&lt;=0, "OUT OF STOCK", L131&lt;=F131, "REORDER", L131&lt;=G131, "LOW STOCK", TRUE, "IN STOCK")</f>
        <v>IN STOCK</v>
      </c>
      <c r="N131" s="2">
        <f t="shared" ref="N131:N194" si="9">L131*H131</f>
        <v>1681920000</v>
      </c>
      <c r="O131">
        <v>438</v>
      </c>
      <c r="P131">
        <f t="shared" ref="P131:P194" si="10">IF(L131&lt;0, 0, O131 - L131)</f>
        <v>0</v>
      </c>
      <c r="Q131" t="str">
        <f>_xlfn.XLOOKUP(A131, 'Item Master'!$B$3:$B$502, 'Item Master'!$G$3:$G$502,,0)</f>
        <v>CV Mitra Perkasa</v>
      </c>
      <c r="R131" t="str">
        <f t="shared" ref="R131:R194" si="11">IF(P131=0, "CONFORM", IF(P131&gt;0, "SURPLUS", "MINUS"))</f>
        <v>CONFORM</v>
      </c>
    </row>
    <row r="132" spans="1:18" x14ac:dyDescent="0.25">
      <c r="A132" t="s">
        <v>255</v>
      </c>
      <c r="B132" t="s">
        <v>234</v>
      </c>
      <c r="C132" t="s">
        <v>211</v>
      </c>
      <c r="D132" t="s">
        <v>2</v>
      </c>
      <c r="E132">
        <v>205</v>
      </c>
      <c r="F132">
        <v>48</v>
      </c>
      <c r="G132">
        <v>61</v>
      </c>
      <c r="H132" s="2">
        <v>392000</v>
      </c>
      <c r="I132" t="s">
        <v>38</v>
      </c>
      <c r="J132">
        <f>SUMIF('STOCK IN'!$C:$C, A132, 'STOCK IN'!$E:$E)</f>
        <v>42</v>
      </c>
      <c r="K132">
        <f>SUMIF('STOCK OUT'!$C:$C, A132, 'STOCK OUT'!$E:$E)</f>
        <v>109</v>
      </c>
      <c r="L132">
        <f t="shared" si="8"/>
        <v>138</v>
      </c>
      <c r="M132" t="str" cm="1">
        <f t="array" ref="M132">_xlfn.IFS(L132&lt;=0, "OUT OF STOCK", L132&lt;=F132, "REORDER", L132&lt;=G132, "LOW STOCK", TRUE, "IN STOCK")</f>
        <v>IN STOCK</v>
      </c>
      <c r="N132" s="2">
        <f t="shared" si="9"/>
        <v>54096000</v>
      </c>
      <c r="O132">
        <v>138</v>
      </c>
      <c r="P132">
        <f t="shared" si="10"/>
        <v>0</v>
      </c>
      <c r="Q132" t="str">
        <f>_xlfn.XLOOKUP(A132, 'Item Master'!$B$3:$B$502, 'Item Master'!$G$3:$G$502,,0)</f>
        <v>PT Solusi Komputer</v>
      </c>
      <c r="R132" t="str">
        <f t="shared" si="11"/>
        <v>CONFORM</v>
      </c>
    </row>
    <row r="133" spans="1:18" x14ac:dyDescent="0.25">
      <c r="A133" t="s">
        <v>256</v>
      </c>
      <c r="B133" t="s">
        <v>210</v>
      </c>
      <c r="C133" t="s">
        <v>211</v>
      </c>
      <c r="D133" t="s">
        <v>2</v>
      </c>
      <c r="E133">
        <v>176</v>
      </c>
      <c r="F133">
        <v>33</v>
      </c>
      <c r="G133">
        <v>46</v>
      </c>
      <c r="H133" s="2">
        <v>11002000</v>
      </c>
      <c r="I133" t="s">
        <v>257</v>
      </c>
      <c r="J133">
        <f>SUMIF('STOCK IN'!$C:$C, A133, 'STOCK IN'!$E:$E)</f>
        <v>70</v>
      </c>
      <c r="K133">
        <f>SUMIF('STOCK OUT'!$C:$C, A133, 'STOCK OUT'!$E:$E)</f>
        <v>96</v>
      </c>
      <c r="L133">
        <f t="shared" si="8"/>
        <v>150</v>
      </c>
      <c r="M133" t="str" cm="1">
        <f t="array" ref="M133">_xlfn.IFS(L133&lt;=0, "OUT OF STOCK", L133&lt;=F133, "REORDER", L133&lt;=G133, "LOW STOCK", TRUE, "IN STOCK")</f>
        <v>IN STOCK</v>
      </c>
      <c r="N133" s="2">
        <f t="shared" si="9"/>
        <v>1650300000</v>
      </c>
      <c r="O133">
        <v>149</v>
      </c>
      <c r="P133">
        <f t="shared" si="10"/>
        <v>-1</v>
      </c>
      <c r="Q133" t="str">
        <f>_xlfn.XLOOKUP(A133, 'Item Master'!$B$3:$B$502, 'Item Master'!$G$3:$G$502,,0)</f>
        <v>PT Sentosa Distribusi</v>
      </c>
      <c r="R133" t="str">
        <f t="shared" si="11"/>
        <v>MINUS</v>
      </c>
    </row>
    <row r="134" spans="1:18" x14ac:dyDescent="0.25">
      <c r="A134" t="s">
        <v>258</v>
      </c>
      <c r="B134" t="s">
        <v>210</v>
      </c>
      <c r="C134" t="s">
        <v>211</v>
      </c>
      <c r="D134" t="s">
        <v>2</v>
      </c>
      <c r="E134">
        <v>130</v>
      </c>
      <c r="F134">
        <v>27</v>
      </c>
      <c r="G134">
        <v>45</v>
      </c>
      <c r="H134" s="2">
        <v>3994000</v>
      </c>
      <c r="I134" t="s">
        <v>259</v>
      </c>
      <c r="J134">
        <f>SUMIF('STOCK IN'!$C:$C, A134, 'STOCK IN'!$E:$E)</f>
        <v>103</v>
      </c>
      <c r="K134">
        <f>SUMIF('STOCK OUT'!$C:$C, A134, 'STOCK OUT'!$E:$E)</f>
        <v>275</v>
      </c>
      <c r="L134">
        <f t="shared" si="8"/>
        <v>-42</v>
      </c>
      <c r="M134" t="str" cm="1">
        <f t="array" ref="M134">_xlfn.IFS(L134&lt;=0, "OUT OF STOCK", L134&lt;=F134, "REORDER", L134&lt;=G134, "LOW STOCK", TRUE, "IN STOCK")</f>
        <v>OUT OF STOCK</v>
      </c>
      <c r="N134" s="2">
        <f t="shared" si="9"/>
        <v>-167748000</v>
      </c>
      <c r="O134">
        <v>0</v>
      </c>
      <c r="P134">
        <f t="shared" si="10"/>
        <v>0</v>
      </c>
      <c r="Q134" t="str">
        <f>_xlfn.XLOOKUP(A134, 'Item Master'!$B$3:$B$502, 'Item Master'!$G$3:$G$502,,0)</f>
        <v>CV Berkah Jaya</v>
      </c>
      <c r="R134" t="str">
        <f t="shared" si="11"/>
        <v>CONFORM</v>
      </c>
    </row>
    <row r="135" spans="1:18" x14ac:dyDescent="0.25">
      <c r="A135" t="s">
        <v>260</v>
      </c>
      <c r="B135" t="s">
        <v>261</v>
      </c>
      <c r="C135" t="s">
        <v>211</v>
      </c>
      <c r="D135" t="s">
        <v>2</v>
      </c>
      <c r="E135">
        <v>115</v>
      </c>
      <c r="F135">
        <v>49</v>
      </c>
      <c r="G135">
        <v>69</v>
      </c>
      <c r="H135" s="2">
        <v>418000</v>
      </c>
      <c r="I135" t="s">
        <v>45</v>
      </c>
      <c r="J135">
        <f>SUMIF('STOCK IN'!$C:$C, A135, 'STOCK IN'!$E:$E)</f>
        <v>172</v>
      </c>
      <c r="K135">
        <f>SUMIF('STOCK OUT'!$C:$C, A135, 'STOCK OUT'!$E:$E)</f>
        <v>163</v>
      </c>
      <c r="L135">
        <f t="shared" si="8"/>
        <v>124</v>
      </c>
      <c r="M135" t="str" cm="1">
        <f t="array" ref="M135">_xlfn.IFS(L135&lt;=0, "OUT OF STOCK", L135&lt;=F135, "REORDER", L135&lt;=G135, "LOW STOCK", TRUE, "IN STOCK")</f>
        <v>IN STOCK</v>
      </c>
      <c r="N135" s="2">
        <f t="shared" si="9"/>
        <v>51832000</v>
      </c>
      <c r="O135">
        <v>121</v>
      </c>
      <c r="P135">
        <f t="shared" si="10"/>
        <v>-3</v>
      </c>
      <c r="Q135" t="str">
        <f>_xlfn.XLOOKUP(A135, 'Item Master'!$B$3:$B$502, 'Item Master'!$G$3:$G$502,,0)</f>
        <v>PT Cipta Sarana Niaga</v>
      </c>
      <c r="R135" t="str">
        <f t="shared" si="11"/>
        <v>MINUS</v>
      </c>
    </row>
    <row r="136" spans="1:18" x14ac:dyDescent="0.25">
      <c r="A136" t="s">
        <v>262</v>
      </c>
      <c r="B136" t="s">
        <v>223</v>
      </c>
      <c r="C136" t="s">
        <v>211</v>
      </c>
      <c r="D136" t="s">
        <v>2</v>
      </c>
      <c r="E136">
        <v>126</v>
      </c>
      <c r="F136">
        <v>10</v>
      </c>
      <c r="G136">
        <v>31</v>
      </c>
      <c r="H136" s="2">
        <v>217000</v>
      </c>
      <c r="I136" t="s">
        <v>259</v>
      </c>
      <c r="J136">
        <f>SUMIF('STOCK IN'!$C:$C, A136, 'STOCK IN'!$E:$E)</f>
        <v>144</v>
      </c>
      <c r="K136">
        <f>SUMIF('STOCK OUT'!$C:$C, A136, 'STOCK OUT'!$E:$E)</f>
        <v>112</v>
      </c>
      <c r="L136">
        <f t="shared" si="8"/>
        <v>158</v>
      </c>
      <c r="M136" t="str" cm="1">
        <f t="array" ref="M136">_xlfn.IFS(L136&lt;=0, "OUT OF STOCK", L136&lt;=F136, "REORDER", L136&lt;=G136, "LOW STOCK", TRUE, "IN STOCK")</f>
        <v>IN STOCK</v>
      </c>
      <c r="N136" s="2">
        <f t="shared" si="9"/>
        <v>34286000</v>
      </c>
      <c r="O136">
        <v>160</v>
      </c>
      <c r="P136">
        <f t="shared" si="10"/>
        <v>2</v>
      </c>
      <c r="Q136" t="str">
        <f>_xlfn.XLOOKUP(A136, 'Item Master'!$B$3:$B$502, 'Item Master'!$G$3:$G$502,,0)</f>
        <v>PT Cipta Sarana Niaga</v>
      </c>
      <c r="R136" t="str">
        <f t="shared" si="11"/>
        <v>SURPLUS</v>
      </c>
    </row>
    <row r="137" spans="1:18" x14ac:dyDescent="0.25">
      <c r="A137" t="s">
        <v>263</v>
      </c>
      <c r="B137" t="s">
        <v>213</v>
      </c>
      <c r="C137" t="s">
        <v>211</v>
      </c>
      <c r="D137" t="s">
        <v>2</v>
      </c>
      <c r="E137">
        <v>221</v>
      </c>
      <c r="F137">
        <v>5</v>
      </c>
      <c r="G137">
        <v>55</v>
      </c>
      <c r="H137" s="2">
        <v>5415000</v>
      </c>
      <c r="I137" t="s">
        <v>175</v>
      </c>
      <c r="J137">
        <f>SUMIF('STOCK IN'!$C:$C, A137, 'STOCK IN'!$E:$E)</f>
        <v>56</v>
      </c>
      <c r="K137">
        <f>SUMIF('STOCK OUT'!$C:$C, A137, 'STOCK OUT'!$E:$E)</f>
        <v>131</v>
      </c>
      <c r="L137">
        <f t="shared" si="8"/>
        <v>146</v>
      </c>
      <c r="M137" t="str" cm="1">
        <f t="array" ref="M137">_xlfn.IFS(L137&lt;=0, "OUT OF STOCK", L137&lt;=F137, "REORDER", L137&lt;=G137, "LOW STOCK", TRUE, "IN STOCK")</f>
        <v>IN STOCK</v>
      </c>
      <c r="N137" s="2">
        <f t="shared" si="9"/>
        <v>790590000</v>
      </c>
      <c r="O137">
        <v>145</v>
      </c>
      <c r="P137">
        <f t="shared" si="10"/>
        <v>-1</v>
      </c>
      <c r="Q137" t="str">
        <f>_xlfn.XLOOKUP(A137, 'Item Master'!$B$3:$B$502, 'Item Master'!$G$3:$G$502,,0)</f>
        <v>PT Indo Elektrik</v>
      </c>
      <c r="R137" t="str">
        <f t="shared" si="11"/>
        <v>MINUS</v>
      </c>
    </row>
    <row r="138" spans="1:18" x14ac:dyDescent="0.25">
      <c r="A138" t="s">
        <v>264</v>
      </c>
      <c r="B138" t="s">
        <v>240</v>
      </c>
      <c r="C138" t="s">
        <v>211</v>
      </c>
      <c r="D138" t="s">
        <v>2</v>
      </c>
      <c r="E138">
        <v>142</v>
      </c>
      <c r="F138">
        <v>28</v>
      </c>
      <c r="G138">
        <v>52</v>
      </c>
      <c r="H138" s="2">
        <v>446000</v>
      </c>
      <c r="I138" t="s">
        <v>265</v>
      </c>
      <c r="J138">
        <f>SUMIF('STOCK IN'!$C:$C, A138, 'STOCK IN'!$E:$E)</f>
        <v>137</v>
      </c>
      <c r="K138">
        <f>SUMIF('STOCK OUT'!$C:$C, A138, 'STOCK OUT'!$E:$E)</f>
        <v>113</v>
      </c>
      <c r="L138">
        <f t="shared" si="8"/>
        <v>166</v>
      </c>
      <c r="M138" t="str" cm="1">
        <f t="array" ref="M138">_xlfn.IFS(L138&lt;=0, "OUT OF STOCK", L138&lt;=F138, "REORDER", L138&lt;=G138, "LOW STOCK", TRUE, "IN STOCK")</f>
        <v>IN STOCK</v>
      </c>
      <c r="N138" s="2">
        <f t="shared" si="9"/>
        <v>74036000</v>
      </c>
      <c r="O138">
        <v>166</v>
      </c>
      <c r="P138">
        <f t="shared" si="10"/>
        <v>0</v>
      </c>
      <c r="Q138" t="str">
        <f>_xlfn.XLOOKUP(A138, 'Item Master'!$B$3:$B$502, 'Item Master'!$G$3:$G$502,,0)</f>
        <v>CV Karya Mandiri</v>
      </c>
      <c r="R138" t="str">
        <f t="shared" si="11"/>
        <v>CONFORM</v>
      </c>
    </row>
    <row r="139" spans="1:18" x14ac:dyDescent="0.25">
      <c r="A139" t="s">
        <v>266</v>
      </c>
      <c r="B139" t="s">
        <v>240</v>
      </c>
      <c r="C139" t="s">
        <v>211</v>
      </c>
      <c r="D139" t="s">
        <v>2</v>
      </c>
      <c r="E139">
        <v>78</v>
      </c>
      <c r="F139">
        <v>40</v>
      </c>
      <c r="G139">
        <v>49</v>
      </c>
      <c r="H139" s="2">
        <v>454000</v>
      </c>
      <c r="I139" t="s">
        <v>108</v>
      </c>
      <c r="J139">
        <f>SUMIF('STOCK IN'!$C:$C, A139, 'STOCK IN'!$E:$E)</f>
        <v>103</v>
      </c>
      <c r="K139">
        <f>SUMIF('STOCK OUT'!$C:$C, A139, 'STOCK OUT'!$E:$E)</f>
        <v>139</v>
      </c>
      <c r="L139">
        <f t="shared" si="8"/>
        <v>42</v>
      </c>
      <c r="M139" t="str" cm="1">
        <f t="array" ref="M139">_xlfn.IFS(L139&lt;=0, "OUT OF STOCK", L139&lt;=F139, "REORDER", L139&lt;=G139, "LOW STOCK", TRUE, "IN STOCK")</f>
        <v>LOW STOCK</v>
      </c>
      <c r="N139" s="2">
        <f t="shared" si="9"/>
        <v>19068000</v>
      </c>
      <c r="O139">
        <v>43</v>
      </c>
      <c r="P139">
        <f t="shared" si="10"/>
        <v>1</v>
      </c>
      <c r="Q139" t="str">
        <f>_xlfn.XLOOKUP(A139, 'Item Master'!$B$3:$B$502, 'Item Master'!$G$3:$G$502,,0)</f>
        <v>PT Cipta Sarana Niaga</v>
      </c>
      <c r="R139" t="str">
        <f t="shared" si="11"/>
        <v>SURPLUS</v>
      </c>
    </row>
    <row r="140" spans="1:18" x14ac:dyDescent="0.25">
      <c r="A140" t="s">
        <v>267</v>
      </c>
      <c r="B140" t="s">
        <v>227</v>
      </c>
      <c r="C140" t="s">
        <v>211</v>
      </c>
      <c r="D140" t="s">
        <v>2</v>
      </c>
      <c r="E140">
        <v>171</v>
      </c>
      <c r="F140">
        <v>43</v>
      </c>
      <c r="G140">
        <v>73</v>
      </c>
      <c r="H140" s="2">
        <v>579000</v>
      </c>
      <c r="I140" t="s">
        <v>183</v>
      </c>
      <c r="J140">
        <f>SUMIF('STOCK IN'!$C:$C, A140, 'STOCK IN'!$E:$E)</f>
        <v>83</v>
      </c>
      <c r="K140">
        <f>SUMIF('STOCK OUT'!$C:$C, A140, 'STOCK OUT'!$E:$E)</f>
        <v>115</v>
      </c>
      <c r="L140">
        <f t="shared" si="8"/>
        <v>139</v>
      </c>
      <c r="M140" t="str" cm="1">
        <f t="array" ref="M140">_xlfn.IFS(L140&lt;=0, "OUT OF STOCK", L140&lt;=F140, "REORDER", L140&lt;=G140, "LOW STOCK", TRUE, "IN STOCK")</f>
        <v>IN STOCK</v>
      </c>
      <c r="N140" s="2">
        <f t="shared" si="9"/>
        <v>80481000</v>
      </c>
      <c r="O140">
        <v>136</v>
      </c>
      <c r="P140">
        <f t="shared" si="10"/>
        <v>-3</v>
      </c>
      <c r="Q140" t="str">
        <f>_xlfn.XLOOKUP(A140, 'Item Master'!$B$3:$B$502, 'Item Master'!$G$3:$G$502,,0)</f>
        <v>CV Prima Logistik</v>
      </c>
      <c r="R140" t="str">
        <f t="shared" si="11"/>
        <v>MINUS</v>
      </c>
    </row>
    <row r="141" spans="1:18" x14ac:dyDescent="0.25">
      <c r="A141" t="s">
        <v>268</v>
      </c>
      <c r="B141" t="s">
        <v>216</v>
      </c>
      <c r="C141" t="s">
        <v>211</v>
      </c>
      <c r="D141" t="s">
        <v>2</v>
      </c>
      <c r="E141">
        <v>13</v>
      </c>
      <c r="F141">
        <v>40</v>
      </c>
      <c r="G141">
        <v>58</v>
      </c>
      <c r="H141" s="2">
        <v>864000</v>
      </c>
      <c r="I141" t="s">
        <v>242</v>
      </c>
      <c r="J141">
        <f>SUMIF('STOCK IN'!$C:$C, A141, 'STOCK IN'!$E:$E)</f>
        <v>42</v>
      </c>
      <c r="K141">
        <f>SUMIF('STOCK OUT'!$C:$C, A141, 'STOCK OUT'!$E:$E)</f>
        <v>98</v>
      </c>
      <c r="L141">
        <f t="shared" si="8"/>
        <v>-43</v>
      </c>
      <c r="M141" t="str" cm="1">
        <f t="array" ref="M141">_xlfn.IFS(L141&lt;=0, "OUT OF STOCK", L141&lt;=F141, "REORDER", L141&lt;=G141, "LOW STOCK", TRUE, "IN STOCK")</f>
        <v>OUT OF STOCK</v>
      </c>
      <c r="N141" s="2">
        <f t="shared" si="9"/>
        <v>-37152000</v>
      </c>
      <c r="O141">
        <v>0</v>
      </c>
      <c r="P141">
        <f t="shared" si="10"/>
        <v>0</v>
      </c>
      <c r="Q141" t="str">
        <f>_xlfn.XLOOKUP(A141, 'Item Master'!$B$3:$B$502, 'Item Master'!$G$3:$G$502,,0)</f>
        <v>CV Mitra Perkasa</v>
      </c>
      <c r="R141" t="str">
        <f t="shared" si="11"/>
        <v>CONFORM</v>
      </c>
    </row>
    <row r="142" spans="1:18" x14ac:dyDescent="0.25">
      <c r="A142" t="s">
        <v>269</v>
      </c>
      <c r="B142" t="s">
        <v>210</v>
      </c>
      <c r="C142" t="s">
        <v>211</v>
      </c>
      <c r="D142" t="s">
        <v>2</v>
      </c>
      <c r="E142">
        <v>175</v>
      </c>
      <c r="F142">
        <v>14</v>
      </c>
      <c r="G142">
        <v>43</v>
      </c>
      <c r="H142" s="2">
        <v>4424000</v>
      </c>
      <c r="I142" t="s">
        <v>117</v>
      </c>
      <c r="J142">
        <f>SUMIF('STOCK IN'!$C:$C, A142, 'STOCK IN'!$E:$E)</f>
        <v>30</v>
      </c>
      <c r="K142">
        <f>SUMIF('STOCK OUT'!$C:$C, A142, 'STOCK OUT'!$E:$E)</f>
        <v>191</v>
      </c>
      <c r="L142">
        <f t="shared" si="8"/>
        <v>14</v>
      </c>
      <c r="M142" t="str" cm="1">
        <f t="array" ref="M142">_xlfn.IFS(L142&lt;=0, "OUT OF STOCK", L142&lt;=F142, "REORDER", L142&lt;=G142, "LOW STOCK", TRUE, "IN STOCK")</f>
        <v>REORDER</v>
      </c>
      <c r="N142" s="2">
        <f t="shared" si="9"/>
        <v>61936000</v>
      </c>
      <c r="O142">
        <v>14</v>
      </c>
      <c r="P142">
        <f t="shared" si="10"/>
        <v>0</v>
      </c>
      <c r="Q142" t="str">
        <f>_xlfn.XLOOKUP(A142, 'Item Master'!$B$3:$B$502, 'Item Master'!$G$3:$G$502,,0)</f>
        <v>PT Cipta Sarana Niaga</v>
      </c>
      <c r="R142" t="str">
        <f t="shared" si="11"/>
        <v>CONFORM</v>
      </c>
    </row>
    <row r="143" spans="1:18" x14ac:dyDescent="0.25">
      <c r="A143" t="s">
        <v>270</v>
      </c>
      <c r="B143" t="s">
        <v>213</v>
      </c>
      <c r="C143" t="s">
        <v>211</v>
      </c>
      <c r="D143" t="s">
        <v>2</v>
      </c>
      <c r="E143">
        <v>130</v>
      </c>
      <c r="F143">
        <v>20</v>
      </c>
      <c r="G143">
        <v>39</v>
      </c>
      <c r="H143" s="2">
        <v>5152000</v>
      </c>
      <c r="I143" t="s">
        <v>64</v>
      </c>
      <c r="J143">
        <f>SUMIF('STOCK IN'!$C:$C, A143, 'STOCK IN'!$E:$E)</f>
        <v>64</v>
      </c>
      <c r="K143">
        <f>SUMIF('STOCK OUT'!$C:$C, A143, 'STOCK OUT'!$E:$E)</f>
        <v>71</v>
      </c>
      <c r="L143">
        <f t="shared" si="8"/>
        <v>123</v>
      </c>
      <c r="M143" t="str" cm="1">
        <f t="array" ref="M143">_xlfn.IFS(L143&lt;=0, "OUT OF STOCK", L143&lt;=F143, "REORDER", L143&lt;=G143, "LOW STOCK", TRUE, "IN STOCK")</f>
        <v>IN STOCK</v>
      </c>
      <c r="N143" s="2">
        <f t="shared" si="9"/>
        <v>633696000</v>
      </c>
      <c r="O143">
        <v>123</v>
      </c>
      <c r="P143">
        <f t="shared" si="10"/>
        <v>0</v>
      </c>
      <c r="Q143" t="str">
        <f>_xlfn.XLOOKUP(A143, 'Item Master'!$B$3:$B$502, 'Item Master'!$G$3:$G$502,,0)</f>
        <v>PT Indo Elektrik</v>
      </c>
      <c r="R143" t="str">
        <f t="shared" si="11"/>
        <v>CONFORM</v>
      </c>
    </row>
    <row r="144" spans="1:18" x14ac:dyDescent="0.25">
      <c r="A144" t="s">
        <v>271</v>
      </c>
      <c r="B144" t="s">
        <v>225</v>
      </c>
      <c r="C144" t="s">
        <v>211</v>
      </c>
      <c r="D144" t="s">
        <v>2</v>
      </c>
      <c r="E144">
        <v>163</v>
      </c>
      <c r="F144">
        <v>37</v>
      </c>
      <c r="G144">
        <v>65</v>
      </c>
      <c r="H144" s="2">
        <v>921000</v>
      </c>
      <c r="I144" t="s">
        <v>147</v>
      </c>
      <c r="J144">
        <f>SUMIF('STOCK IN'!$C:$C, A144, 'STOCK IN'!$E:$E)</f>
        <v>6</v>
      </c>
      <c r="K144">
        <f>SUMIF('STOCK OUT'!$C:$C, A144, 'STOCK OUT'!$E:$E)</f>
        <v>311</v>
      </c>
      <c r="L144">
        <f t="shared" si="8"/>
        <v>-142</v>
      </c>
      <c r="M144" t="str" cm="1">
        <f t="array" ref="M144">_xlfn.IFS(L144&lt;=0, "OUT OF STOCK", L144&lt;=F144, "REORDER", L144&lt;=G144, "LOW STOCK", TRUE, "IN STOCK")</f>
        <v>OUT OF STOCK</v>
      </c>
      <c r="N144" s="2">
        <f t="shared" si="9"/>
        <v>-130782000</v>
      </c>
      <c r="O144">
        <v>0</v>
      </c>
      <c r="P144">
        <f t="shared" si="10"/>
        <v>0</v>
      </c>
      <c r="Q144" t="str">
        <f>_xlfn.XLOOKUP(A144, 'Item Master'!$B$3:$B$502, 'Item Master'!$G$3:$G$502,,0)</f>
        <v>PT Sentosa Distribusi</v>
      </c>
      <c r="R144" t="str">
        <f t="shared" si="11"/>
        <v>CONFORM</v>
      </c>
    </row>
    <row r="145" spans="1:18" x14ac:dyDescent="0.25">
      <c r="A145" t="s">
        <v>272</v>
      </c>
      <c r="B145" t="s">
        <v>213</v>
      </c>
      <c r="C145" t="s">
        <v>211</v>
      </c>
      <c r="D145" t="s">
        <v>2</v>
      </c>
      <c r="E145">
        <v>249</v>
      </c>
      <c r="F145">
        <v>37</v>
      </c>
      <c r="G145">
        <v>62</v>
      </c>
      <c r="H145" s="2">
        <v>3984000</v>
      </c>
      <c r="I145" t="s">
        <v>113</v>
      </c>
      <c r="J145">
        <f>SUMIF('STOCK IN'!$C:$C, A145, 'STOCK IN'!$E:$E)</f>
        <v>42</v>
      </c>
      <c r="K145">
        <f>SUMIF('STOCK OUT'!$C:$C, A145, 'STOCK OUT'!$E:$E)</f>
        <v>154</v>
      </c>
      <c r="L145">
        <f t="shared" si="8"/>
        <v>137</v>
      </c>
      <c r="M145" t="str" cm="1">
        <f t="array" ref="M145">_xlfn.IFS(L145&lt;=0, "OUT OF STOCK", L145&lt;=F145, "REORDER", L145&lt;=G145, "LOW STOCK", TRUE, "IN STOCK")</f>
        <v>IN STOCK</v>
      </c>
      <c r="N145" s="2">
        <f t="shared" si="9"/>
        <v>545808000</v>
      </c>
      <c r="O145">
        <v>137</v>
      </c>
      <c r="P145">
        <f t="shared" si="10"/>
        <v>0</v>
      </c>
      <c r="Q145" t="str">
        <f>_xlfn.XLOOKUP(A145, 'Item Master'!$B$3:$B$502, 'Item Master'!$G$3:$G$502,,0)</f>
        <v>PT Sumber Teknologi Nusantara</v>
      </c>
      <c r="R145" t="str">
        <f t="shared" si="11"/>
        <v>CONFORM</v>
      </c>
    </row>
    <row r="146" spans="1:18" x14ac:dyDescent="0.25">
      <c r="A146" t="s">
        <v>273</v>
      </c>
      <c r="B146" t="s">
        <v>234</v>
      </c>
      <c r="C146" t="s">
        <v>211</v>
      </c>
      <c r="D146" t="s">
        <v>2</v>
      </c>
      <c r="E146">
        <v>178</v>
      </c>
      <c r="F146">
        <v>36</v>
      </c>
      <c r="G146">
        <v>45</v>
      </c>
      <c r="H146" s="2">
        <v>1537000</v>
      </c>
      <c r="I146" t="s">
        <v>274</v>
      </c>
      <c r="J146">
        <f>SUMIF('STOCK IN'!$C:$C, A146, 'STOCK IN'!$E:$E)</f>
        <v>24</v>
      </c>
      <c r="K146">
        <f>SUMIF('STOCK OUT'!$C:$C, A146, 'STOCK OUT'!$E:$E)</f>
        <v>91</v>
      </c>
      <c r="L146">
        <f t="shared" si="8"/>
        <v>111</v>
      </c>
      <c r="M146" t="str" cm="1">
        <f t="array" ref="M146">_xlfn.IFS(L146&lt;=0, "OUT OF STOCK", L146&lt;=F146, "REORDER", L146&lt;=G146, "LOW STOCK", TRUE, "IN STOCK")</f>
        <v>IN STOCK</v>
      </c>
      <c r="N146" s="2">
        <f t="shared" si="9"/>
        <v>170607000</v>
      </c>
      <c r="O146">
        <v>111</v>
      </c>
      <c r="P146">
        <f t="shared" si="10"/>
        <v>0</v>
      </c>
      <c r="Q146" t="str">
        <f>_xlfn.XLOOKUP(A146, 'Item Master'!$B$3:$B$502, 'Item Master'!$G$3:$G$502,,0)</f>
        <v>CV Karya Mandiri</v>
      </c>
      <c r="R146" t="str">
        <f t="shared" si="11"/>
        <v>CONFORM</v>
      </c>
    </row>
    <row r="147" spans="1:18" x14ac:dyDescent="0.25">
      <c r="A147" t="s">
        <v>275</v>
      </c>
      <c r="B147" t="s">
        <v>218</v>
      </c>
      <c r="C147" t="s">
        <v>211</v>
      </c>
      <c r="D147" t="s">
        <v>2</v>
      </c>
      <c r="E147">
        <v>151</v>
      </c>
      <c r="F147">
        <v>39</v>
      </c>
      <c r="G147">
        <v>56</v>
      </c>
      <c r="H147" s="2">
        <v>1530000</v>
      </c>
      <c r="I147" t="s">
        <v>259</v>
      </c>
      <c r="J147">
        <f>SUMIF('STOCK IN'!$C:$C, A147, 'STOCK IN'!$E:$E)</f>
        <v>283</v>
      </c>
      <c r="K147">
        <f>SUMIF('STOCK OUT'!$C:$C, A147, 'STOCK OUT'!$E:$E)</f>
        <v>157</v>
      </c>
      <c r="L147">
        <f t="shared" si="8"/>
        <v>277</v>
      </c>
      <c r="M147" t="str" cm="1">
        <f t="array" ref="M147">_xlfn.IFS(L147&lt;=0, "OUT OF STOCK", L147&lt;=F147, "REORDER", L147&lt;=G147, "LOW STOCK", TRUE, "IN STOCK")</f>
        <v>IN STOCK</v>
      </c>
      <c r="N147" s="2">
        <f t="shared" si="9"/>
        <v>423810000</v>
      </c>
      <c r="O147">
        <v>278</v>
      </c>
      <c r="P147">
        <f t="shared" si="10"/>
        <v>1</v>
      </c>
      <c r="Q147" t="str">
        <f>_xlfn.XLOOKUP(A147, 'Item Master'!$B$3:$B$502, 'Item Master'!$G$3:$G$502,,0)</f>
        <v>CV Karya Mandiri</v>
      </c>
      <c r="R147" t="str">
        <f t="shared" si="11"/>
        <v>SURPLUS</v>
      </c>
    </row>
    <row r="148" spans="1:18" x14ac:dyDescent="0.25">
      <c r="A148" t="s">
        <v>276</v>
      </c>
      <c r="B148" t="s">
        <v>225</v>
      </c>
      <c r="C148" t="s">
        <v>211</v>
      </c>
      <c r="D148" t="s">
        <v>2</v>
      </c>
      <c r="E148">
        <v>108</v>
      </c>
      <c r="F148">
        <v>19</v>
      </c>
      <c r="G148">
        <v>48</v>
      </c>
      <c r="H148" s="2">
        <v>742000</v>
      </c>
      <c r="I148" t="s">
        <v>38</v>
      </c>
      <c r="J148">
        <f>SUMIF('STOCK IN'!$C:$C, A148, 'STOCK IN'!$E:$E)</f>
        <v>44</v>
      </c>
      <c r="K148">
        <f>SUMIF('STOCK OUT'!$C:$C, A148, 'STOCK OUT'!$E:$E)</f>
        <v>69</v>
      </c>
      <c r="L148">
        <f t="shared" si="8"/>
        <v>83</v>
      </c>
      <c r="M148" t="str" cm="1">
        <f t="array" ref="M148">_xlfn.IFS(L148&lt;=0, "OUT OF STOCK", L148&lt;=F148, "REORDER", L148&lt;=G148, "LOW STOCK", TRUE, "IN STOCK")</f>
        <v>IN STOCK</v>
      </c>
      <c r="N148" s="2">
        <f t="shared" si="9"/>
        <v>61586000</v>
      </c>
      <c r="O148">
        <v>85</v>
      </c>
      <c r="P148">
        <f t="shared" si="10"/>
        <v>2</v>
      </c>
      <c r="Q148" t="str">
        <f>_xlfn.XLOOKUP(A148, 'Item Master'!$B$3:$B$502, 'Item Master'!$G$3:$G$502,,0)</f>
        <v>PT Global Office Supply</v>
      </c>
      <c r="R148" t="str">
        <f t="shared" si="11"/>
        <v>SURPLUS</v>
      </c>
    </row>
    <row r="149" spans="1:18" x14ac:dyDescent="0.25">
      <c r="A149" t="s">
        <v>277</v>
      </c>
      <c r="B149" t="s">
        <v>210</v>
      </c>
      <c r="C149" t="s">
        <v>211</v>
      </c>
      <c r="D149" t="s">
        <v>2</v>
      </c>
      <c r="E149">
        <v>108</v>
      </c>
      <c r="F149">
        <v>47</v>
      </c>
      <c r="G149">
        <v>77</v>
      </c>
      <c r="H149" s="2">
        <v>8746000</v>
      </c>
      <c r="I149" t="s">
        <v>69</v>
      </c>
      <c r="J149">
        <f>SUMIF('STOCK IN'!$C:$C, A149, 'STOCK IN'!$E:$E)</f>
        <v>106</v>
      </c>
      <c r="K149">
        <f>SUMIF('STOCK OUT'!$C:$C, A149, 'STOCK OUT'!$E:$E)</f>
        <v>60</v>
      </c>
      <c r="L149">
        <f t="shared" si="8"/>
        <v>154</v>
      </c>
      <c r="M149" t="str" cm="1">
        <f t="array" ref="M149">_xlfn.IFS(L149&lt;=0, "OUT OF STOCK", L149&lt;=F149, "REORDER", L149&lt;=G149, "LOW STOCK", TRUE, "IN STOCK")</f>
        <v>IN STOCK</v>
      </c>
      <c r="N149" s="2">
        <f t="shared" si="9"/>
        <v>1346884000</v>
      </c>
      <c r="O149">
        <v>156</v>
      </c>
      <c r="P149">
        <f t="shared" si="10"/>
        <v>2</v>
      </c>
      <c r="Q149" t="str">
        <f>_xlfn.XLOOKUP(A149, 'Item Master'!$B$3:$B$502, 'Item Master'!$G$3:$G$502,,0)</f>
        <v>PT Sentosa Distribusi</v>
      </c>
      <c r="R149" t="str">
        <f t="shared" si="11"/>
        <v>SURPLUS</v>
      </c>
    </row>
    <row r="150" spans="1:18" x14ac:dyDescent="0.25">
      <c r="A150" t="s">
        <v>278</v>
      </c>
      <c r="B150" t="s">
        <v>261</v>
      </c>
      <c r="C150" t="s">
        <v>211</v>
      </c>
      <c r="D150" t="s">
        <v>2</v>
      </c>
      <c r="E150">
        <v>161</v>
      </c>
      <c r="F150">
        <v>26</v>
      </c>
      <c r="G150">
        <v>40</v>
      </c>
      <c r="H150" s="2">
        <v>507000</v>
      </c>
      <c r="I150" t="s">
        <v>279</v>
      </c>
      <c r="J150">
        <f>SUMIF('STOCK IN'!$C:$C, A150, 'STOCK IN'!$E:$E)</f>
        <v>173</v>
      </c>
      <c r="K150">
        <f>SUMIF('STOCK OUT'!$C:$C, A150, 'STOCK OUT'!$E:$E)</f>
        <v>9</v>
      </c>
      <c r="L150">
        <f t="shared" si="8"/>
        <v>325</v>
      </c>
      <c r="M150" t="str" cm="1">
        <f t="array" ref="M150">_xlfn.IFS(L150&lt;=0, "OUT OF STOCK", L150&lt;=F150, "REORDER", L150&lt;=G150, "LOW STOCK", TRUE, "IN STOCK")</f>
        <v>IN STOCK</v>
      </c>
      <c r="N150" s="2">
        <f t="shared" si="9"/>
        <v>164775000</v>
      </c>
      <c r="O150">
        <v>324</v>
      </c>
      <c r="P150">
        <f t="shared" si="10"/>
        <v>-1</v>
      </c>
      <c r="Q150" t="str">
        <f>_xlfn.XLOOKUP(A150, 'Item Master'!$B$3:$B$502, 'Item Master'!$G$3:$G$502,,0)</f>
        <v>CV Karya Mandiri</v>
      </c>
      <c r="R150" t="str">
        <f t="shared" si="11"/>
        <v>MINUS</v>
      </c>
    </row>
    <row r="151" spans="1:18" x14ac:dyDescent="0.25">
      <c r="A151" t="s">
        <v>280</v>
      </c>
      <c r="B151" t="s">
        <v>210</v>
      </c>
      <c r="C151" t="s">
        <v>211</v>
      </c>
      <c r="D151" t="s">
        <v>2</v>
      </c>
      <c r="E151">
        <v>194</v>
      </c>
      <c r="F151">
        <v>14</v>
      </c>
      <c r="G151">
        <v>48</v>
      </c>
      <c r="H151" s="2">
        <v>2751000</v>
      </c>
      <c r="I151" t="s">
        <v>126</v>
      </c>
      <c r="J151">
        <f>SUMIF('STOCK IN'!$C:$C, A151, 'STOCK IN'!$E:$E)</f>
        <v>114</v>
      </c>
      <c r="K151">
        <f>SUMIF('STOCK OUT'!$C:$C, A151, 'STOCK OUT'!$E:$E)</f>
        <v>109</v>
      </c>
      <c r="L151">
        <f t="shared" si="8"/>
        <v>199</v>
      </c>
      <c r="M151" t="str" cm="1">
        <f t="array" ref="M151">_xlfn.IFS(L151&lt;=0, "OUT OF STOCK", L151&lt;=F151, "REORDER", L151&lt;=G151, "LOW STOCK", TRUE, "IN STOCK")</f>
        <v>IN STOCK</v>
      </c>
      <c r="N151" s="2">
        <f t="shared" si="9"/>
        <v>547449000</v>
      </c>
      <c r="O151">
        <v>196</v>
      </c>
      <c r="P151">
        <f t="shared" si="10"/>
        <v>-3</v>
      </c>
      <c r="Q151" t="str">
        <f>_xlfn.XLOOKUP(A151, 'Item Master'!$B$3:$B$502, 'Item Master'!$G$3:$G$502,,0)</f>
        <v>PT Sentosa Distribusi</v>
      </c>
      <c r="R151" t="str">
        <f t="shared" si="11"/>
        <v>MINUS</v>
      </c>
    </row>
    <row r="152" spans="1:18" x14ac:dyDescent="0.25">
      <c r="A152" t="s">
        <v>281</v>
      </c>
      <c r="B152" t="s">
        <v>216</v>
      </c>
      <c r="C152" t="s">
        <v>211</v>
      </c>
      <c r="D152" t="s">
        <v>2</v>
      </c>
      <c r="E152">
        <v>169</v>
      </c>
      <c r="F152">
        <v>49</v>
      </c>
      <c r="G152">
        <v>66</v>
      </c>
      <c r="H152" s="2">
        <v>646000</v>
      </c>
      <c r="I152" t="s">
        <v>166</v>
      </c>
      <c r="J152">
        <f>SUMIF('STOCK IN'!$C:$C, A152, 'STOCK IN'!$E:$E)</f>
        <v>100</v>
      </c>
      <c r="K152">
        <f>SUMIF('STOCK OUT'!$C:$C, A152, 'STOCK OUT'!$E:$E)</f>
        <v>95</v>
      </c>
      <c r="L152">
        <f t="shared" si="8"/>
        <v>174</v>
      </c>
      <c r="M152" t="str" cm="1">
        <f t="array" ref="M152">_xlfn.IFS(L152&lt;=0, "OUT OF STOCK", L152&lt;=F152, "REORDER", L152&lt;=G152, "LOW STOCK", TRUE, "IN STOCK")</f>
        <v>IN STOCK</v>
      </c>
      <c r="N152" s="2">
        <f t="shared" si="9"/>
        <v>112404000</v>
      </c>
      <c r="O152">
        <v>174</v>
      </c>
      <c r="P152">
        <f t="shared" si="10"/>
        <v>0</v>
      </c>
      <c r="Q152" t="str">
        <f>_xlfn.XLOOKUP(A152, 'Item Master'!$B$3:$B$502, 'Item Master'!$G$3:$G$502,,0)</f>
        <v>CV Mitra Perkasa</v>
      </c>
      <c r="R152" t="str">
        <f t="shared" si="11"/>
        <v>CONFORM</v>
      </c>
    </row>
    <row r="153" spans="1:18" x14ac:dyDescent="0.25">
      <c r="A153" t="s">
        <v>282</v>
      </c>
      <c r="B153" t="s">
        <v>213</v>
      </c>
      <c r="C153" t="s">
        <v>211</v>
      </c>
      <c r="D153" t="s">
        <v>2</v>
      </c>
      <c r="E153">
        <v>170</v>
      </c>
      <c r="F153">
        <v>50</v>
      </c>
      <c r="G153">
        <v>79</v>
      </c>
      <c r="H153" s="2">
        <v>3794000</v>
      </c>
      <c r="I153" t="s">
        <v>83</v>
      </c>
      <c r="J153">
        <f>SUMIF('STOCK IN'!$C:$C, A153, 'STOCK IN'!$E:$E)</f>
        <v>89</v>
      </c>
      <c r="K153">
        <f>SUMIF('STOCK OUT'!$C:$C, A153, 'STOCK OUT'!$E:$E)</f>
        <v>10</v>
      </c>
      <c r="L153">
        <f t="shared" si="8"/>
        <v>249</v>
      </c>
      <c r="M153" t="str" cm="1">
        <f t="array" ref="M153">_xlfn.IFS(L153&lt;=0, "OUT OF STOCK", L153&lt;=F153, "REORDER", L153&lt;=G153, "LOW STOCK", TRUE, "IN STOCK")</f>
        <v>IN STOCK</v>
      </c>
      <c r="N153" s="2">
        <f t="shared" si="9"/>
        <v>944706000</v>
      </c>
      <c r="O153">
        <v>247</v>
      </c>
      <c r="P153">
        <f t="shared" si="10"/>
        <v>-2</v>
      </c>
      <c r="Q153" t="str">
        <f>_xlfn.XLOOKUP(A153, 'Item Master'!$B$3:$B$502, 'Item Master'!$G$3:$G$502,,0)</f>
        <v>CV Karya Mandiri</v>
      </c>
      <c r="R153" t="str">
        <f t="shared" si="11"/>
        <v>MINUS</v>
      </c>
    </row>
    <row r="154" spans="1:18" x14ac:dyDescent="0.25">
      <c r="A154" t="s">
        <v>283</v>
      </c>
      <c r="B154" t="s">
        <v>234</v>
      </c>
      <c r="C154" t="s">
        <v>211</v>
      </c>
      <c r="D154" t="s">
        <v>2</v>
      </c>
      <c r="E154">
        <v>70</v>
      </c>
      <c r="F154">
        <v>45</v>
      </c>
      <c r="G154">
        <v>71</v>
      </c>
      <c r="H154" s="2">
        <v>490000</v>
      </c>
      <c r="I154" t="s">
        <v>59</v>
      </c>
      <c r="J154">
        <f>SUMIF('STOCK IN'!$C:$C, A154, 'STOCK IN'!$E:$E)</f>
        <v>70</v>
      </c>
      <c r="K154">
        <f>SUMIF('STOCK OUT'!$C:$C, A154, 'STOCK OUT'!$E:$E)</f>
        <v>75</v>
      </c>
      <c r="L154">
        <f t="shared" si="8"/>
        <v>65</v>
      </c>
      <c r="M154" t="str" cm="1">
        <f t="array" ref="M154">_xlfn.IFS(L154&lt;=0, "OUT OF STOCK", L154&lt;=F154, "REORDER", L154&lt;=G154, "LOW STOCK", TRUE, "IN STOCK")</f>
        <v>LOW STOCK</v>
      </c>
      <c r="N154" s="2">
        <f t="shared" si="9"/>
        <v>31850000</v>
      </c>
      <c r="O154">
        <v>67</v>
      </c>
      <c r="P154">
        <f t="shared" si="10"/>
        <v>2</v>
      </c>
      <c r="Q154" t="str">
        <f>_xlfn.XLOOKUP(A154, 'Item Master'!$B$3:$B$502, 'Item Master'!$G$3:$G$502,,0)</f>
        <v>PT Cipta Sarana Niaga</v>
      </c>
      <c r="R154" t="str">
        <f t="shared" si="11"/>
        <v>SURPLUS</v>
      </c>
    </row>
    <row r="155" spans="1:18" x14ac:dyDescent="0.25">
      <c r="A155" t="s">
        <v>284</v>
      </c>
      <c r="B155" t="s">
        <v>213</v>
      </c>
      <c r="C155" t="s">
        <v>211</v>
      </c>
      <c r="D155" t="s">
        <v>2</v>
      </c>
      <c r="E155">
        <v>204</v>
      </c>
      <c r="F155">
        <v>45</v>
      </c>
      <c r="G155">
        <v>72</v>
      </c>
      <c r="H155" s="2">
        <v>2006000</v>
      </c>
      <c r="I155" t="s">
        <v>108</v>
      </c>
      <c r="J155">
        <f>SUMIF('STOCK IN'!$C:$C, A155, 'STOCK IN'!$E:$E)</f>
        <v>251</v>
      </c>
      <c r="K155">
        <f>SUMIF('STOCK OUT'!$C:$C, A155, 'STOCK OUT'!$E:$E)</f>
        <v>91</v>
      </c>
      <c r="L155">
        <f t="shared" si="8"/>
        <v>364</v>
      </c>
      <c r="M155" t="str" cm="1">
        <f t="array" ref="M155">_xlfn.IFS(L155&lt;=0, "OUT OF STOCK", L155&lt;=F155, "REORDER", L155&lt;=G155, "LOW STOCK", TRUE, "IN STOCK")</f>
        <v>IN STOCK</v>
      </c>
      <c r="N155" s="2">
        <f t="shared" si="9"/>
        <v>730184000</v>
      </c>
      <c r="O155">
        <v>362</v>
      </c>
      <c r="P155">
        <f t="shared" si="10"/>
        <v>-2</v>
      </c>
      <c r="Q155" t="str">
        <f>_xlfn.XLOOKUP(A155, 'Item Master'!$B$3:$B$502, 'Item Master'!$G$3:$G$502,,0)</f>
        <v>CV Mitra Perkasa</v>
      </c>
      <c r="R155" t="str">
        <f t="shared" si="11"/>
        <v>MINUS</v>
      </c>
    </row>
    <row r="156" spans="1:18" x14ac:dyDescent="0.25">
      <c r="A156" t="s">
        <v>285</v>
      </c>
      <c r="B156" t="s">
        <v>216</v>
      </c>
      <c r="C156" t="s">
        <v>211</v>
      </c>
      <c r="D156" t="s">
        <v>2</v>
      </c>
      <c r="E156">
        <v>21</v>
      </c>
      <c r="F156">
        <v>25</v>
      </c>
      <c r="G156">
        <v>55</v>
      </c>
      <c r="H156" s="2">
        <v>329000</v>
      </c>
      <c r="I156" t="s">
        <v>42</v>
      </c>
      <c r="J156">
        <f>SUMIF('STOCK IN'!$C:$C, A156, 'STOCK IN'!$E:$E)</f>
        <v>200</v>
      </c>
      <c r="K156">
        <f>SUMIF('STOCK OUT'!$C:$C, A156, 'STOCK OUT'!$E:$E)</f>
        <v>28</v>
      </c>
      <c r="L156">
        <f t="shared" si="8"/>
        <v>193</v>
      </c>
      <c r="M156" t="str" cm="1">
        <f t="array" ref="M156">_xlfn.IFS(L156&lt;=0, "OUT OF STOCK", L156&lt;=F156, "REORDER", L156&lt;=G156, "LOW STOCK", TRUE, "IN STOCK")</f>
        <v>IN STOCK</v>
      </c>
      <c r="N156" s="2">
        <f t="shared" si="9"/>
        <v>63497000</v>
      </c>
      <c r="O156">
        <v>190</v>
      </c>
      <c r="P156">
        <f t="shared" si="10"/>
        <v>-3</v>
      </c>
      <c r="Q156" t="str">
        <f>_xlfn.XLOOKUP(A156, 'Item Master'!$B$3:$B$502, 'Item Master'!$G$3:$G$502,,0)</f>
        <v>PT Sumber Teknologi Nusantara</v>
      </c>
      <c r="R156" t="str">
        <f t="shared" si="11"/>
        <v>MINUS</v>
      </c>
    </row>
    <row r="157" spans="1:18" x14ac:dyDescent="0.25">
      <c r="A157" t="s">
        <v>286</v>
      </c>
      <c r="B157" t="s">
        <v>218</v>
      </c>
      <c r="C157" t="s">
        <v>211</v>
      </c>
      <c r="D157" t="s">
        <v>2</v>
      </c>
      <c r="E157">
        <v>47</v>
      </c>
      <c r="F157">
        <v>20</v>
      </c>
      <c r="G157">
        <v>41</v>
      </c>
      <c r="H157" s="2">
        <v>1732000</v>
      </c>
      <c r="I157" t="s">
        <v>287</v>
      </c>
      <c r="J157">
        <f>SUMIF('STOCK IN'!$C:$C, A157, 'STOCK IN'!$E:$E)</f>
        <v>105</v>
      </c>
      <c r="K157">
        <f>SUMIF('STOCK OUT'!$C:$C, A157, 'STOCK OUT'!$E:$E)</f>
        <v>101</v>
      </c>
      <c r="L157">
        <f t="shared" si="8"/>
        <v>51</v>
      </c>
      <c r="M157" t="str" cm="1">
        <f t="array" ref="M157">_xlfn.IFS(L157&lt;=0, "OUT OF STOCK", L157&lt;=F157, "REORDER", L157&lt;=G157, "LOW STOCK", TRUE, "IN STOCK")</f>
        <v>IN STOCK</v>
      </c>
      <c r="N157" s="2">
        <f t="shared" si="9"/>
        <v>88332000</v>
      </c>
      <c r="O157">
        <v>53</v>
      </c>
      <c r="P157">
        <f t="shared" si="10"/>
        <v>2</v>
      </c>
      <c r="Q157" t="str">
        <f>_xlfn.XLOOKUP(A157, 'Item Master'!$B$3:$B$502, 'Item Master'!$G$3:$G$502,,0)</f>
        <v>PT Global Office Supply</v>
      </c>
      <c r="R157" t="str">
        <f t="shared" si="11"/>
        <v>SURPLUS</v>
      </c>
    </row>
    <row r="158" spans="1:18" x14ac:dyDescent="0.25">
      <c r="A158" t="s">
        <v>288</v>
      </c>
      <c r="B158" t="s">
        <v>261</v>
      </c>
      <c r="C158" t="s">
        <v>211</v>
      </c>
      <c r="D158" t="s">
        <v>2</v>
      </c>
      <c r="E158">
        <v>30</v>
      </c>
      <c r="F158">
        <v>44</v>
      </c>
      <c r="G158">
        <v>61</v>
      </c>
      <c r="H158" s="2">
        <v>339000</v>
      </c>
      <c r="I158" t="s">
        <v>289</v>
      </c>
      <c r="J158">
        <f>SUMIF('STOCK IN'!$C:$C, A158, 'STOCK IN'!$E:$E)</f>
        <v>162</v>
      </c>
      <c r="K158">
        <f>SUMIF('STOCK OUT'!$C:$C, A158, 'STOCK OUT'!$E:$E)</f>
        <v>250</v>
      </c>
      <c r="L158">
        <f t="shared" si="8"/>
        <v>-58</v>
      </c>
      <c r="M158" t="str" cm="1">
        <f t="array" ref="M158">_xlfn.IFS(L158&lt;=0, "OUT OF STOCK", L158&lt;=F158, "REORDER", L158&lt;=G158, "LOW STOCK", TRUE, "IN STOCK")</f>
        <v>OUT OF STOCK</v>
      </c>
      <c r="N158" s="2">
        <f t="shared" si="9"/>
        <v>-19662000</v>
      </c>
      <c r="O158">
        <v>0</v>
      </c>
      <c r="P158">
        <f t="shared" si="10"/>
        <v>0</v>
      </c>
      <c r="Q158" t="str">
        <f>_xlfn.XLOOKUP(A158, 'Item Master'!$B$3:$B$502, 'Item Master'!$G$3:$G$502,,0)</f>
        <v>PT Solusi Komputer</v>
      </c>
      <c r="R158" t="str">
        <f t="shared" si="11"/>
        <v>CONFORM</v>
      </c>
    </row>
    <row r="159" spans="1:18" x14ac:dyDescent="0.25">
      <c r="A159" t="s">
        <v>290</v>
      </c>
      <c r="B159" t="s">
        <v>210</v>
      </c>
      <c r="C159" t="s">
        <v>211</v>
      </c>
      <c r="D159" t="s">
        <v>2</v>
      </c>
      <c r="E159">
        <v>46</v>
      </c>
      <c r="F159">
        <v>19</v>
      </c>
      <c r="G159">
        <v>38</v>
      </c>
      <c r="H159" s="2">
        <v>12054000</v>
      </c>
      <c r="I159" t="s">
        <v>124</v>
      </c>
      <c r="J159">
        <f>SUMIF('STOCK IN'!$C:$C, A159, 'STOCK IN'!$E:$E)</f>
        <v>9</v>
      </c>
      <c r="K159">
        <f>SUMIF('STOCK OUT'!$C:$C, A159, 'STOCK OUT'!$E:$E)</f>
        <v>228</v>
      </c>
      <c r="L159">
        <f t="shared" si="8"/>
        <v>-173</v>
      </c>
      <c r="M159" t="str" cm="1">
        <f t="array" ref="M159">_xlfn.IFS(L159&lt;=0, "OUT OF STOCK", L159&lt;=F159, "REORDER", L159&lt;=G159, "LOW STOCK", TRUE, "IN STOCK")</f>
        <v>OUT OF STOCK</v>
      </c>
      <c r="N159" s="2">
        <f t="shared" si="9"/>
        <v>-2085342000</v>
      </c>
      <c r="O159">
        <v>0</v>
      </c>
      <c r="P159">
        <f t="shared" si="10"/>
        <v>0</v>
      </c>
      <c r="Q159" t="str">
        <f>_xlfn.XLOOKUP(A159, 'Item Master'!$B$3:$B$502, 'Item Master'!$G$3:$G$502,,0)</f>
        <v>PT Cipta Sarana Niaga</v>
      </c>
      <c r="R159" t="str">
        <f t="shared" si="11"/>
        <v>CONFORM</v>
      </c>
    </row>
    <row r="160" spans="1:18" x14ac:dyDescent="0.25">
      <c r="A160" t="s">
        <v>291</v>
      </c>
      <c r="B160" t="s">
        <v>240</v>
      </c>
      <c r="C160" t="s">
        <v>211</v>
      </c>
      <c r="D160" t="s">
        <v>2</v>
      </c>
      <c r="E160">
        <v>240</v>
      </c>
      <c r="F160">
        <v>23</v>
      </c>
      <c r="G160">
        <v>60</v>
      </c>
      <c r="H160" s="2">
        <v>588000</v>
      </c>
      <c r="I160" t="s">
        <v>292</v>
      </c>
      <c r="J160">
        <f>SUMIF('STOCK IN'!$C:$C, A160, 'STOCK IN'!$E:$E)</f>
        <v>125</v>
      </c>
      <c r="K160">
        <f>SUMIF('STOCK OUT'!$C:$C, A160, 'STOCK OUT'!$E:$E)</f>
        <v>35</v>
      </c>
      <c r="L160">
        <f t="shared" si="8"/>
        <v>330</v>
      </c>
      <c r="M160" t="str" cm="1">
        <f t="array" ref="M160">_xlfn.IFS(L160&lt;=0, "OUT OF STOCK", L160&lt;=F160, "REORDER", L160&lt;=G160, "LOW STOCK", TRUE, "IN STOCK")</f>
        <v>IN STOCK</v>
      </c>
      <c r="N160" s="2">
        <f t="shared" si="9"/>
        <v>194040000</v>
      </c>
      <c r="O160">
        <v>333</v>
      </c>
      <c r="P160">
        <f t="shared" si="10"/>
        <v>3</v>
      </c>
      <c r="Q160" t="str">
        <f>_xlfn.XLOOKUP(A160, 'Item Master'!$B$3:$B$502, 'Item Master'!$G$3:$G$502,,0)</f>
        <v>PT Indo Elektrik</v>
      </c>
      <c r="R160" t="str">
        <f t="shared" si="11"/>
        <v>SURPLUS</v>
      </c>
    </row>
    <row r="161" spans="1:18" x14ac:dyDescent="0.25">
      <c r="A161" t="s">
        <v>293</v>
      </c>
      <c r="B161" t="s">
        <v>210</v>
      </c>
      <c r="C161" t="s">
        <v>211</v>
      </c>
      <c r="D161" t="s">
        <v>2</v>
      </c>
      <c r="E161">
        <v>160</v>
      </c>
      <c r="F161">
        <v>24</v>
      </c>
      <c r="G161">
        <v>49</v>
      </c>
      <c r="H161" s="2">
        <v>8161000</v>
      </c>
      <c r="I161" t="s">
        <v>294</v>
      </c>
      <c r="J161">
        <f>SUMIF('STOCK IN'!$C:$C, A161, 'STOCK IN'!$E:$E)</f>
        <v>79</v>
      </c>
      <c r="K161">
        <f>SUMIF('STOCK OUT'!$C:$C, A161, 'STOCK OUT'!$E:$E)</f>
        <v>126</v>
      </c>
      <c r="L161">
        <f t="shared" si="8"/>
        <v>113</v>
      </c>
      <c r="M161" t="str" cm="1">
        <f t="array" ref="M161">_xlfn.IFS(L161&lt;=0, "OUT OF STOCK", L161&lt;=F161, "REORDER", L161&lt;=G161, "LOW STOCK", TRUE, "IN STOCK")</f>
        <v>IN STOCK</v>
      </c>
      <c r="N161" s="2">
        <f t="shared" si="9"/>
        <v>922193000</v>
      </c>
      <c r="O161">
        <v>115</v>
      </c>
      <c r="P161">
        <f t="shared" si="10"/>
        <v>2</v>
      </c>
      <c r="Q161" t="str">
        <f>_xlfn.XLOOKUP(A161, 'Item Master'!$B$3:$B$502, 'Item Master'!$G$3:$G$502,,0)</f>
        <v>PT Global Office Supply</v>
      </c>
      <c r="R161" t="str">
        <f t="shared" si="11"/>
        <v>SURPLUS</v>
      </c>
    </row>
    <row r="162" spans="1:18" x14ac:dyDescent="0.25">
      <c r="A162" t="s">
        <v>295</v>
      </c>
      <c r="B162" t="s">
        <v>210</v>
      </c>
      <c r="C162" t="s">
        <v>211</v>
      </c>
      <c r="D162" t="s">
        <v>2</v>
      </c>
      <c r="E162">
        <v>60</v>
      </c>
      <c r="F162">
        <v>29</v>
      </c>
      <c r="G162">
        <v>49</v>
      </c>
      <c r="H162" s="2">
        <v>7449000</v>
      </c>
      <c r="I162" t="s">
        <v>140</v>
      </c>
      <c r="J162">
        <f>SUMIF('STOCK IN'!$C:$C, A162, 'STOCK IN'!$E:$E)</f>
        <v>29</v>
      </c>
      <c r="K162">
        <f>SUMIF('STOCK OUT'!$C:$C, A162, 'STOCK OUT'!$E:$E)</f>
        <v>48</v>
      </c>
      <c r="L162">
        <f t="shared" si="8"/>
        <v>41</v>
      </c>
      <c r="M162" t="str" cm="1">
        <f t="array" ref="M162">_xlfn.IFS(L162&lt;=0, "OUT OF STOCK", L162&lt;=F162, "REORDER", L162&lt;=G162, "LOW STOCK", TRUE, "IN STOCK")</f>
        <v>LOW STOCK</v>
      </c>
      <c r="N162" s="2">
        <f t="shared" si="9"/>
        <v>305409000</v>
      </c>
      <c r="O162">
        <v>39</v>
      </c>
      <c r="P162">
        <f t="shared" si="10"/>
        <v>-2</v>
      </c>
      <c r="Q162" t="str">
        <f>_xlfn.XLOOKUP(A162, 'Item Master'!$B$3:$B$502, 'Item Master'!$G$3:$G$502,,0)</f>
        <v>CV Mitra Perkasa</v>
      </c>
      <c r="R162" t="str">
        <f t="shared" si="11"/>
        <v>MINUS</v>
      </c>
    </row>
    <row r="163" spans="1:18" x14ac:dyDescent="0.25">
      <c r="A163" t="s">
        <v>296</v>
      </c>
      <c r="B163" t="s">
        <v>234</v>
      </c>
      <c r="C163" t="s">
        <v>211</v>
      </c>
      <c r="D163" t="s">
        <v>2</v>
      </c>
      <c r="E163">
        <v>157</v>
      </c>
      <c r="F163">
        <v>23</v>
      </c>
      <c r="G163">
        <v>50</v>
      </c>
      <c r="H163" s="2">
        <v>1085000</v>
      </c>
      <c r="I163" t="s">
        <v>297</v>
      </c>
      <c r="J163">
        <f>SUMIF('STOCK IN'!$C:$C, A163, 'STOCK IN'!$E:$E)</f>
        <v>140</v>
      </c>
      <c r="K163">
        <f>SUMIF('STOCK OUT'!$C:$C, A163, 'STOCK OUT'!$E:$E)</f>
        <v>191</v>
      </c>
      <c r="L163">
        <f t="shared" si="8"/>
        <v>106</v>
      </c>
      <c r="M163" t="str" cm="1">
        <f t="array" ref="M163">_xlfn.IFS(L163&lt;=0, "OUT OF STOCK", L163&lt;=F163, "REORDER", L163&lt;=G163, "LOW STOCK", TRUE, "IN STOCK")</f>
        <v>IN STOCK</v>
      </c>
      <c r="N163" s="2">
        <f t="shared" si="9"/>
        <v>115010000</v>
      </c>
      <c r="O163">
        <v>106</v>
      </c>
      <c r="P163">
        <f t="shared" si="10"/>
        <v>0</v>
      </c>
      <c r="Q163" t="str">
        <f>_xlfn.XLOOKUP(A163, 'Item Master'!$B$3:$B$502, 'Item Master'!$G$3:$G$502,,0)</f>
        <v>PT Cipta Sarana Niaga</v>
      </c>
      <c r="R163" t="str">
        <f t="shared" si="11"/>
        <v>CONFORM</v>
      </c>
    </row>
    <row r="164" spans="1:18" x14ac:dyDescent="0.25">
      <c r="A164" t="s">
        <v>298</v>
      </c>
      <c r="B164" t="s">
        <v>216</v>
      </c>
      <c r="C164" t="s">
        <v>211</v>
      </c>
      <c r="D164" t="s">
        <v>2</v>
      </c>
      <c r="E164">
        <v>154</v>
      </c>
      <c r="F164">
        <v>48</v>
      </c>
      <c r="G164">
        <v>77</v>
      </c>
      <c r="H164" s="2">
        <v>308000</v>
      </c>
      <c r="I164" t="s">
        <v>161</v>
      </c>
      <c r="J164">
        <f>SUMIF('STOCK IN'!$C:$C, A164, 'STOCK IN'!$E:$E)</f>
        <v>110</v>
      </c>
      <c r="K164">
        <f>SUMIF('STOCK OUT'!$C:$C, A164, 'STOCK OUT'!$E:$E)</f>
        <v>59</v>
      </c>
      <c r="L164">
        <f t="shared" si="8"/>
        <v>205</v>
      </c>
      <c r="M164" t="str" cm="1">
        <f t="array" ref="M164">_xlfn.IFS(L164&lt;=0, "OUT OF STOCK", L164&lt;=F164, "REORDER", L164&lt;=G164, "LOW STOCK", TRUE, "IN STOCK")</f>
        <v>IN STOCK</v>
      </c>
      <c r="N164" s="2">
        <f t="shared" si="9"/>
        <v>63140000</v>
      </c>
      <c r="O164">
        <v>206</v>
      </c>
      <c r="P164">
        <f t="shared" si="10"/>
        <v>1</v>
      </c>
      <c r="Q164" t="str">
        <f>_xlfn.XLOOKUP(A164, 'Item Master'!$B$3:$B$502, 'Item Master'!$G$3:$G$502,,0)</f>
        <v>PT Sumber Teknologi Nusantara</v>
      </c>
      <c r="R164" t="str">
        <f t="shared" si="11"/>
        <v>SURPLUS</v>
      </c>
    </row>
    <row r="165" spans="1:18" x14ac:dyDescent="0.25">
      <c r="A165" t="s">
        <v>299</v>
      </c>
      <c r="B165" t="s">
        <v>216</v>
      </c>
      <c r="C165" t="s">
        <v>211</v>
      </c>
      <c r="D165" t="s">
        <v>2</v>
      </c>
      <c r="E165">
        <v>165</v>
      </c>
      <c r="F165">
        <v>27</v>
      </c>
      <c r="G165">
        <v>41</v>
      </c>
      <c r="H165" s="2">
        <v>535000</v>
      </c>
      <c r="I165" t="s">
        <v>155</v>
      </c>
      <c r="J165">
        <f>SUMIF('STOCK IN'!$C:$C, A165, 'STOCK IN'!$E:$E)</f>
        <v>171</v>
      </c>
      <c r="K165">
        <f>SUMIF('STOCK OUT'!$C:$C, A165, 'STOCK OUT'!$E:$E)</f>
        <v>123</v>
      </c>
      <c r="L165">
        <f t="shared" si="8"/>
        <v>213</v>
      </c>
      <c r="M165" t="str" cm="1">
        <f t="array" ref="M165">_xlfn.IFS(L165&lt;=0, "OUT OF STOCK", L165&lt;=F165, "REORDER", L165&lt;=G165, "LOW STOCK", TRUE, "IN STOCK")</f>
        <v>IN STOCK</v>
      </c>
      <c r="N165" s="2">
        <f t="shared" si="9"/>
        <v>113955000</v>
      </c>
      <c r="O165">
        <v>213</v>
      </c>
      <c r="P165">
        <f t="shared" si="10"/>
        <v>0</v>
      </c>
      <c r="Q165" t="str">
        <f>_xlfn.XLOOKUP(A165, 'Item Master'!$B$3:$B$502, 'Item Master'!$G$3:$G$502,,0)</f>
        <v>CV Prima Logistik</v>
      </c>
      <c r="R165" t="str">
        <f t="shared" si="11"/>
        <v>CONFORM</v>
      </c>
    </row>
    <row r="166" spans="1:18" x14ac:dyDescent="0.25">
      <c r="A166" t="s">
        <v>300</v>
      </c>
      <c r="B166" t="s">
        <v>261</v>
      </c>
      <c r="C166" t="s">
        <v>211</v>
      </c>
      <c r="D166" t="s">
        <v>2</v>
      </c>
      <c r="E166">
        <v>241</v>
      </c>
      <c r="F166">
        <v>45</v>
      </c>
      <c r="G166">
        <v>70</v>
      </c>
      <c r="H166" s="2">
        <v>299000</v>
      </c>
      <c r="I166" t="s">
        <v>201</v>
      </c>
      <c r="J166">
        <f>SUMIF('STOCK IN'!$C:$C, A166, 'STOCK IN'!$E:$E)</f>
        <v>43</v>
      </c>
      <c r="K166">
        <f>SUMIF('STOCK OUT'!$C:$C, A166, 'STOCK OUT'!$E:$E)</f>
        <v>95</v>
      </c>
      <c r="L166">
        <f t="shared" si="8"/>
        <v>189</v>
      </c>
      <c r="M166" t="str" cm="1">
        <f t="array" ref="M166">_xlfn.IFS(L166&lt;=0, "OUT OF STOCK", L166&lt;=F166, "REORDER", L166&lt;=G166, "LOW STOCK", TRUE, "IN STOCK")</f>
        <v>IN STOCK</v>
      </c>
      <c r="N166" s="2">
        <f t="shared" si="9"/>
        <v>56511000</v>
      </c>
      <c r="O166">
        <v>191</v>
      </c>
      <c r="P166">
        <f t="shared" si="10"/>
        <v>2</v>
      </c>
      <c r="Q166" t="str">
        <f>_xlfn.XLOOKUP(A166, 'Item Master'!$B$3:$B$502, 'Item Master'!$G$3:$G$502,,0)</f>
        <v>PT Sumber Teknologi Nusantara</v>
      </c>
      <c r="R166" t="str">
        <f t="shared" si="11"/>
        <v>SURPLUS</v>
      </c>
    </row>
    <row r="167" spans="1:18" x14ac:dyDescent="0.25">
      <c r="A167" t="s">
        <v>301</v>
      </c>
      <c r="B167" t="s">
        <v>240</v>
      </c>
      <c r="C167" t="s">
        <v>211</v>
      </c>
      <c r="D167" t="s">
        <v>2</v>
      </c>
      <c r="E167">
        <v>103</v>
      </c>
      <c r="F167">
        <v>13</v>
      </c>
      <c r="G167">
        <v>25</v>
      </c>
      <c r="H167" s="2">
        <v>646000</v>
      </c>
      <c r="I167" t="s">
        <v>259</v>
      </c>
      <c r="J167">
        <f>SUMIF('STOCK IN'!$C:$C, A167, 'STOCK IN'!$E:$E)</f>
        <v>204</v>
      </c>
      <c r="K167">
        <f>SUMIF('STOCK OUT'!$C:$C, A167, 'STOCK OUT'!$E:$E)</f>
        <v>168</v>
      </c>
      <c r="L167">
        <f t="shared" si="8"/>
        <v>139</v>
      </c>
      <c r="M167" t="str" cm="1">
        <f t="array" ref="M167">_xlfn.IFS(L167&lt;=0, "OUT OF STOCK", L167&lt;=F167, "REORDER", L167&lt;=G167, "LOW STOCK", TRUE, "IN STOCK")</f>
        <v>IN STOCK</v>
      </c>
      <c r="N167" s="2">
        <f t="shared" si="9"/>
        <v>89794000</v>
      </c>
      <c r="O167">
        <v>142</v>
      </c>
      <c r="P167">
        <f t="shared" si="10"/>
        <v>3</v>
      </c>
      <c r="Q167" t="str">
        <f>_xlfn.XLOOKUP(A167, 'Item Master'!$B$3:$B$502, 'Item Master'!$G$3:$G$502,,0)</f>
        <v>PT Cipta Sarana Niaga</v>
      </c>
      <c r="R167" t="str">
        <f t="shared" si="11"/>
        <v>SURPLUS</v>
      </c>
    </row>
    <row r="168" spans="1:18" x14ac:dyDescent="0.25">
      <c r="A168" t="s">
        <v>302</v>
      </c>
      <c r="B168" t="s">
        <v>261</v>
      </c>
      <c r="C168" t="s">
        <v>211</v>
      </c>
      <c r="D168" t="s">
        <v>2</v>
      </c>
      <c r="E168">
        <v>43</v>
      </c>
      <c r="F168">
        <v>39</v>
      </c>
      <c r="G168">
        <v>55</v>
      </c>
      <c r="H168" s="2">
        <v>352000</v>
      </c>
      <c r="I168" t="s">
        <v>133</v>
      </c>
      <c r="J168">
        <f>SUMIF('STOCK IN'!$C:$C, A168, 'STOCK IN'!$E:$E)</f>
        <v>63</v>
      </c>
      <c r="K168">
        <f>SUMIF('STOCK OUT'!$C:$C, A168, 'STOCK OUT'!$E:$E)</f>
        <v>227</v>
      </c>
      <c r="L168">
        <f t="shared" si="8"/>
        <v>-121</v>
      </c>
      <c r="M168" t="str" cm="1">
        <f t="array" ref="M168">_xlfn.IFS(L168&lt;=0, "OUT OF STOCK", L168&lt;=F168, "REORDER", L168&lt;=G168, "LOW STOCK", TRUE, "IN STOCK")</f>
        <v>OUT OF STOCK</v>
      </c>
      <c r="N168" s="2">
        <f t="shared" si="9"/>
        <v>-42592000</v>
      </c>
      <c r="O168">
        <v>0</v>
      </c>
      <c r="P168">
        <f t="shared" si="10"/>
        <v>0</v>
      </c>
      <c r="Q168" t="str">
        <f>_xlfn.XLOOKUP(A168, 'Item Master'!$B$3:$B$502, 'Item Master'!$G$3:$G$502,,0)</f>
        <v>PT Indo Elektrik</v>
      </c>
      <c r="R168" t="str">
        <f t="shared" si="11"/>
        <v>CONFORM</v>
      </c>
    </row>
    <row r="169" spans="1:18" x14ac:dyDescent="0.25">
      <c r="A169" t="s">
        <v>303</v>
      </c>
      <c r="B169" t="s">
        <v>261</v>
      </c>
      <c r="C169" t="s">
        <v>211</v>
      </c>
      <c r="D169" t="s">
        <v>2</v>
      </c>
      <c r="E169">
        <v>243</v>
      </c>
      <c r="F169">
        <v>35</v>
      </c>
      <c r="G169">
        <v>65</v>
      </c>
      <c r="H169" s="2">
        <v>381000</v>
      </c>
      <c r="I169" t="s">
        <v>67</v>
      </c>
      <c r="J169">
        <f>SUMIF('STOCK IN'!$C:$C, A169, 'STOCK IN'!$E:$E)</f>
        <v>97</v>
      </c>
      <c r="K169">
        <f>SUMIF('STOCK OUT'!$C:$C, A169, 'STOCK OUT'!$E:$E)</f>
        <v>197</v>
      </c>
      <c r="L169">
        <f t="shared" si="8"/>
        <v>143</v>
      </c>
      <c r="M169" t="str" cm="1">
        <f t="array" ref="M169">_xlfn.IFS(L169&lt;=0, "OUT OF STOCK", L169&lt;=F169, "REORDER", L169&lt;=G169, "LOW STOCK", TRUE, "IN STOCK")</f>
        <v>IN STOCK</v>
      </c>
      <c r="N169" s="2">
        <f t="shared" si="9"/>
        <v>54483000</v>
      </c>
      <c r="O169">
        <v>145</v>
      </c>
      <c r="P169">
        <f t="shared" si="10"/>
        <v>2</v>
      </c>
      <c r="Q169" t="str">
        <f>_xlfn.XLOOKUP(A169, 'Item Master'!$B$3:$B$502, 'Item Master'!$G$3:$G$502,,0)</f>
        <v>PT Cipta Sarana Niaga</v>
      </c>
      <c r="R169" t="str">
        <f t="shared" si="11"/>
        <v>SURPLUS</v>
      </c>
    </row>
    <row r="170" spans="1:18" x14ac:dyDescent="0.25">
      <c r="A170" t="s">
        <v>304</v>
      </c>
      <c r="B170" t="s">
        <v>227</v>
      </c>
      <c r="C170" t="s">
        <v>211</v>
      </c>
      <c r="D170" t="s">
        <v>2</v>
      </c>
      <c r="E170">
        <v>29</v>
      </c>
      <c r="F170">
        <v>14</v>
      </c>
      <c r="G170">
        <v>43</v>
      </c>
      <c r="H170" s="2">
        <v>1029000</v>
      </c>
      <c r="I170" t="s">
        <v>305</v>
      </c>
      <c r="J170">
        <f>SUMIF('STOCK IN'!$C:$C, A170, 'STOCK IN'!$E:$E)</f>
        <v>175</v>
      </c>
      <c r="K170">
        <f>SUMIF('STOCK OUT'!$C:$C, A170, 'STOCK OUT'!$E:$E)</f>
        <v>96</v>
      </c>
      <c r="L170">
        <f t="shared" si="8"/>
        <v>108</v>
      </c>
      <c r="M170" t="str" cm="1">
        <f t="array" ref="M170">_xlfn.IFS(L170&lt;=0, "OUT OF STOCK", L170&lt;=F170, "REORDER", L170&lt;=G170, "LOW STOCK", TRUE, "IN STOCK")</f>
        <v>IN STOCK</v>
      </c>
      <c r="N170" s="2">
        <f t="shared" si="9"/>
        <v>111132000</v>
      </c>
      <c r="O170">
        <v>105</v>
      </c>
      <c r="P170">
        <f t="shared" si="10"/>
        <v>-3</v>
      </c>
      <c r="Q170" t="str">
        <f>_xlfn.XLOOKUP(A170, 'Item Master'!$B$3:$B$502, 'Item Master'!$G$3:$G$502,,0)</f>
        <v>CV Prima Logistik</v>
      </c>
      <c r="R170" t="str">
        <f t="shared" si="11"/>
        <v>MINUS</v>
      </c>
    </row>
    <row r="171" spans="1:18" x14ac:dyDescent="0.25">
      <c r="A171" t="s">
        <v>306</v>
      </c>
      <c r="B171" t="s">
        <v>223</v>
      </c>
      <c r="C171" t="s">
        <v>211</v>
      </c>
      <c r="D171" t="s">
        <v>2</v>
      </c>
      <c r="E171">
        <v>33</v>
      </c>
      <c r="F171">
        <v>30</v>
      </c>
      <c r="G171">
        <v>35</v>
      </c>
      <c r="H171" s="2">
        <v>554000</v>
      </c>
      <c r="I171" t="s">
        <v>274</v>
      </c>
      <c r="J171">
        <f>SUMIF('STOCK IN'!$C:$C, A171, 'STOCK IN'!$E:$E)</f>
        <v>20</v>
      </c>
      <c r="K171">
        <f>SUMIF('STOCK OUT'!$C:$C, A171, 'STOCK OUT'!$E:$E)</f>
        <v>181</v>
      </c>
      <c r="L171">
        <f t="shared" si="8"/>
        <v>-128</v>
      </c>
      <c r="M171" t="str" cm="1">
        <f t="array" ref="M171">_xlfn.IFS(L171&lt;=0, "OUT OF STOCK", L171&lt;=F171, "REORDER", L171&lt;=G171, "LOW STOCK", TRUE, "IN STOCK")</f>
        <v>OUT OF STOCK</v>
      </c>
      <c r="N171" s="2">
        <f t="shared" si="9"/>
        <v>-70912000</v>
      </c>
      <c r="O171">
        <v>0</v>
      </c>
      <c r="P171">
        <f t="shared" si="10"/>
        <v>0</v>
      </c>
      <c r="Q171" t="str">
        <f>_xlfn.XLOOKUP(A171, 'Item Master'!$B$3:$B$502, 'Item Master'!$G$3:$G$502,,0)</f>
        <v>PT Cipta Sarana Niaga</v>
      </c>
      <c r="R171" t="str">
        <f t="shared" si="11"/>
        <v>CONFORM</v>
      </c>
    </row>
    <row r="172" spans="1:18" x14ac:dyDescent="0.25">
      <c r="A172" t="s">
        <v>307</v>
      </c>
      <c r="B172" t="s">
        <v>210</v>
      </c>
      <c r="C172" t="s">
        <v>211</v>
      </c>
      <c r="D172" t="s">
        <v>2</v>
      </c>
      <c r="E172">
        <v>182</v>
      </c>
      <c r="F172">
        <v>48</v>
      </c>
      <c r="G172">
        <v>61</v>
      </c>
      <c r="H172" s="2">
        <v>8538000</v>
      </c>
      <c r="I172" t="s">
        <v>57</v>
      </c>
      <c r="J172">
        <f>SUMIF('STOCK IN'!$C:$C, A172, 'STOCK IN'!$E:$E)</f>
        <v>243</v>
      </c>
      <c r="K172">
        <f>SUMIF('STOCK OUT'!$C:$C, A172, 'STOCK OUT'!$E:$E)</f>
        <v>189</v>
      </c>
      <c r="L172">
        <f t="shared" si="8"/>
        <v>236</v>
      </c>
      <c r="M172" t="str" cm="1">
        <f t="array" ref="M172">_xlfn.IFS(L172&lt;=0, "OUT OF STOCK", L172&lt;=F172, "REORDER", L172&lt;=G172, "LOW STOCK", TRUE, "IN STOCK")</f>
        <v>IN STOCK</v>
      </c>
      <c r="N172" s="2">
        <f t="shared" si="9"/>
        <v>2014968000</v>
      </c>
      <c r="O172">
        <v>234</v>
      </c>
      <c r="P172">
        <f t="shared" si="10"/>
        <v>-2</v>
      </c>
      <c r="Q172" t="str">
        <f>_xlfn.XLOOKUP(A172, 'Item Master'!$B$3:$B$502, 'Item Master'!$G$3:$G$502,,0)</f>
        <v>PT Solusi Komputer</v>
      </c>
      <c r="R172" t="str">
        <f t="shared" si="11"/>
        <v>MINUS</v>
      </c>
    </row>
    <row r="173" spans="1:18" x14ac:dyDescent="0.25">
      <c r="A173" t="s">
        <v>308</v>
      </c>
      <c r="B173" t="s">
        <v>227</v>
      </c>
      <c r="C173" t="s">
        <v>211</v>
      </c>
      <c r="D173" t="s">
        <v>2</v>
      </c>
      <c r="E173">
        <v>130</v>
      </c>
      <c r="F173">
        <v>6</v>
      </c>
      <c r="G173">
        <v>32</v>
      </c>
      <c r="H173" s="2">
        <v>789000</v>
      </c>
      <c r="I173" t="s">
        <v>259</v>
      </c>
      <c r="J173">
        <f>SUMIF('STOCK IN'!$C:$C, A173, 'STOCK IN'!$E:$E)</f>
        <v>219</v>
      </c>
      <c r="K173">
        <f>SUMIF('STOCK OUT'!$C:$C, A173, 'STOCK OUT'!$E:$E)</f>
        <v>119</v>
      </c>
      <c r="L173">
        <f t="shared" si="8"/>
        <v>230</v>
      </c>
      <c r="M173" t="str" cm="1">
        <f t="array" ref="M173">_xlfn.IFS(L173&lt;=0, "OUT OF STOCK", L173&lt;=F173, "REORDER", L173&lt;=G173, "LOW STOCK", TRUE, "IN STOCK")</f>
        <v>IN STOCK</v>
      </c>
      <c r="N173" s="2">
        <f t="shared" si="9"/>
        <v>181470000</v>
      </c>
      <c r="O173">
        <v>232</v>
      </c>
      <c r="P173">
        <f t="shared" si="10"/>
        <v>2</v>
      </c>
      <c r="Q173" t="str">
        <f>_xlfn.XLOOKUP(A173, 'Item Master'!$B$3:$B$502, 'Item Master'!$G$3:$G$502,,0)</f>
        <v>PT Indo Elektrik</v>
      </c>
      <c r="R173" t="str">
        <f t="shared" si="11"/>
        <v>SURPLUS</v>
      </c>
    </row>
    <row r="174" spans="1:18" x14ac:dyDescent="0.25">
      <c r="A174" t="s">
        <v>309</v>
      </c>
      <c r="B174" t="s">
        <v>225</v>
      </c>
      <c r="C174" t="s">
        <v>211</v>
      </c>
      <c r="D174" t="s">
        <v>2</v>
      </c>
      <c r="E174">
        <v>26</v>
      </c>
      <c r="F174">
        <v>45</v>
      </c>
      <c r="G174">
        <v>64</v>
      </c>
      <c r="H174" s="2">
        <v>781000</v>
      </c>
      <c r="I174" t="s">
        <v>310</v>
      </c>
      <c r="J174">
        <f>SUMIF('STOCK IN'!$C:$C, A174, 'STOCK IN'!$E:$E)</f>
        <v>86</v>
      </c>
      <c r="K174">
        <f>SUMIF('STOCK OUT'!$C:$C, A174, 'STOCK OUT'!$E:$E)</f>
        <v>250</v>
      </c>
      <c r="L174">
        <f t="shared" si="8"/>
        <v>-138</v>
      </c>
      <c r="M174" t="str" cm="1">
        <f t="array" ref="M174">_xlfn.IFS(L174&lt;=0, "OUT OF STOCK", L174&lt;=F174, "REORDER", L174&lt;=G174, "LOW STOCK", TRUE, "IN STOCK")</f>
        <v>OUT OF STOCK</v>
      </c>
      <c r="N174" s="2">
        <f t="shared" si="9"/>
        <v>-107778000</v>
      </c>
      <c r="O174">
        <v>0</v>
      </c>
      <c r="P174">
        <f t="shared" si="10"/>
        <v>0</v>
      </c>
      <c r="Q174" t="str">
        <f>_xlfn.XLOOKUP(A174, 'Item Master'!$B$3:$B$502, 'Item Master'!$G$3:$G$502,,0)</f>
        <v>PT Cipta Sarana Niaga</v>
      </c>
      <c r="R174" t="str">
        <f t="shared" si="11"/>
        <v>CONFORM</v>
      </c>
    </row>
    <row r="175" spans="1:18" x14ac:dyDescent="0.25">
      <c r="A175" t="s">
        <v>311</v>
      </c>
      <c r="B175" t="s">
        <v>227</v>
      </c>
      <c r="C175" t="s">
        <v>211</v>
      </c>
      <c r="D175" t="s">
        <v>2</v>
      </c>
      <c r="E175">
        <v>21</v>
      </c>
      <c r="F175">
        <v>7</v>
      </c>
      <c r="G175">
        <v>21</v>
      </c>
      <c r="H175" s="2">
        <v>693000</v>
      </c>
      <c r="I175" t="s">
        <v>312</v>
      </c>
      <c r="J175">
        <f>SUMIF('STOCK IN'!$C:$C, A175, 'STOCK IN'!$E:$E)</f>
        <v>102</v>
      </c>
      <c r="K175">
        <f>SUMIF('STOCK OUT'!$C:$C, A175, 'STOCK OUT'!$E:$E)</f>
        <v>156</v>
      </c>
      <c r="L175">
        <f t="shared" si="8"/>
        <v>-33</v>
      </c>
      <c r="M175" t="str" cm="1">
        <f t="array" ref="M175">_xlfn.IFS(L175&lt;=0, "OUT OF STOCK", L175&lt;=F175, "REORDER", L175&lt;=G175, "LOW STOCK", TRUE, "IN STOCK")</f>
        <v>OUT OF STOCK</v>
      </c>
      <c r="N175" s="2">
        <f t="shared" si="9"/>
        <v>-22869000</v>
      </c>
      <c r="O175">
        <v>0</v>
      </c>
      <c r="P175">
        <f t="shared" si="10"/>
        <v>0</v>
      </c>
      <c r="Q175" t="str">
        <f>_xlfn.XLOOKUP(A175, 'Item Master'!$B$3:$B$502, 'Item Master'!$G$3:$G$502,,0)</f>
        <v>CV Karya Mandiri</v>
      </c>
      <c r="R175" t="str">
        <f t="shared" si="11"/>
        <v>CONFORM</v>
      </c>
    </row>
    <row r="176" spans="1:18" x14ac:dyDescent="0.25">
      <c r="A176" t="s">
        <v>313</v>
      </c>
      <c r="B176" t="s">
        <v>225</v>
      </c>
      <c r="C176" t="s">
        <v>211</v>
      </c>
      <c r="D176" t="s">
        <v>2</v>
      </c>
      <c r="E176">
        <v>147</v>
      </c>
      <c r="F176">
        <v>13</v>
      </c>
      <c r="G176">
        <v>36</v>
      </c>
      <c r="H176" s="2">
        <v>904000</v>
      </c>
      <c r="I176" t="s">
        <v>314</v>
      </c>
      <c r="J176">
        <f>SUMIF('STOCK IN'!$C:$C, A176, 'STOCK IN'!$E:$E)</f>
        <v>214</v>
      </c>
      <c r="K176">
        <f>SUMIF('STOCK OUT'!$C:$C, A176, 'STOCK OUT'!$E:$E)</f>
        <v>215</v>
      </c>
      <c r="L176">
        <f t="shared" si="8"/>
        <v>146</v>
      </c>
      <c r="M176" t="str" cm="1">
        <f t="array" ref="M176">_xlfn.IFS(L176&lt;=0, "OUT OF STOCK", L176&lt;=F176, "REORDER", L176&lt;=G176, "LOW STOCK", TRUE, "IN STOCK")</f>
        <v>IN STOCK</v>
      </c>
      <c r="N176" s="2">
        <f t="shared" si="9"/>
        <v>131984000</v>
      </c>
      <c r="O176">
        <v>146</v>
      </c>
      <c r="P176">
        <f t="shared" si="10"/>
        <v>0</v>
      </c>
      <c r="Q176" t="str">
        <f>_xlfn.XLOOKUP(A176, 'Item Master'!$B$3:$B$502, 'Item Master'!$G$3:$G$502,,0)</f>
        <v>CV Karya Mandiri</v>
      </c>
      <c r="R176" t="str">
        <f t="shared" si="11"/>
        <v>CONFORM</v>
      </c>
    </row>
    <row r="177" spans="1:18" x14ac:dyDescent="0.25">
      <c r="A177" t="s">
        <v>315</v>
      </c>
      <c r="B177" t="s">
        <v>213</v>
      </c>
      <c r="C177" t="s">
        <v>211</v>
      </c>
      <c r="D177" t="s">
        <v>2</v>
      </c>
      <c r="E177">
        <v>200</v>
      </c>
      <c r="F177">
        <v>14</v>
      </c>
      <c r="G177">
        <v>50</v>
      </c>
      <c r="H177" s="2">
        <v>6011000</v>
      </c>
      <c r="I177" t="s">
        <v>189</v>
      </c>
      <c r="J177">
        <f>SUMIF('STOCK IN'!$C:$C, A177, 'STOCK IN'!$E:$E)</f>
        <v>201</v>
      </c>
      <c r="K177">
        <f>SUMIF('STOCK OUT'!$C:$C, A177, 'STOCK OUT'!$E:$E)</f>
        <v>99</v>
      </c>
      <c r="L177">
        <f t="shared" si="8"/>
        <v>302</v>
      </c>
      <c r="M177" t="str" cm="1">
        <f t="array" ref="M177">_xlfn.IFS(L177&lt;=0, "OUT OF STOCK", L177&lt;=F177, "REORDER", L177&lt;=G177, "LOW STOCK", TRUE, "IN STOCK")</f>
        <v>IN STOCK</v>
      </c>
      <c r="N177" s="2">
        <f t="shared" si="9"/>
        <v>1815322000</v>
      </c>
      <c r="O177">
        <v>305</v>
      </c>
      <c r="P177">
        <f t="shared" si="10"/>
        <v>3</v>
      </c>
      <c r="Q177" t="str">
        <f>_xlfn.XLOOKUP(A177, 'Item Master'!$B$3:$B$502, 'Item Master'!$G$3:$G$502,,0)</f>
        <v>CV Mitra Perkasa</v>
      </c>
      <c r="R177" t="str">
        <f t="shared" si="11"/>
        <v>SURPLUS</v>
      </c>
    </row>
    <row r="178" spans="1:18" x14ac:dyDescent="0.25">
      <c r="A178" t="s">
        <v>316</v>
      </c>
      <c r="B178" t="s">
        <v>213</v>
      </c>
      <c r="C178" t="s">
        <v>211</v>
      </c>
      <c r="D178" t="s">
        <v>2</v>
      </c>
      <c r="E178">
        <v>18</v>
      </c>
      <c r="F178">
        <v>49</v>
      </c>
      <c r="G178">
        <v>65</v>
      </c>
      <c r="H178" s="2">
        <v>3491000</v>
      </c>
      <c r="I178" t="s">
        <v>108</v>
      </c>
      <c r="J178">
        <f>SUMIF('STOCK IN'!$C:$C, A178, 'STOCK IN'!$E:$E)</f>
        <v>99</v>
      </c>
      <c r="K178">
        <f>SUMIF('STOCK OUT'!$C:$C, A178, 'STOCK OUT'!$E:$E)</f>
        <v>72</v>
      </c>
      <c r="L178">
        <f t="shared" si="8"/>
        <v>45</v>
      </c>
      <c r="M178" t="str" cm="1">
        <f t="array" ref="M178">_xlfn.IFS(L178&lt;=0, "OUT OF STOCK", L178&lt;=F178, "REORDER", L178&lt;=G178, "LOW STOCK", TRUE, "IN STOCK")</f>
        <v>REORDER</v>
      </c>
      <c r="N178" s="2">
        <f t="shared" si="9"/>
        <v>157095000</v>
      </c>
      <c r="O178">
        <v>42</v>
      </c>
      <c r="P178">
        <f t="shared" si="10"/>
        <v>-3</v>
      </c>
      <c r="Q178" t="str">
        <f>_xlfn.XLOOKUP(A178, 'Item Master'!$B$3:$B$502, 'Item Master'!$G$3:$G$502,,0)</f>
        <v>CV Prima Logistik</v>
      </c>
      <c r="R178" t="str">
        <f t="shared" si="11"/>
        <v>MINUS</v>
      </c>
    </row>
    <row r="179" spans="1:18" x14ac:dyDescent="0.25">
      <c r="A179" t="s">
        <v>317</v>
      </c>
      <c r="B179" t="s">
        <v>225</v>
      </c>
      <c r="C179" t="s">
        <v>211</v>
      </c>
      <c r="D179" t="s">
        <v>2</v>
      </c>
      <c r="E179">
        <v>102</v>
      </c>
      <c r="F179">
        <v>11</v>
      </c>
      <c r="G179">
        <v>37</v>
      </c>
      <c r="H179" s="2">
        <v>887000</v>
      </c>
      <c r="I179" t="s">
        <v>83</v>
      </c>
      <c r="J179">
        <f>SUMIF('STOCK IN'!$C:$C, A179, 'STOCK IN'!$E:$E)</f>
        <v>96</v>
      </c>
      <c r="K179">
        <f>SUMIF('STOCK OUT'!$C:$C, A179, 'STOCK OUT'!$E:$E)</f>
        <v>112</v>
      </c>
      <c r="L179">
        <f t="shared" si="8"/>
        <v>86</v>
      </c>
      <c r="M179" t="str" cm="1">
        <f t="array" ref="M179">_xlfn.IFS(L179&lt;=0, "OUT OF STOCK", L179&lt;=F179, "REORDER", L179&lt;=G179, "LOW STOCK", TRUE, "IN STOCK")</f>
        <v>IN STOCK</v>
      </c>
      <c r="N179" s="2">
        <f t="shared" si="9"/>
        <v>76282000</v>
      </c>
      <c r="O179">
        <v>85</v>
      </c>
      <c r="P179">
        <f t="shared" si="10"/>
        <v>-1</v>
      </c>
      <c r="Q179" t="str">
        <f>_xlfn.XLOOKUP(A179, 'Item Master'!$B$3:$B$502, 'Item Master'!$G$3:$G$502,,0)</f>
        <v>CV Berkah Jaya</v>
      </c>
      <c r="R179" t="str">
        <f t="shared" si="11"/>
        <v>MINUS</v>
      </c>
    </row>
    <row r="180" spans="1:18" x14ac:dyDescent="0.25">
      <c r="A180" t="s">
        <v>318</v>
      </c>
      <c r="B180" t="s">
        <v>240</v>
      </c>
      <c r="C180" t="s">
        <v>211</v>
      </c>
      <c r="D180" t="s">
        <v>2</v>
      </c>
      <c r="E180">
        <v>80</v>
      </c>
      <c r="F180">
        <v>17</v>
      </c>
      <c r="G180">
        <v>25</v>
      </c>
      <c r="H180" s="2">
        <v>553000</v>
      </c>
      <c r="I180" t="s">
        <v>24</v>
      </c>
      <c r="J180">
        <f>SUMIF('STOCK IN'!$C:$C, A180, 'STOCK IN'!$E:$E)</f>
        <v>350</v>
      </c>
      <c r="K180">
        <f>SUMIF('STOCK OUT'!$C:$C, A180, 'STOCK OUT'!$E:$E)</f>
        <v>64</v>
      </c>
      <c r="L180">
        <f t="shared" si="8"/>
        <v>366</v>
      </c>
      <c r="M180" t="str" cm="1">
        <f t="array" ref="M180">_xlfn.IFS(L180&lt;=0, "OUT OF STOCK", L180&lt;=F180, "REORDER", L180&lt;=G180, "LOW STOCK", TRUE, "IN STOCK")</f>
        <v>IN STOCK</v>
      </c>
      <c r="N180" s="2">
        <f t="shared" si="9"/>
        <v>202398000</v>
      </c>
      <c r="O180">
        <v>368</v>
      </c>
      <c r="P180">
        <f t="shared" si="10"/>
        <v>2</v>
      </c>
      <c r="Q180" t="str">
        <f>_xlfn.XLOOKUP(A180, 'Item Master'!$B$3:$B$502, 'Item Master'!$G$3:$G$502,,0)</f>
        <v>CV Karya Mandiri</v>
      </c>
      <c r="R180" t="str">
        <f t="shared" si="11"/>
        <v>SURPLUS</v>
      </c>
    </row>
    <row r="181" spans="1:18" x14ac:dyDescent="0.25">
      <c r="A181" t="s">
        <v>319</v>
      </c>
      <c r="B181" t="s">
        <v>234</v>
      </c>
      <c r="C181" t="s">
        <v>211</v>
      </c>
      <c r="D181" t="s">
        <v>2</v>
      </c>
      <c r="E181">
        <v>22</v>
      </c>
      <c r="F181">
        <v>26</v>
      </c>
      <c r="G181">
        <v>38</v>
      </c>
      <c r="H181" s="2">
        <v>393000</v>
      </c>
      <c r="I181" t="s">
        <v>287</v>
      </c>
      <c r="J181">
        <f>SUMIF('STOCK IN'!$C:$C, A181, 'STOCK IN'!$E:$E)</f>
        <v>134</v>
      </c>
      <c r="K181">
        <f>SUMIF('STOCK OUT'!$C:$C, A181, 'STOCK OUT'!$E:$E)</f>
        <v>115</v>
      </c>
      <c r="L181">
        <f t="shared" si="8"/>
        <v>41</v>
      </c>
      <c r="M181" t="str" cm="1">
        <f t="array" ref="M181">_xlfn.IFS(L181&lt;=0, "OUT OF STOCK", L181&lt;=F181, "REORDER", L181&lt;=G181, "LOW STOCK", TRUE, "IN STOCK")</f>
        <v>IN STOCK</v>
      </c>
      <c r="N181" s="2">
        <f t="shared" si="9"/>
        <v>16113000</v>
      </c>
      <c r="O181">
        <v>41</v>
      </c>
      <c r="P181">
        <f t="shared" si="10"/>
        <v>0</v>
      </c>
      <c r="Q181" t="str">
        <f>_xlfn.XLOOKUP(A181, 'Item Master'!$B$3:$B$502, 'Item Master'!$G$3:$G$502,,0)</f>
        <v>PT Sentosa Distribusi</v>
      </c>
      <c r="R181" t="str">
        <f t="shared" si="11"/>
        <v>CONFORM</v>
      </c>
    </row>
    <row r="182" spans="1:18" x14ac:dyDescent="0.25">
      <c r="A182" t="s">
        <v>320</v>
      </c>
      <c r="B182" t="s">
        <v>227</v>
      </c>
      <c r="C182" t="s">
        <v>211</v>
      </c>
      <c r="D182" t="s">
        <v>2</v>
      </c>
      <c r="E182">
        <v>160</v>
      </c>
      <c r="F182">
        <v>18</v>
      </c>
      <c r="G182">
        <v>40</v>
      </c>
      <c r="H182" s="2">
        <v>762000</v>
      </c>
      <c r="I182" t="s">
        <v>171</v>
      </c>
      <c r="J182">
        <f>SUMIF('STOCK IN'!$C:$C, A182, 'STOCK IN'!$E:$E)</f>
        <v>198</v>
      </c>
      <c r="K182">
        <f>SUMIF('STOCK OUT'!$C:$C, A182, 'STOCK OUT'!$E:$E)</f>
        <v>90</v>
      </c>
      <c r="L182">
        <f t="shared" si="8"/>
        <v>268</v>
      </c>
      <c r="M182" t="str" cm="1">
        <f t="array" ref="M182">_xlfn.IFS(L182&lt;=0, "OUT OF STOCK", L182&lt;=F182, "REORDER", L182&lt;=G182, "LOW STOCK", TRUE, "IN STOCK")</f>
        <v>IN STOCK</v>
      </c>
      <c r="N182" s="2">
        <f t="shared" si="9"/>
        <v>204216000</v>
      </c>
      <c r="O182">
        <v>266</v>
      </c>
      <c r="P182">
        <f t="shared" si="10"/>
        <v>-2</v>
      </c>
      <c r="Q182" t="str">
        <f>_xlfn.XLOOKUP(A182, 'Item Master'!$B$3:$B$502, 'Item Master'!$G$3:$G$502,,0)</f>
        <v>CV Berkah Jaya</v>
      </c>
      <c r="R182" t="str">
        <f t="shared" si="11"/>
        <v>MINUS</v>
      </c>
    </row>
    <row r="183" spans="1:18" x14ac:dyDescent="0.25">
      <c r="A183" t="s">
        <v>321</v>
      </c>
      <c r="B183" t="s">
        <v>234</v>
      </c>
      <c r="C183" t="s">
        <v>211</v>
      </c>
      <c r="D183" t="s">
        <v>2</v>
      </c>
      <c r="E183">
        <v>80</v>
      </c>
      <c r="F183">
        <v>14</v>
      </c>
      <c r="G183">
        <v>23</v>
      </c>
      <c r="H183" s="2">
        <v>355000</v>
      </c>
      <c r="I183" t="s">
        <v>230</v>
      </c>
      <c r="J183">
        <f>SUMIF('STOCK IN'!$C:$C, A183, 'STOCK IN'!$E:$E)</f>
        <v>179</v>
      </c>
      <c r="K183">
        <f>SUMIF('STOCK OUT'!$C:$C, A183, 'STOCK OUT'!$E:$E)</f>
        <v>29</v>
      </c>
      <c r="L183">
        <f t="shared" si="8"/>
        <v>230</v>
      </c>
      <c r="M183" t="str" cm="1">
        <f t="array" ref="M183">_xlfn.IFS(L183&lt;=0, "OUT OF STOCK", L183&lt;=F183, "REORDER", L183&lt;=G183, "LOW STOCK", TRUE, "IN STOCK")</f>
        <v>IN STOCK</v>
      </c>
      <c r="N183" s="2">
        <f t="shared" si="9"/>
        <v>81650000</v>
      </c>
      <c r="O183">
        <v>230</v>
      </c>
      <c r="P183">
        <f t="shared" si="10"/>
        <v>0</v>
      </c>
      <c r="Q183" t="str">
        <f>_xlfn.XLOOKUP(A183, 'Item Master'!$B$3:$B$502, 'Item Master'!$G$3:$G$502,,0)</f>
        <v>PT Indo Elektrik</v>
      </c>
      <c r="R183" t="str">
        <f t="shared" si="11"/>
        <v>CONFORM</v>
      </c>
    </row>
    <row r="184" spans="1:18" x14ac:dyDescent="0.25">
      <c r="A184" t="s">
        <v>322</v>
      </c>
      <c r="B184" t="s">
        <v>227</v>
      </c>
      <c r="C184" t="s">
        <v>211</v>
      </c>
      <c r="D184" t="s">
        <v>2</v>
      </c>
      <c r="E184">
        <v>43</v>
      </c>
      <c r="F184">
        <v>5</v>
      </c>
      <c r="G184">
        <v>21</v>
      </c>
      <c r="H184" s="2">
        <v>576000</v>
      </c>
      <c r="I184" t="s">
        <v>95</v>
      </c>
      <c r="J184">
        <f>SUMIF('STOCK IN'!$C:$C, A184, 'STOCK IN'!$E:$E)</f>
        <v>131</v>
      </c>
      <c r="K184">
        <f>SUMIF('STOCK OUT'!$C:$C, A184, 'STOCK OUT'!$E:$E)</f>
        <v>156</v>
      </c>
      <c r="L184">
        <f t="shared" si="8"/>
        <v>18</v>
      </c>
      <c r="M184" t="str" cm="1">
        <f t="array" ref="M184">_xlfn.IFS(L184&lt;=0, "OUT OF STOCK", L184&lt;=F184, "REORDER", L184&lt;=G184, "LOW STOCK", TRUE, "IN STOCK")</f>
        <v>LOW STOCK</v>
      </c>
      <c r="N184" s="2">
        <f t="shared" si="9"/>
        <v>10368000</v>
      </c>
      <c r="O184">
        <v>21</v>
      </c>
      <c r="P184">
        <f t="shared" si="10"/>
        <v>3</v>
      </c>
      <c r="Q184" t="str">
        <f>_xlfn.XLOOKUP(A184, 'Item Master'!$B$3:$B$502, 'Item Master'!$G$3:$G$502,,0)</f>
        <v>CV Prima Logistik</v>
      </c>
      <c r="R184" t="str">
        <f t="shared" si="11"/>
        <v>SURPLUS</v>
      </c>
    </row>
    <row r="185" spans="1:18" x14ac:dyDescent="0.25">
      <c r="A185" t="s">
        <v>323</v>
      </c>
      <c r="B185" t="s">
        <v>240</v>
      </c>
      <c r="C185" t="s">
        <v>211</v>
      </c>
      <c r="D185" t="s">
        <v>2</v>
      </c>
      <c r="E185">
        <v>77</v>
      </c>
      <c r="F185">
        <v>8</v>
      </c>
      <c r="G185">
        <v>19</v>
      </c>
      <c r="H185" s="2">
        <v>439000</v>
      </c>
      <c r="I185" t="s">
        <v>324</v>
      </c>
      <c r="J185">
        <f>SUMIF('STOCK IN'!$C:$C, A185, 'STOCK IN'!$E:$E)</f>
        <v>102</v>
      </c>
      <c r="K185">
        <f>SUMIF('STOCK OUT'!$C:$C, A185, 'STOCK OUT'!$E:$E)</f>
        <v>55</v>
      </c>
      <c r="L185">
        <f t="shared" si="8"/>
        <v>124</v>
      </c>
      <c r="M185" t="str" cm="1">
        <f t="array" ref="M185">_xlfn.IFS(L185&lt;=0, "OUT OF STOCK", L185&lt;=F185, "REORDER", L185&lt;=G185, "LOW STOCK", TRUE, "IN STOCK")</f>
        <v>IN STOCK</v>
      </c>
      <c r="N185" s="2">
        <f t="shared" si="9"/>
        <v>54436000</v>
      </c>
      <c r="O185">
        <v>124</v>
      </c>
      <c r="P185">
        <f t="shared" si="10"/>
        <v>0</v>
      </c>
      <c r="Q185" t="str">
        <f>_xlfn.XLOOKUP(A185, 'Item Master'!$B$3:$B$502, 'Item Master'!$G$3:$G$502,,0)</f>
        <v>PT Global Office Supply</v>
      </c>
      <c r="R185" t="str">
        <f t="shared" si="11"/>
        <v>CONFORM</v>
      </c>
    </row>
    <row r="186" spans="1:18" x14ac:dyDescent="0.25">
      <c r="A186" t="s">
        <v>325</v>
      </c>
      <c r="B186" t="s">
        <v>227</v>
      </c>
      <c r="C186" t="s">
        <v>211</v>
      </c>
      <c r="D186" t="s">
        <v>2</v>
      </c>
      <c r="E186">
        <v>124</v>
      </c>
      <c r="F186">
        <v>28</v>
      </c>
      <c r="G186">
        <v>49</v>
      </c>
      <c r="H186" s="2">
        <v>1037000</v>
      </c>
      <c r="I186" t="s">
        <v>34</v>
      </c>
      <c r="J186">
        <f>SUMIF('STOCK IN'!$C:$C, A186, 'STOCK IN'!$E:$E)</f>
        <v>242</v>
      </c>
      <c r="K186">
        <f>SUMIF('STOCK OUT'!$C:$C, A186, 'STOCK OUT'!$E:$E)</f>
        <v>21</v>
      </c>
      <c r="L186">
        <f t="shared" si="8"/>
        <v>345</v>
      </c>
      <c r="M186" t="str" cm="1">
        <f t="array" ref="M186">_xlfn.IFS(L186&lt;=0, "OUT OF STOCK", L186&lt;=F186, "REORDER", L186&lt;=G186, "LOW STOCK", TRUE, "IN STOCK")</f>
        <v>IN STOCK</v>
      </c>
      <c r="N186" s="2">
        <f t="shared" si="9"/>
        <v>357765000</v>
      </c>
      <c r="O186">
        <v>347</v>
      </c>
      <c r="P186">
        <f t="shared" si="10"/>
        <v>2</v>
      </c>
      <c r="Q186" t="str">
        <f>_xlfn.XLOOKUP(A186, 'Item Master'!$B$3:$B$502, 'Item Master'!$G$3:$G$502,,0)</f>
        <v>PT Solusi Komputer</v>
      </c>
      <c r="R186" t="str">
        <f t="shared" si="11"/>
        <v>SURPLUS</v>
      </c>
    </row>
    <row r="187" spans="1:18" x14ac:dyDescent="0.25">
      <c r="A187" t="s">
        <v>326</v>
      </c>
      <c r="B187" t="s">
        <v>223</v>
      </c>
      <c r="C187" t="s">
        <v>211</v>
      </c>
      <c r="D187" t="s">
        <v>2</v>
      </c>
      <c r="E187">
        <v>167</v>
      </c>
      <c r="F187">
        <v>7</v>
      </c>
      <c r="G187">
        <v>41</v>
      </c>
      <c r="H187" s="2">
        <v>406000</v>
      </c>
      <c r="I187" t="s">
        <v>327</v>
      </c>
      <c r="J187">
        <f>SUMIF('STOCK IN'!$C:$C, A187, 'STOCK IN'!$E:$E)</f>
        <v>48</v>
      </c>
      <c r="K187">
        <f>SUMIF('STOCK OUT'!$C:$C, A187, 'STOCK OUT'!$E:$E)</f>
        <v>235</v>
      </c>
      <c r="L187">
        <f t="shared" si="8"/>
        <v>-20</v>
      </c>
      <c r="M187" t="str" cm="1">
        <f t="array" ref="M187">_xlfn.IFS(L187&lt;=0, "OUT OF STOCK", L187&lt;=F187, "REORDER", L187&lt;=G187, "LOW STOCK", TRUE, "IN STOCK")</f>
        <v>OUT OF STOCK</v>
      </c>
      <c r="N187" s="2">
        <f t="shared" si="9"/>
        <v>-8120000</v>
      </c>
      <c r="O187">
        <v>0</v>
      </c>
      <c r="P187">
        <f t="shared" si="10"/>
        <v>0</v>
      </c>
      <c r="Q187" t="str">
        <f>_xlfn.XLOOKUP(A187, 'Item Master'!$B$3:$B$502, 'Item Master'!$G$3:$G$502,,0)</f>
        <v>PT Indo Elektrik</v>
      </c>
      <c r="R187" t="str">
        <f t="shared" si="11"/>
        <v>CONFORM</v>
      </c>
    </row>
    <row r="188" spans="1:18" x14ac:dyDescent="0.25">
      <c r="A188" t="s">
        <v>328</v>
      </c>
      <c r="B188" t="s">
        <v>240</v>
      </c>
      <c r="C188" t="s">
        <v>211</v>
      </c>
      <c r="D188" t="s">
        <v>2</v>
      </c>
      <c r="E188">
        <v>132</v>
      </c>
      <c r="F188">
        <v>30</v>
      </c>
      <c r="G188">
        <v>48</v>
      </c>
      <c r="H188" s="2">
        <v>381000</v>
      </c>
      <c r="I188" t="s">
        <v>189</v>
      </c>
      <c r="J188">
        <f>SUMIF('STOCK IN'!$C:$C, A188, 'STOCK IN'!$E:$E)</f>
        <v>144</v>
      </c>
      <c r="K188">
        <f>SUMIF('STOCK OUT'!$C:$C, A188, 'STOCK OUT'!$E:$E)</f>
        <v>64</v>
      </c>
      <c r="L188">
        <f t="shared" si="8"/>
        <v>212</v>
      </c>
      <c r="M188" t="str" cm="1">
        <f t="array" ref="M188">_xlfn.IFS(L188&lt;=0, "OUT OF STOCK", L188&lt;=F188, "REORDER", L188&lt;=G188, "LOW STOCK", TRUE, "IN STOCK")</f>
        <v>IN STOCK</v>
      </c>
      <c r="N188" s="2">
        <f t="shared" si="9"/>
        <v>80772000</v>
      </c>
      <c r="O188">
        <v>213</v>
      </c>
      <c r="P188">
        <f t="shared" si="10"/>
        <v>1</v>
      </c>
      <c r="Q188" t="str">
        <f>_xlfn.XLOOKUP(A188, 'Item Master'!$B$3:$B$502, 'Item Master'!$G$3:$G$502,,0)</f>
        <v>CV Mitra Perkasa</v>
      </c>
      <c r="R188" t="str">
        <f t="shared" si="11"/>
        <v>SURPLUS</v>
      </c>
    </row>
    <row r="189" spans="1:18" x14ac:dyDescent="0.25">
      <c r="A189" t="s">
        <v>329</v>
      </c>
      <c r="B189" t="s">
        <v>227</v>
      </c>
      <c r="C189" t="s">
        <v>211</v>
      </c>
      <c r="D189" t="s">
        <v>2</v>
      </c>
      <c r="E189">
        <v>92</v>
      </c>
      <c r="F189">
        <v>43</v>
      </c>
      <c r="G189">
        <v>52</v>
      </c>
      <c r="H189" s="2">
        <v>632000</v>
      </c>
      <c r="I189" t="s">
        <v>330</v>
      </c>
      <c r="J189">
        <f>SUMIF('STOCK IN'!$C:$C, A189, 'STOCK IN'!$E:$E)</f>
        <v>38</v>
      </c>
      <c r="K189">
        <f>SUMIF('STOCK OUT'!$C:$C, A189, 'STOCK OUT'!$E:$E)</f>
        <v>220</v>
      </c>
      <c r="L189">
        <f t="shared" si="8"/>
        <v>-90</v>
      </c>
      <c r="M189" t="str" cm="1">
        <f t="array" ref="M189">_xlfn.IFS(L189&lt;=0, "OUT OF STOCK", L189&lt;=F189, "REORDER", L189&lt;=G189, "LOW STOCK", TRUE, "IN STOCK")</f>
        <v>OUT OF STOCK</v>
      </c>
      <c r="N189" s="2">
        <f t="shared" si="9"/>
        <v>-56880000</v>
      </c>
      <c r="O189">
        <v>0</v>
      </c>
      <c r="P189">
        <f t="shared" si="10"/>
        <v>0</v>
      </c>
      <c r="Q189" t="str">
        <f>_xlfn.XLOOKUP(A189, 'Item Master'!$B$3:$B$502, 'Item Master'!$G$3:$G$502,,0)</f>
        <v>CV Mitra Perkasa</v>
      </c>
      <c r="R189" t="str">
        <f t="shared" si="11"/>
        <v>CONFORM</v>
      </c>
    </row>
    <row r="190" spans="1:18" x14ac:dyDescent="0.25">
      <c r="A190" t="s">
        <v>331</v>
      </c>
      <c r="B190" t="s">
        <v>234</v>
      </c>
      <c r="C190" t="s">
        <v>211</v>
      </c>
      <c r="D190" t="s">
        <v>2</v>
      </c>
      <c r="E190">
        <v>159</v>
      </c>
      <c r="F190">
        <v>40</v>
      </c>
      <c r="G190">
        <v>67</v>
      </c>
      <c r="H190" s="2">
        <v>1646000</v>
      </c>
      <c r="I190" t="s">
        <v>57</v>
      </c>
      <c r="J190">
        <f>SUMIF('STOCK IN'!$C:$C, A190, 'STOCK IN'!$E:$E)</f>
        <v>228</v>
      </c>
      <c r="K190">
        <f>SUMIF('STOCK OUT'!$C:$C, A190, 'STOCK OUT'!$E:$E)</f>
        <v>49</v>
      </c>
      <c r="L190">
        <f t="shared" si="8"/>
        <v>338</v>
      </c>
      <c r="M190" t="str" cm="1">
        <f t="array" ref="M190">_xlfn.IFS(L190&lt;=0, "OUT OF STOCK", L190&lt;=F190, "REORDER", L190&lt;=G190, "LOW STOCK", TRUE, "IN STOCK")</f>
        <v>IN STOCK</v>
      </c>
      <c r="N190" s="2">
        <f t="shared" si="9"/>
        <v>556348000</v>
      </c>
      <c r="O190">
        <v>337</v>
      </c>
      <c r="P190">
        <f t="shared" si="10"/>
        <v>-1</v>
      </c>
      <c r="Q190" t="str">
        <f>_xlfn.XLOOKUP(A190, 'Item Master'!$B$3:$B$502, 'Item Master'!$G$3:$G$502,,0)</f>
        <v>CV Berkah Jaya</v>
      </c>
      <c r="R190" t="str">
        <f t="shared" si="11"/>
        <v>MINUS</v>
      </c>
    </row>
    <row r="191" spans="1:18" x14ac:dyDescent="0.25">
      <c r="A191" t="s">
        <v>332</v>
      </c>
      <c r="B191" t="s">
        <v>223</v>
      </c>
      <c r="C191" t="s">
        <v>211</v>
      </c>
      <c r="D191" t="s">
        <v>2</v>
      </c>
      <c r="E191">
        <v>126</v>
      </c>
      <c r="F191">
        <v>37</v>
      </c>
      <c r="G191">
        <v>61</v>
      </c>
      <c r="H191" s="2">
        <v>481000</v>
      </c>
      <c r="I191" t="s">
        <v>279</v>
      </c>
      <c r="J191">
        <f>SUMIF('STOCK IN'!$C:$C, A191, 'STOCK IN'!$E:$E)</f>
        <v>213</v>
      </c>
      <c r="K191">
        <f>SUMIF('STOCK OUT'!$C:$C, A191, 'STOCK OUT'!$E:$E)</f>
        <v>40</v>
      </c>
      <c r="L191">
        <f t="shared" si="8"/>
        <v>299</v>
      </c>
      <c r="M191" t="str" cm="1">
        <f t="array" ref="M191">_xlfn.IFS(L191&lt;=0, "OUT OF STOCK", L191&lt;=F191, "REORDER", L191&lt;=G191, "LOW STOCK", TRUE, "IN STOCK")</f>
        <v>IN STOCK</v>
      </c>
      <c r="N191" s="2">
        <f t="shared" si="9"/>
        <v>143819000</v>
      </c>
      <c r="O191">
        <v>298</v>
      </c>
      <c r="P191">
        <f t="shared" si="10"/>
        <v>-1</v>
      </c>
      <c r="Q191" t="str">
        <f>_xlfn.XLOOKUP(A191, 'Item Master'!$B$3:$B$502, 'Item Master'!$G$3:$G$502,,0)</f>
        <v>PT Global Office Supply</v>
      </c>
      <c r="R191" t="str">
        <f t="shared" si="11"/>
        <v>MINUS</v>
      </c>
    </row>
    <row r="192" spans="1:18" x14ac:dyDescent="0.25">
      <c r="A192" t="s">
        <v>333</v>
      </c>
      <c r="B192" t="s">
        <v>223</v>
      </c>
      <c r="C192" t="s">
        <v>211</v>
      </c>
      <c r="D192" t="s">
        <v>2</v>
      </c>
      <c r="E192">
        <v>231</v>
      </c>
      <c r="F192">
        <v>18</v>
      </c>
      <c r="G192">
        <v>57</v>
      </c>
      <c r="H192" s="2">
        <v>918000</v>
      </c>
      <c r="I192" t="s">
        <v>59</v>
      </c>
      <c r="J192">
        <f>SUMIF('STOCK IN'!$C:$C, A192, 'STOCK IN'!$E:$E)</f>
        <v>104</v>
      </c>
      <c r="K192">
        <f>SUMIF('STOCK OUT'!$C:$C, A192, 'STOCK OUT'!$E:$E)</f>
        <v>66</v>
      </c>
      <c r="L192">
        <f t="shared" si="8"/>
        <v>269</v>
      </c>
      <c r="M192" t="str" cm="1">
        <f t="array" ref="M192">_xlfn.IFS(L192&lt;=0, "OUT OF STOCK", L192&lt;=F192, "REORDER", L192&lt;=G192, "LOW STOCK", TRUE, "IN STOCK")</f>
        <v>IN STOCK</v>
      </c>
      <c r="N192" s="2">
        <f t="shared" si="9"/>
        <v>246942000</v>
      </c>
      <c r="O192">
        <v>269</v>
      </c>
      <c r="P192">
        <f t="shared" si="10"/>
        <v>0</v>
      </c>
      <c r="Q192" t="str">
        <f>_xlfn.XLOOKUP(A192, 'Item Master'!$B$3:$B$502, 'Item Master'!$G$3:$G$502,,0)</f>
        <v>CV Karya Mandiri</v>
      </c>
      <c r="R192" t="str">
        <f t="shared" si="11"/>
        <v>CONFORM</v>
      </c>
    </row>
    <row r="193" spans="1:18" x14ac:dyDescent="0.25">
      <c r="A193" t="s">
        <v>334</v>
      </c>
      <c r="B193" t="s">
        <v>218</v>
      </c>
      <c r="C193" t="s">
        <v>211</v>
      </c>
      <c r="D193" t="s">
        <v>2</v>
      </c>
      <c r="E193">
        <v>126</v>
      </c>
      <c r="F193">
        <v>30</v>
      </c>
      <c r="G193">
        <v>48</v>
      </c>
      <c r="H193" s="2">
        <v>2544000</v>
      </c>
      <c r="I193" t="s">
        <v>181</v>
      </c>
      <c r="J193">
        <f>SUMIF('STOCK IN'!$C:$C, A193, 'STOCK IN'!$E:$E)</f>
        <v>198</v>
      </c>
      <c r="K193">
        <f>SUMIF('STOCK OUT'!$C:$C, A193, 'STOCK OUT'!$E:$E)</f>
        <v>54</v>
      </c>
      <c r="L193">
        <f t="shared" si="8"/>
        <v>270</v>
      </c>
      <c r="M193" t="str" cm="1">
        <f t="array" ref="M193">_xlfn.IFS(L193&lt;=0, "OUT OF STOCK", L193&lt;=F193, "REORDER", L193&lt;=G193, "LOW STOCK", TRUE, "IN STOCK")</f>
        <v>IN STOCK</v>
      </c>
      <c r="N193" s="2">
        <f t="shared" si="9"/>
        <v>686880000</v>
      </c>
      <c r="O193">
        <v>270</v>
      </c>
      <c r="P193">
        <f t="shared" si="10"/>
        <v>0</v>
      </c>
      <c r="Q193" t="str">
        <f>_xlfn.XLOOKUP(A193, 'Item Master'!$B$3:$B$502, 'Item Master'!$G$3:$G$502,,0)</f>
        <v>CV Mitra Perkasa</v>
      </c>
      <c r="R193" t="str">
        <f t="shared" si="11"/>
        <v>CONFORM</v>
      </c>
    </row>
    <row r="194" spans="1:18" x14ac:dyDescent="0.25">
      <c r="A194" t="s">
        <v>335</v>
      </c>
      <c r="B194" t="s">
        <v>218</v>
      </c>
      <c r="C194" t="s">
        <v>211</v>
      </c>
      <c r="D194" t="s">
        <v>2</v>
      </c>
      <c r="E194">
        <v>75</v>
      </c>
      <c r="F194">
        <v>28</v>
      </c>
      <c r="G194">
        <v>37</v>
      </c>
      <c r="H194" s="2">
        <v>2212000</v>
      </c>
      <c r="I194" t="s">
        <v>147</v>
      </c>
      <c r="J194">
        <f>SUMIF('STOCK IN'!$C:$C, A194, 'STOCK IN'!$E:$E)</f>
        <v>189</v>
      </c>
      <c r="K194">
        <f>SUMIF('STOCK OUT'!$C:$C, A194, 'STOCK OUT'!$E:$E)</f>
        <v>2</v>
      </c>
      <c r="L194">
        <f t="shared" si="8"/>
        <v>262</v>
      </c>
      <c r="M194" t="str" cm="1">
        <f t="array" ref="M194">_xlfn.IFS(L194&lt;=0, "OUT OF STOCK", L194&lt;=F194, "REORDER", L194&lt;=G194, "LOW STOCK", TRUE, "IN STOCK")</f>
        <v>IN STOCK</v>
      </c>
      <c r="N194" s="2">
        <f t="shared" si="9"/>
        <v>579544000</v>
      </c>
      <c r="O194">
        <v>263</v>
      </c>
      <c r="P194">
        <f t="shared" si="10"/>
        <v>1</v>
      </c>
      <c r="Q194" t="str">
        <f>_xlfn.XLOOKUP(A194, 'Item Master'!$B$3:$B$502, 'Item Master'!$G$3:$G$502,,0)</f>
        <v>CV Karya Mandiri</v>
      </c>
      <c r="R194" t="str">
        <f t="shared" si="11"/>
        <v>SURPLUS</v>
      </c>
    </row>
    <row r="195" spans="1:18" x14ac:dyDescent="0.25">
      <c r="A195" t="s">
        <v>336</v>
      </c>
      <c r="B195" t="s">
        <v>227</v>
      </c>
      <c r="C195" t="s">
        <v>211</v>
      </c>
      <c r="D195" t="s">
        <v>2</v>
      </c>
      <c r="E195">
        <v>120</v>
      </c>
      <c r="F195">
        <v>11</v>
      </c>
      <c r="G195">
        <v>39</v>
      </c>
      <c r="H195" s="2">
        <v>645000</v>
      </c>
      <c r="I195" t="s">
        <v>330</v>
      </c>
      <c r="J195">
        <f>SUMIF('STOCK IN'!$C:$C, A195, 'STOCK IN'!$E:$E)</f>
        <v>146</v>
      </c>
      <c r="K195">
        <f>SUMIF('STOCK OUT'!$C:$C, A195, 'STOCK OUT'!$E:$E)</f>
        <v>43</v>
      </c>
      <c r="L195">
        <f t="shared" ref="L195:L258" si="12">E195+J195-K195</f>
        <v>223</v>
      </c>
      <c r="M195" t="str" cm="1">
        <f t="array" ref="M195">_xlfn.IFS(L195&lt;=0, "OUT OF STOCK", L195&lt;=F195, "REORDER", L195&lt;=G195, "LOW STOCK", TRUE, "IN STOCK")</f>
        <v>IN STOCK</v>
      </c>
      <c r="N195" s="2">
        <f t="shared" ref="N195:N258" si="13">L195*H195</f>
        <v>143835000</v>
      </c>
      <c r="O195">
        <v>226</v>
      </c>
      <c r="P195">
        <f t="shared" ref="P195:P258" si="14">IF(L195&lt;0, 0, O195 - L195)</f>
        <v>3</v>
      </c>
      <c r="Q195" t="str">
        <f>_xlfn.XLOOKUP(A195, 'Item Master'!$B$3:$B$502, 'Item Master'!$G$3:$G$502,,0)</f>
        <v>CV Berkah Jaya</v>
      </c>
      <c r="R195" t="str">
        <f t="shared" ref="R195:R258" si="15">IF(P195=0, "CONFORM", IF(P195&gt;0, "SURPLUS", "MINUS"))</f>
        <v>SURPLUS</v>
      </c>
    </row>
    <row r="196" spans="1:18" x14ac:dyDescent="0.25">
      <c r="A196" t="s">
        <v>337</v>
      </c>
      <c r="B196" t="s">
        <v>240</v>
      </c>
      <c r="C196" t="s">
        <v>211</v>
      </c>
      <c r="D196" t="s">
        <v>2</v>
      </c>
      <c r="E196">
        <v>153</v>
      </c>
      <c r="F196">
        <v>40</v>
      </c>
      <c r="G196">
        <v>55</v>
      </c>
      <c r="H196" s="2">
        <v>650000</v>
      </c>
      <c r="I196" t="s">
        <v>142</v>
      </c>
      <c r="J196">
        <f>SUMIF('STOCK IN'!$C:$C, A196, 'STOCK IN'!$E:$E)</f>
        <v>50</v>
      </c>
      <c r="K196">
        <f>SUMIF('STOCK OUT'!$C:$C, A196, 'STOCK OUT'!$E:$E)</f>
        <v>165</v>
      </c>
      <c r="L196">
        <f t="shared" si="12"/>
        <v>38</v>
      </c>
      <c r="M196" t="str" cm="1">
        <f t="array" ref="M196">_xlfn.IFS(L196&lt;=0, "OUT OF STOCK", L196&lt;=F196, "REORDER", L196&lt;=G196, "LOW STOCK", TRUE, "IN STOCK")</f>
        <v>REORDER</v>
      </c>
      <c r="N196" s="2">
        <f t="shared" si="13"/>
        <v>24700000</v>
      </c>
      <c r="O196">
        <v>39</v>
      </c>
      <c r="P196">
        <f t="shared" si="14"/>
        <v>1</v>
      </c>
      <c r="Q196" t="str">
        <f>_xlfn.XLOOKUP(A196, 'Item Master'!$B$3:$B$502, 'Item Master'!$G$3:$G$502,,0)</f>
        <v>CV Mitra Perkasa</v>
      </c>
      <c r="R196" t="str">
        <f t="shared" si="15"/>
        <v>SURPLUS</v>
      </c>
    </row>
    <row r="197" spans="1:18" x14ac:dyDescent="0.25">
      <c r="A197" t="s">
        <v>338</v>
      </c>
      <c r="B197" t="s">
        <v>213</v>
      </c>
      <c r="C197" t="s">
        <v>211</v>
      </c>
      <c r="D197" t="s">
        <v>2</v>
      </c>
      <c r="E197">
        <v>83</v>
      </c>
      <c r="F197">
        <v>43</v>
      </c>
      <c r="G197">
        <v>57</v>
      </c>
      <c r="H197" s="2">
        <v>1621000</v>
      </c>
      <c r="I197" t="s">
        <v>34</v>
      </c>
      <c r="J197">
        <f>SUMIF('STOCK IN'!$C:$C, A197, 'STOCK IN'!$E:$E)</f>
        <v>159</v>
      </c>
      <c r="K197">
        <f>SUMIF('STOCK OUT'!$C:$C, A197, 'STOCK OUT'!$E:$E)</f>
        <v>174</v>
      </c>
      <c r="L197">
        <f t="shared" si="12"/>
        <v>68</v>
      </c>
      <c r="M197" t="str" cm="1">
        <f t="array" ref="M197">_xlfn.IFS(L197&lt;=0, "OUT OF STOCK", L197&lt;=F197, "REORDER", L197&lt;=G197, "LOW STOCK", TRUE, "IN STOCK")</f>
        <v>IN STOCK</v>
      </c>
      <c r="N197" s="2">
        <f t="shared" si="13"/>
        <v>110228000</v>
      </c>
      <c r="O197">
        <v>67</v>
      </c>
      <c r="P197">
        <f t="shared" si="14"/>
        <v>-1</v>
      </c>
      <c r="Q197" t="str">
        <f>_xlfn.XLOOKUP(A197, 'Item Master'!$B$3:$B$502, 'Item Master'!$G$3:$G$502,,0)</f>
        <v>CV Berkah Jaya</v>
      </c>
      <c r="R197" t="str">
        <f t="shared" si="15"/>
        <v>MINUS</v>
      </c>
    </row>
    <row r="198" spans="1:18" x14ac:dyDescent="0.25">
      <c r="A198" t="s">
        <v>339</v>
      </c>
      <c r="B198" t="s">
        <v>223</v>
      </c>
      <c r="C198" t="s">
        <v>211</v>
      </c>
      <c r="D198" t="s">
        <v>2</v>
      </c>
      <c r="E198">
        <v>49</v>
      </c>
      <c r="F198">
        <v>47</v>
      </c>
      <c r="G198">
        <v>67</v>
      </c>
      <c r="H198" s="2">
        <v>397000</v>
      </c>
      <c r="I198" t="s">
        <v>34</v>
      </c>
      <c r="J198">
        <f>SUMIF('STOCK IN'!$C:$C, A198, 'STOCK IN'!$E:$E)</f>
        <v>203</v>
      </c>
      <c r="K198">
        <f>SUMIF('STOCK OUT'!$C:$C, A198, 'STOCK OUT'!$E:$E)</f>
        <v>49</v>
      </c>
      <c r="L198">
        <f t="shared" si="12"/>
        <v>203</v>
      </c>
      <c r="M198" t="str" cm="1">
        <f t="array" ref="M198">_xlfn.IFS(L198&lt;=0, "OUT OF STOCK", L198&lt;=F198, "REORDER", L198&lt;=G198, "LOW STOCK", TRUE, "IN STOCK")</f>
        <v>IN STOCK</v>
      </c>
      <c r="N198" s="2">
        <f t="shared" si="13"/>
        <v>80591000</v>
      </c>
      <c r="O198">
        <v>205</v>
      </c>
      <c r="P198">
        <f t="shared" si="14"/>
        <v>2</v>
      </c>
      <c r="Q198" t="str">
        <f>_xlfn.XLOOKUP(A198, 'Item Master'!$B$3:$B$502, 'Item Master'!$G$3:$G$502,,0)</f>
        <v>CV Prima Logistik</v>
      </c>
      <c r="R198" t="str">
        <f t="shared" si="15"/>
        <v>SURPLUS</v>
      </c>
    </row>
    <row r="199" spans="1:18" x14ac:dyDescent="0.25">
      <c r="A199" t="s">
        <v>340</v>
      </c>
      <c r="B199" t="s">
        <v>223</v>
      </c>
      <c r="C199" t="s">
        <v>211</v>
      </c>
      <c r="D199" t="s">
        <v>2</v>
      </c>
      <c r="E199">
        <v>39</v>
      </c>
      <c r="F199">
        <v>22</v>
      </c>
      <c r="G199">
        <v>45</v>
      </c>
      <c r="H199" s="2">
        <v>556000</v>
      </c>
      <c r="I199" t="s">
        <v>177</v>
      </c>
      <c r="J199">
        <f>SUMIF('STOCK IN'!$C:$C, A199, 'STOCK IN'!$E:$E)</f>
        <v>100</v>
      </c>
      <c r="K199">
        <f>SUMIF('STOCK OUT'!$C:$C, A199, 'STOCK OUT'!$E:$E)</f>
        <v>101</v>
      </c>
      <c r="L199">
        <f t="shared" si="12"/>
        <v>38</v>
      </c>
      <c r="M199" t="str" cm="1">
        <f t="array" ref="M199">_xlfn.IFS(L199&lt;=0, "OUT OF STOCK", L199&lt;=F199, "REORDER", L199&lt;=G199, "LOW STOCK", TRUE, "IN STOCK")</f>
        <v>LOW STOCK</v>
      </c>
      <c r="N199" s="2">
        <f t="shared" si="13"/>
        <v>21128000</v>
      </c>
      <c r="O199">
        <v>37</v>
      </c>
      <c r="P199">
        <f t="shared" si="14"/>
        <v>-1</v>
      </c>
      <c r="Q199" t="str">
        <f>_xlfn.XLOOKUP(A199, 'Item Master'!$B$3:$B$502, 'Item Master'!$G$3:$G$502,,0)</f>
        <v>CV Prima Logistik</v>
      </c>
      <c r="R199" t="str">
        <f t="shared" si="15"/>
        <v>MINUS</v>
      </c>
    </row>
    <row r="200" spans="1:18" x14ac:dyDescent="0.25">
      <c r="A200" t="s">
        <v>341</v>
      </c>
      <c r="B200" t="s">
        <v>234</v>
      </c>
      <c r="C200" t="s">
        <v>211</v>
      </c>
      <c r="D200" t="s">
        <v>2</v>
      </c>
      <c r="E200">
        <v>182</v>
      </c>
      <c r="F200">
        <v>46</v>
      </c>
      <c r="G200">
        <v>68</v>
      </c>
      <c r="H200" s="2">
        <v>1606000</v>
      </c>
      <c r="I200" t="s">
        <v>161</v>
      </c>
      <c r="J200">
        <f>SUMIF('STOCK IN'!$C:$C, A200, 'STOCK IN'!$E:$E)</f>
        <v>159</v>
      </c>
      <c r="K200">
        <f>SUMIF('STOCK OUT'!$C:$C, A200, 'STOCK OUT'!$E:$E)</f>
        <v>157</v>
      </c>
      <c r="L200">
        <f t="shared" si="12"/>
        <v>184</v>
      </c>
      <c r="M200" t="str" cm="1">
        <f t="array" ref="M200">_xlfn.IFS(L200&lt;=0, "OUT OF STOCK", L200&lt;=F200, "REORDER", L200&lt;=G200, "LOW STOCK", TRUE, "IN STOCK")</f>
        <v>IN STOCK</v>
      </c>
      <c r="N200" s="2">
        <f t="shared" si="13"/>
        <v>295504000</v>
      </c>
      <c r="O200">
        <v>187</v>
      </c>
      <c r="P200">
        <f t="shared" si="14"/>
        <v>3</v>
      </c>
      <c r="Q200" t="str">
        <f>_xlfn.XLOOKUP(A200, 'Item Master'!$B$3:$B$502, 'Item Master'!$G$3:$G$502,,0)</f>
        <v>PT Sumber Teknologi Nusantara</v>
      </c>
      <c r="R200" t="str">
        <f t="shared" si="15"/>
        <v>SURPLUS</v>
      </c>
    </row>
    <row r="201" spans="1:18" x14ac:dyDescent="0.25">
      <c r="A201" t="s">
        <v>342</v>
      </c>
      <c r="B201" t="s">
        <v>240</v>
      </c>
      <c r="C201" t="s">
        <v>211</v>
      </c>
      <c r="D201" t="s">
        <v>2</v>
      </c>
      <c r="E201">
        <v>79</v>
      </c>
      <c r="F201">
        <v>49</v>
      </c>
      <c r="G201">
        <v>78</v>
      </c>
      <c r="H201" s="2">
        <v>442000</v>
      </c>
      <c r="I201" t="s">
        <v>195</v>
      </c>
      <c r="J201">
        <f>SUMIF('STOCK IN'!$C:$C, A201, 'STOCK IN'!$E:$E)</f>
        <v>148</v>
      </c>
      <c r="K201">
        <f>SUMIF('STOCK OUT'!$C:$C, A201, 'STOCK OUT'!$E:$E)</f>
        <v>132</v>
      </c>
      <c r="L201">
        <f t="shared" si="12"/>
        <v>95</v>
      </c>
      <c r="M201" t="str" cm="1">
        <f t="array" ref="M201">_xlfn.IFS(L201&lt;=0, "OUT OF STOCK", L201&lt;=F201, "REORDER", L201&lt;=G201, "LOW STOCK", TRUE, "IN STOCK")</f>
        <v>IN STOCK</v>
      </c>
      <c r="N201" s="2">
        <f t="shared" si="13"/>
        <v>41990000</v>
      </c>
      <c r="O201">
        <v>98</v>
      </c>
      <c r="P201">
        <f t="shared" si="14"/>
        <v>3</v>
      </c>
      <c r="Q201" t="str">
        <f>_xlfn.XLOOKUP(A201, 'Item Master'!$B$3:$B$502, 'Item Master'!$G$3:$G$502,,0)</f>
        <v>PT Cipta Sarana Niaga</v>
      </c>
      <c r="R201" t="str">
        <f t="shared" si="15"/>
        <v>SURPLUS</v>
      </c>
    </row>
    <row r="202" spans="1:18" x14ac:dyDescent="0.25">
      <c r="A202" t="s">
        <v>343</v>
      </c>
      <c r="B202" t="s">
        <v>344</v>
      </c>
      <c r="C202" t="s">
        <v>345</v>
      </c>
      <c r="D202" t="s">
        <v>346</v>
      </c>
      <c r="E202">
        <v>232</v>
      </c>
      <c r="F202">
        <v>14</v>
      </c>
      <c r="G202">
        <v>58</v>
      </c>
      <c r="H202" s="2">
        <v>51000</v>
      </c>
      <c r="I202" t="s">
        <v>147</v>
      </c>
      <c r="J202">
        <f>SUMIF('STOCK IN'!$C:$C, A202, 'STOCK IN'!$E:$E)</f>
        <v>165</v>
      </c>
      <c r="K202">
        <f>SUMIF('STOCK OUT'!$C:$C, A202, 'STOCK OUT'!$E:$E)</f>
        <v>70</v>
      </c>
      <c r="L202">
        <f t="shared" si="12"/>
        <v>327</v>
      </c>
      <c r="M202" t="str" cm="1">
        <f t="array" ref="M202">_xlfn.IFS(L202&lt;=0, "OUT OF STOCK", L202&lt;=F202, "REORDER", L202&lt;=G202, "LOW STOCK", TRUE, "IN STOCK")</f>
        <v>IN STOCK</v>
      </c>
      <c r="N202" s="2">
        <f t="shared" si="13"/>
        <v>16677000</v>
      </c>
      <c r="O202">
        <v>327</v>
      </c>
      <c r="P202">
        <f t="shared" si="14"/>
        <v>0</v>
      </c>
      <c r="Q202" t="str">
        <f>_xlfn.XLOOKUP(A202, 'Item Master'!$B$3:$B$502, 'Item Master'!$G$3:$G$502,,0)</f>
        <v>PT Global Office Supply</v>
      </c>
      <c r="R202" t="str">
        <f t="shared" si="15"/>
        <v>CONFORM</v>
      </c>
    </row>
    <row r="203" spans="1:18" x14ac:dyDescent="0.25">
      <c r="A203" t="s">
        <v>347</v>
      </c>
      <c r="B203" t="s">
        <v>344</v>
      </c>
      <c r="C203" t="s">
        <v>345</v>
      </c>
      <c r="D203" t="s">
        <v>346</v>
      </c>
      <c r="E203">
        <v>201</v>
      </c>
      <c r="F203">
        <v>38</v>
      </c>
      <c r="G203">
        <v>50</v>
      </c>
      <c r="H203" s="2">
        <v>45000</v>
      </c>
      <c r="I203" t="s">
        <v>185</v>
      </c>
      <c r="J203">
        <f>SUMIF('STOCK IN'!$C:$C, A203, 'STOCK IN'!$E:$E)</f>
        <v>44</v>
      </c>
      <c r="K203">
        <f>SUMIF('STOCK OUT'!$C:$C, A203, 'STOCK OUT'!$E:$E)</f>
        <v>138</v>
      </c>
      <c r="L203">
        <f t="shared" si="12"/>
        <v>107</v>
      </c>
      <c r="M203" t="str" cm="1">
        <f t="array" ref="M203">_xlfn.IFS(L203&lt;=0, "OUT OF STOCK", L203&lt;=F203, "REORDER", L203&lt;=G203, "LOW STOCK", TRUE, "IN STOCK")</f>
        <v>IN STOCK</v>
      </c>
      <c r="N203" s="2">
        <f t="shared" si="13"/>
        <v>4815000</v>
      </c>
      <c r="O203">
        <v>104</v>
      </c>
      <c r="P203">
        <f t="shared" si="14"/>
        <v>-3</v>
      </c>
      <c r="Q203" t="str">
        <f>_xlfn.XLOOKUP(A203, 'Item Master'!$B$3:$B$502, 'Item Master'!$G$3:$G$502,,0)</f>
        <v>PT Global Office Supply</v>
      </c>
      <c r="R203" t="str">
        <f t="shared" si="15"/>
        <v>MINUS</v>
      </c>
    </row>
    <row r="204" spans="1:18" x14ac:dyDescent="0.25">
      <c r="A204" t="s">
        <v>348</v>
      </c>
      <c r="B204" t="s">
        <v>349</v>
      </c>
      <c r="C204" t="s">
        <v>345</v>
      </c>
      <c r="D204" t="s">
        <v>2</v>
      </c>
      <c r="E204">
        <v>104</v>
      </c>
      <c r="F204">
        <v>24</v>
      </c>
      <c r="G204">
        <v>52</v>
      </c>
      <c r="H204" s="2">
        <v>4000</v>
      </c>
      <c r="I204" t="s">
        <v>171</v>
      </c>
      <c r="J204">
        <f>SUMIF('STOCK IN'!$C:$C, A204, 'STOCK IN'!$E:$E)</f>
        <v>141</v>
      </c>
      <c r="K204">
        <f>SUMIF('STOCK OUT'!$C:$C, A204, 'STOCK OUT'!$E:$E)</f>
        <v>40</v>
      </c>
      <c r="L204">
        <f t="shared" si="12"/>
        <v>205</v>
      </c>
      <c r="M204" t="str" cm="1">
        <f t="array" ref="M204">_xlfn.IFS(L204&lt;=0, "OUT OF STOCK", L204&lt;=F204, "REORDER", L204&lt;=G204, "LOW STOCK", TRUE, "IN STOCK")</f>
        <v>IN STOCK</v>
      </c>
      <c r="N204" s="2">
        <f t="shared" si="13"/>
        <v>820000</v>
      </c>
      <c r="O204">
        <v>207</v>
      </c>
      <c r="P204">
        <f t="shared" si="14"/>
        <v>2</v>
      </c>
      <c r="Q204" t="str">
        <f>_xlfn.XLOOKUP(A204, 'Item Master'!$B$3:$B$502, 'Item Master'!$G$3:$G$502,,0)</f>
        <v>CV Berkah Jaya</v>
      </c>
      <c r="R204" t="str">
        <f t="shared" si="15"/>
        <v>SURPLUS</v>
      </c>
    </row>
    <row r="205" spans="1:18" x14ac:dyDescent="0.25">
      <c r="A205" t="s">
        <v>350</v>
      </c>
      <c r="B205" t="s">
        <v>351</v>
      </c>
      <c r="C205" t="s">
        <v>345</v>
      </c>
      <c r="D205" t="s">
        <v>2</v>
      </c>
      <c r="E205">
        <v>236</v>
      </c>
      <c r="F205">
        <v>8</v>
      </c>
      <c r="G205">
        <v>59</v>
      </c>
      <c r="H205" s="2">
        <v>266000</v>
      </c>
      <c r="I205" t="s">
        <v>110</v>
      </c>
      <c r="J205">
        <f>SUMIF('STOCK IN'!$C:$C, A205, 'STOCK IN'!$E:$E)</f>
        <v>21</v>
      </c>
      <c r="K205">
        <f>SUMIF('STOCK OUT'!$C:$C, A205, 'STOCK OUT'!$E:$E)</f>
        <v>155</v>
      </c>
      <c r="L205">
        <f t="shared" si="12"/>
        <v>102</v>
      </c>
      <c r="M205" t="str" cm="1">
        <f t="array" ref="M205">_xlfn.IFS(L205&lt;=0, "OUT OF STOCK", L205&lt;=F205, "REORDER", L205&lt;=G205, "LOW STOCK", TRUE, "IN STOCK")</f>
        <v>IN STOCK</v>
      </c>
      <c r="N205" s="2">
        <f t="shared" si="13"/>
        <v>27132000</v>
      </c>
      <c r="O205">
        <v>103</v>
      </c>
      <c r="P205">
        <f t="shared" si="14"/>
        <v>1</v>
      </c>
      <c r="Q205" t="str">
        <f>_xlfn.XLOOKUP(A205, 'Item Master'!$B$3:$B$502, 'Item Master'!$G$3:$G$502,,0)</f>
        <v>PT Sentosa Distribusi</v>
      </c>
      <c r="R205" t="str">
        <f t="shared" si="15"/>
        <v>SURPLUS</v>
      </c>
    </row>
    <row r="206" spans="1:18" x14ac:dyDescent="0.25">
      <c r="A206" t="s">
        <v>352</v>
      </c>
      <c r="B206" t="s">
        <v>344</v>
      </c>
      <c r="C206" t="s">
        <v>345</v>
      </c>
      <c r="D206" t="s">
        <v>346</v>
      </c>
      <c r="E206">
        <v>79</v>
      </c>
      <c r="F206">
        <v>33</v>
      </c>
      <c r="G206">
        <v>59</v>
      </c>
      <c r="H206" s="2">
        <v>45000</v>
      </c>
      <c r="I206" t="s">
        <v>189</v>
      </c>
      <c r="J206">
        <f>SUMIF('STOCK IN'!$C:$C, A206, 'STOCK IN'!$E:$E)</f>
        <v>185</v>
      </c>
      <c r="K206">
        <f>SUMIF('STOCK OUT'!$C:$C, A206, 'STOCK OUT'!$E:$E)</f>
        <v>116</v>
      </c>
      <c r="L206">
        <f t="shared" si="12"/>
        <v>148</v>
      </c>
      <c r="M206" t="str" cm="1">
        <f t="array" ref="M206">_xlfn.IFS(L206&lt;=0, "OUT OF STOCK", L206&lt;=F206, "REORDER", L206&lt;=G206, "LOW STOCK", TRUE, "IN STOCK")</f>
        <v>IN STOCK</v>
      </c>
      <c r="N206" s="2">
        <f t="shared" si="13"/>
        <v>6660000</v>
      </c>
      <c r="O206">
        <v>149</v>
      </c>
      <c r="P206">
        <f t="shared" si="14"/>
        <v>1</v>
      </c>
      <c r="Q206" t="str">
        <f>_xlfn.XLOOKUP(A206, 'Item Master'!$B$3:$B$502, 'Item Master'!$G$3:$G$502,,0)</f>
        <v>PT Global Office Supply</v>
      </c>
      <c r="R206" t="str">
        <f t="shared" si="15"/>
        <v>SURPLUS</v>
      </c>
    </row>
    <row r="207" spans="1:18" x14ac:dyDescent="0.25">
      <c r="A207" t="s">
        <v>353</v>
      </c>
      <c r="B207" t="s">
        <v>354</v>
      </c>
      <c r="C207" t="s">
        <v>345</v>
      </c>
      <c r="D207" t="s">
        <v>355</v>
      </c>
      <c r="E207">
        <v>79</v>
      </c>
      <c r="F207">
        <v>18</v>
      </c>
      <c r="G207">
        <v>47</v>
      </c>
      <c r="H207" s="2">
        <v>21000</v>
      </c>
      <c r="I207" t="s">
        <v>312</v>
      </c>
      <c r="J207">
        <f>SUMIF('STOCK IN'!$C:$C, A207, 'STOCK IN'!$E:$E)</f>
        <v>113</v>
      </c>
      <c r="K207">
        <f>SUMIF('STOCK OUT'!$C:$C, A207, 'STOCK OUT'!$E:$E)</f>
        <v>9</v>
      </c>
      <c r="L207">
        <f t="shared" si="12"/>
        <v>183</v>
      </c>
      <c r="M207" t="str" cm="1">
        <f t="array" ref="M207">_xlfn.IFS(L207&lt;=0, "OUT OF STOCK", L207&lt;=F207, "REORDER", L207&lt;=G207, "LOW STOCK", TRUE, "IN STOCK")</f>
        <v>IN STOCK</v>
      </c>
      <c r="N207" s="2">
        <f t="shared" si="13"/>
        <v>3843000</v>
      </c>
      <c r="O207">
        <v>183</v>
      </c>
      <c r="P207">
        <f t="shared" si="14"/>
        <v>0</v>
      </c>
      <c r="Q207" t="str">
        <f>_xlfn.XLOOKUP(A207, 'Item Master'!$B$3:$B$502, 'Item Master'!$G$3:$G$502,,0)</f>
        <v>PT Indo Elektrik</v>
      </c>
      <c r="R207" t="str">
        <f t="shared" si="15"/>
        <v>CONFORM</v>
      </c>
    </row>
    <row r="208" spans="1:18" x14ac:dyDescent="0.25">
      <c r="A208" t="s">
        <v>356</v>
      </c>
      <c r="B208" t="s">
        <v>357</v>
      </c>
      <c r="C208" t="s">
        <v>345</v>
      </c>
      <c r="D208" t="s">
        <v>358</v>
      </c>
      <c r="E208">
        <v>82</v>
      </c>
      <c r="F208">
        <v>48</v>
      </c>
      <c r="G208">
        <v>74</v>
      </c>
      <c r="H208" s="2">
        <v>27000</v>
      </c>
      <c r="I208" t="s">
        <v>189</v>
      </c>
      <c r="J208">
        <f>SUMIF('STOCK IN'!$C:$C, A208, 'STOCK IN'!$E:$E)</f>
        <v>0</v>
      </c>
      <c r="K208">
        <f>SUMIF('STOCK OUT'!$C:$C, A208, 'STOCK OUT'!$E:$E)</f>
        <v>79</v>
      </c>
      <c r="L208">
        <f t="shared" si="12"/>
        <v>3</v>
      </c>
      <c r="M208" t="str" cm="1">
        <f t="array" ref="M208">_xlfn.IFS(L208&lt;=0, "OUT OF STOCK", L208&lt;=F208, "REORDER", L208&lt;=G208, "LOW STOCK", TRUE, "IN STOCK")</f>
        <v>REORDER</v>
      </c>
      <c r="N208" s="2">
        <f t="shared" si="13"/>
        <v>81000</v>
      </c>
      <c r="O208">
        <v>2</v>
      </c>
      <c r="P208">
        <f t="shared" si="14"/>
        <v>-1</v>
      </c>
      <c r="Q208" t="str">
        <f>_xlfn.XLOOKUP(A208, 'Item Master'!$B$3:$B$502, 'Item Master'!$G$3:$G$502,,0)</f>
        <v>PT Solusi Komputer</v>
      </c>
      <c r="R208" t="str">
        <f t="shared" si="15"/>
        <v>MINUS</v>
      </c>
    </row>
    <row r="209" spans="1:18" x14ac:dyDescent="0.25">
      <c r="A209" t="s">
        <v>359</v>
      </c>
      <c r="B209" t="s">
        <v>360</v>
      </c>
      <c r="C209" t="s">
        <v>345</v>
      </c>
      <c r="D209" t="s">
        <v>358</v>
      </c>
      <c r="E209">
        <v>66</v>
      </c>
      <c r="F209">
        <v>30</v>
      </c>
      <c r="G209">
        <v>54</v>
      </c>
      <c r="H209" s="2">
        <v>6000</v>
      </c>
      <c r="I209" t="s">
        <v>361</v>
      </c>
      <c r="J209">
        <f>SUMIF('STOCK IN'!$C:$C, A209, 'STOCK IN'!$E:$E)</f>
        <v>88</v>
      </c>
      <c r="K209">
        <f>SUMIF('STOCK OUT'!$C:$C, A209, 'STOCK OUT'!$E:$E)</f>
        <v>163</v>
      </c>
      <c r="L209">
        <f t="shared" si="12"/>
        <v>-9</v>
      </c>
      <c r="M209" t="str" cm="1">
        <f t="array" ref="M209">_xlfn.IFS(L209&lt;=0, "OUT OF STOCK", L209&lt;=F209, "REORDER", L209&lt;=G209, "LOW STOCK", TRUE, "IN STOCK")</f>
        <v>OUT OF STOCK</v>
      </c>
      <c r="N209" s="2">
        <f t="shared" si="13"/>
        <v>-54000</v>
      </c>
      <c r="O209">
        <v>0</v>
      </c>
      <c r="P209">
        <f t="shared" si="14"/>
        <v>0</v>
      </c>
      <c r="Q209" t="str">
        <f>_xlfn.XLOOKUP(A209, 'Item Master'!$B$3:$B$502, 'Item Master'!$G$3:$G$502,,0)</f>
        <v>PT Sumber Teknologi Nusantara</v>
      </c>
      <c r="R209" t="str">
        <f t="shared" si="15"/>
        <v>CONFORM</v>
      </c>
    </row>
    <row r="210" spans="1:18" x14ac:dyDescent="0.25">
      <c r="A210" t="s">
        <v>362</v>
      </c>
      <c r="B210" t="s">
        <v>360</v>
      </c>
      <c r="C210" t="s">
        <v>345</v>
      </c>
      <c r="D210" t="s">
        <v>358</v>
      </c>
      <c r="E210">
        <v>206</v>
      </c>
      <c r="F210">
        <v>13</v>
      </c>
      <c r="G210">
        <v>51</v>
      </c>
      <c r="H210" s="2">
        <v>11000</v>
      </c>
      <c r="I210" t="s">
        <v>42</v>
      </c>
      <c r="J210">
        <f>SUMIF('STOCK IN'!$C:$C, A210, 'STOCK IN'!$E:$E)</f>
        <v>14</v>
      </c>
      <c r="K210">
        <f>SUMIF('STOCK OUT'!$C:$C, A210, 'STOCK OUT'!$E:$E)</f>
        <v>180</v>
      </c>
      <c r="L210">
        <f t="shared" si="12"/>
        <v>40</v>
      </c>
      <c r="M210" t="str" cm="1">
        <f t="array" ref="M210">_xlfn.IFS(L210&lt;=0, "OUT OF STOCK", L210&lt;=F210, "REORDER", L210&lt;=G210, "LOW STOCK", TRUE, "IN STOCK")</f>
        <v>LOW STOCK</v>
      </c>
      <c r="N210" s="2">
        <f t="shared" si="13"/>
        <v>440000</v>
      </c>
      <c r="O210">
        <v>42</v>
      </c>
      <c r="P210">
        <f t="shared" si="14"/>
        <v>2</v>
      </c>
      <c r="Q210" t="str">
        <f>_xlfn.XLOOKUP(A210, 'Item Master'!$B$3:$B$502, 'Item Master'!$G$3:$G$502,,0)</f>
        <v>PT Cipta Sarana Niaga</v>
      </c>
      <c r="R210" t="str">
        <f t="shared" si="15"/>
        <v>SURPLUS</v>
      </c>
    </row>
    <row r="211" spans="1:18" x14ac:dyDescent="0.25">
      <c r="A211" t="s">
        <v>363</v>
      </c>
      <c r="B211" t="s">
        <v>364</v>
      </c>
      <c r="C211" t="s">
        <v>345</v>
      </c>
      <c r="D211" t="s">
        <v>358</v>
      </c>
      <c r="E211">
        <v>137</v>
      </c>
      <c r="F211">
        <v>32</v>
      </c>
      <c r="G211">
        <v>42</v>
      </c>
      <c r="H211" s="2">
        <v>18000</v>
      </c>
      <c r="I211" t="s">
        <v>57</v>
      </c>
      <c r="J211">
        <f>SUMIF('STOCK IN'!$C:$C, A211, 'STOCK IN'!$E:$E)</f>
        <v>119</v>
      </c>
      <c r="K211">
        <f>SUMIF('STOCK OUT'!$C:$C, A211, 'STOCK OUT'!$E:$E)</f>
        <v>135</v>
      </c>
      <c r="L211">
        <f t="shared" si="12"/>
        <v>121</v>
      </c>
      <c r="M211" t="str" cm="1">
        <f t="array" ref="M211">_xlfn.IFS(L211&lt;=0, "OUT OF STOCK", L211&lt;=F211, "REORDER", L211&lt;=G211, "LOW STOCK", TRUE, "IN STOCK")</f>
        <v>IN STOCK</v>
      </c>
      <c r="N211" s="2">
        <f t="shared" si="13"/>
        <v>2178000</v>
      </c>
      <c r="O211">
        <v>122</v>
      </c>
      <c r="P211">
        <f t="shared" si="14"/>
        <v>1</v>
      </c>
      <c r="Q211" t="str">
        <f>_xlfn.XLOOKUP(A211, 'Item Master'!$B$3:$B$502, 'Item Master'!$G$3:$G$502,,0)</f>
        <v>PT Sentosa Distribusi</v>
      </c>
      <c r="R211" t="str">
        <f t="shared" si="15"/>
        <v>SURPLUS</v>
      </c>
    </row>
    <row r="212" spans="1:18" x14ac:dyDescent="0.25">
      <c r="A212" t="s">
        <v>365</v>
      </c>
      <c r="B212" t="s">
        <v>366</v>
      </c>
      <c r="C212" t="s">
        <v>345</v>
      </c>
      <c r="D212" t="s">
        <v>2</v>
      </c>
      <c r="E212">
        <v>153</v>
      </c>
      <c r="F212">
        <v>47</v>
      </c>
      <c r="G212">
        <v>77</v>
      </c>
      <c r="H212" s="2">
        <v>79000</v>
      </c>
      <c r="I212" t="s">
        <v>126</v>
      </c>
      <c r="J212">
        <f>SUMIF('STOCK IN'!$C:$C, A212, 'STOCK IN'!$E:$E)</f>
        <v>281</v>
      </c>
      <c r="K212">
        <f>SUMIF('STOCK OUT'!$C:$C, A212, 'STOCK OUT'!$E:$E)</f>
        <v>72</v>
      </c>
      <c r="L212">
        <f t="shared" si="12"/>
        <v>362</v>
      </c>
      <c r="M212" t="str" cm="1">
        <f t="array" ref="M212">_xlfn.IFS(L212&lt;=0, "OUT OF STOCK", L212&lt;=F212, "REORDER", L212&lt;=G212, "LOW STOCK", TRUE, "IN STOCK")</f>
        <v>IN STOCK</v>
      </c>
      <c r="N212" s="2">
        <f t="shared" si="13"/>
        <v>28598000</v>
      </c>
      <c r="O212">
        <v>362</v>
      </c>
      <c r="P212">
        <f t="shared" si="14"/>
        <v>0</v>
      </c>
      <c r="Q212" t="str">
        <f>_xlfn.XLOOKUP(A212, 'Item Master'!$B$3:$B$502, 'Item Master'!$G$3:$G$502,,0)</f>
        <v>CV Berkah Jaya</v>
      </c>
      <c r="R212" t="str">
        <f t="shared" si="15"/>
        <v>CONFORM</v>
      </c>
    </row>
    <row r="213" spans="1:18" x14ac:dyDescent="0.25">
      <c r="A213" t="s">
        <v>367</v>
      </c>
      <c r="B213" t="s">
        <v>344</v>
      </c>
      <c r="C213" t="s">
        <v>345</v>
      </c>
      <c r="D213" t="s">
        <v>346</v>
      </c>
      <c r="E213">
        <v>14</v>
      </c>
      <c r="F213">
        <v>34</v>
      </c>
      <c r="G213">
        <v>41</v>
      </c>
      <c r="H213" s="2">
        <v>67000</v>
      </c>
      <c r="I213" t="s">
        <v>368</v>
      </c>
      <c r="J213">
        <f>SUMIF('STOCK IN'!$C:$C, A213, 'STOCK IN'!$E:$E)</f>
        <v>386</v>
      </c>
      <c r="K213">
        <f>SUMIF('STOCK OUT'!$C:$C, A213, 'STOCK OUT'!$E:$E)</f>
        <v>84</v>
      </c>
      <c r="L213">
        <f t="shared" si="12"/>
        <v>316</v>
      </c>
      <c r="M213" t="str" cm="1">
        <f t="array" ref="M213">_xlfn.IFS(L213&lt;=0, "OUT OF STOCK", L213&lt;=F213, "REORDER", L213&lt;=G213, "LOW STOCK", TRUE, "IN STOCK")</f>
        <v>IN STOCK</v>
      </c>
      <c r="N213" s="2">
        <f t="shared" si="13"/>
        <v>21172000</v>
      </c>
      <c r="O213">
        <v>315</v>
      </c>
      <c r="P213">
        <f t="shared" si="14"/>
        <v>-1</v>
      </c>
      <c r="Q213" t="str">
        <f>_xlfn.XLOOKUP(A213, 'Item Master'!$B$3:$B$502, 'Item Master'!$G$3:$G$502,,0)</f>
        <v>CV Berkah Jaya</v>
      </c>
      <c r="R213" t="str">
        <f t="shared" si="15"/>
        <v>MINUS</v>
      </c>
    </row>
    <row r="214" spans="1:18" x14ac:dyDescent="0.25">
      <c r="A214" t="s">
        <v>369</v>
      </c>
      <c r="B214" t="s">
        <v>351</v>
      </c>
      <c r="C214" t="s">
        <v>345</v>
      </c>
      <c r="D214" t="s">
        <v>2</v>
      </c>
      <c r="E214">
        <v>191</v>
      </c>
      <c r="F214">
        <v>45</v>
      </c>
      <c r="G214">
        <v>63</v>
      </c>
      <c r="H214" s="2">
        <v>594000</v>
      </c>
      <c r="I214" t="s">
        <v>312</v>
      </c>
      <c r="J214">
        <f>SUMIF('STOCK IN'!$C:$C, A214, 'STOCK IN'!$E:$E)</f>
        <v>154</v>
      </c>
      <c r="K214">
        <f>SUMIF('STOCK OUT'!$C:$C, A214, 'STOCK OUT'!$E:$E)</f>
        <v>89</v>
      </c>
      <c r="L214">
        <f t="shared" si="12"/>
        <v>256</v>
      </c>
      <c r="M214" t="str" cm="1">
        <f t="array" ref="M214">_xlfn.IFS(L214&lt;=0, "OUT OF STOCK", L214&lt;=F214, "REORDER", L214&lt;=G214, "LOW STOCK", TRUE, "IN STOCK")</f>
        <v>IN STOCK</v>
      </c>
      <c r="N214" s="2">
        <f t="shared" si="13"/>
        <v>152064000</v>
      </c>
      <c r="O214">
        <v>258</v>
      </c>
      <c r="P214">
        <f t="shared" si="14"/>
        <v>2</v>
      </c>
      <c r="Q214" t="str">
        <f>_xlfn.XLOOKUP(A214, 'Item Master'!$B$3:$B$502, 'Item Master'!$G$3:$G$502,,0)</f>
        <v>PT Cipta Sarana Niaga</v>
      </c>
      <c r="R214" t="str">
        <f t="shared" si="15"/>
        <v>SURPLUS</v>
      </c>
    </row>
    <row r="215" spans="1:18" x14ac:dyDescent="0.25">
      <c r="A215" t="s">
        <v>370</v>
      </c>
      <c r="B215" t="s">
        <v>344</v>
      </c>
      <c r="C215" t="s">
        <v>345</v>
      </c>
      <c r="D215" t="s">
        <v>346</v>
      </c>
      <c r="E215">
        <v>53</v>
      </c>
      <c r="F215">
        <v>44</v>
      </c>
      <c r="G215">
        <v>63</v>
      </c>
      <c r="H215" s="2">
        <v>60000</v>
      </c>
      <c r="I215" t="s">
        <v>24</v>
      </c>
      <c r="J215">
        <f>SUMIF('STOCK IN'!$C:$C, A215, 'STOCK IN'!$E:$E)</f>
        <v>261</v>
      </c>
      <c r="K215">
        <f>SUMIF('STOCK OUT'!$C:$C, A215, 'STOCK OUT'!$E:$E)</f>
        <v>78</v>
      </c>
      <c r="L215">
        <f t="shared" si="12"/>
        <v>236</v>
      </c>
      <c r="M215" t="str" cm="1">
        <f t="array" ref="M215">_xlfn.IFS(L215&lt;=0, "OUT OF STOCK", L215&lt;=F215, "REORDER", L215&lt;=G215, "LOW STOCK", TRUE, "IN STOCK")</f>
        <v>IN STOCK</v>
      </c>
      <c r="N215" s="2">
        <f t="shared" si="13"/>
        <v>14160000</v>
      </c>
      <c r="O215">
        <v>234</v>
      </c>
      <c r="P215">
        <f t="shared" si="14"/>
        <v>-2</v>
      </c>
      <c r="Q215" t="str">
        <f>_xlfn.XLOOKUP(A215, 'Item Master'!$B$3:$B$502, 'Item Master'!$G$3:$G$502,,0)</f>
        <v>CV Berkah Jaya</v>
      </c>
      <c r="R215" t="str">
        <f t="shared" si="15"/>
        <v>MINUS</v>
      </c>
    </row>
    <row r="216" spans="1:18" x14ac:dyDescent="0.25">
      <c r="A216" t="s">
        <v>371</v>
      </c>
      <c r="B216" t="s">
        <v>364</v>
      </c>
      <c r="C216" t="s">
        <v>345</v>
      </c>
      <c r="D216" t="s">
        <v>358</v>
      </c>
      <c r="E216">
        <v>121</v>
      </c>
      <c r="F216">
        <v>42</v>
      </c>
      <c r="G216">
        <v>59</v>
      </c>
      <c r="H216" s="2">
        <v>25000</v>
      </c>
      <c r="I216" t="s">
        <v>121</v>
      </c>
      <c r="J216">
        <f>SUMIF('STOCK IN'!$C:$C, A216, 'STOCK IN'!$E:$E)</f>
        <v>176</v>
      </c>
      <c r="K216">
        <f>SUMIF('STOCK OUT'!$C:$C, A216, 'STOCK OUT'!$E:$E)</f>
        <v>209</v>
      </c>
      <c r="L216">
        <f t="shared" si="12"/>
        <v>88</v>
      </c>
      <c r="M216" t="str" cm="1">
        <f t="array" ref="M216">_xlfn.IFS(L216&lt;=0, "OUT OF STOCK", L216&lt;=F216, "REORDER", L216&lt;=G216, "LOW STOCK", TRUE, "IN STOCK")</f>
        <v>IN STOCK</v>
      </c>
      <c r="N216" s="2">
        <f t="shared" si="13"/>
        <v>2200000</v>
      </c>
      <c r="O216">
        <v>88</v>
      </c>
      <c r="P216">
        <f t="shared" si="14"/>
        <v>0</v>
      </c>
      <c r="Q216" t="str">
        <f>_xlfn.XLOOKUP(A216, 'Item Master'!$B$3:$B$502, 'Item Master'!$G$3:$G$502,,0)</f>
        <v>PT Indo Elektrik</v>
      </c>
      <c r="R216" t="str">
        <f t="shared" si="15"/>
        <v>CONFORM</v>
      </c>
    </row>
    <row r="217" spans="1:18" x14ac:dyDescent="0.25">
      <c r="A217" t="s">
        <v>372</v>
      </c>
      <c r="B217" t="s">
        <v>360</v>
      </c>
      <c r="C217" t="s">
        <v>345</v>
      </c>
      <c r="D217" t="s">
        <v>358</v>
      </c>
      <c r="E217">
        <v>66</v>
      </c>
      <c r="F217">
        <v>26</v>
      </c>
      <c r="G217">
        <v>55</v>
      </c>
      <c r="H217" s="2">
        <v>15000</v>
      </c>
      <c r="I217" t="s">
        <v>126</v>
      </c>
      <c r="J217">
        <f>SUMIF('STOCK IN'!$C:$C, A217, 'STOCK IN'!$E:$E)</f>
        <v>146</v>
      </c>
      <c r="K217">
        <f>SUMIF('STOCK OUT'!$C:$C, A217, 'STOCK OUT'!$E:$E)</f>
        <v>105</v>
      </c>
      <c r="L217">
        <f t="shared" si="12"/>
        <v>107</v>
      </c>
      <c r="M217" t="str" cm="1">
        <f t="array" ref="M217">_xlfn.IFS(L217&lt;=0, "OUT OF STOCK", L217&lt;=F217, "REORDER", L217&lt;=G217, "LOW STOCK", TRUE, "IN STOCK")</f>
        <v>IN STOCK</v>
      </c>
      <c r="N217" s="2">
        <f t="shared" si="13"/>
        <v>1605000</v>
      </c>
      <c r="O217">
        <v>107</v>
      </c>
      <c r="P217">
        <f t="shared" si="14"/>
        <v>0</v>
      </c>
      <c r="Q217" t="str">
        <f>_xlfn.XLOOKUP(A217, 'Item Master'!$B$3:$B$502, 'Item Master'!$G$3:$G$502,,0)</f>
        <v>PT Sentosa Distribusi</v>
      </c>
      <c r="R217" t="str">
        <f t="shared" si="15"/>
        <v>CONFORM</v>
      </c>
    </row>
    <row r="218" spans="1:18" x14ac:dyDescent="0.25">
      <c r="A218" t="s">
        <v>373</v>
      </c>
      <c r="B218" t="s">
        <v>364</v>
      </c>
      <c r="C218" t="s">
        <v>345</v>
      </c>
      <c r="D218" t="s">
        <v>358</v>
      </c>
      <c r="E218">
        <v>140</v>
      </c>
      <c r="F218">
        <v>17</v>
      </c>
      <c r="G218">
        <v>46</v>
      </c>
      <c r="H218" s="2">
        <v>34000</v>
      </c>
      <c r="I218" t="s">
        <v>206</v>
      </c>
      <c r="J218">
        <f>SUMIF('STOCK IN'!$C:$C, A218, 'STOCK IN'!$E:$E)</f>
        <v>189</v>
      </c>
      <c r="K218">
        <f>SUMIF('STOCK OUT'!$C:$C, A218, 'STOCK OUT'!$E:$E)</f>
        <v>81</v>
      </c>
      <c r="L218">
        <f t="shared" si="12"/>
        <v>248</v>
      </c>
      <c r="M218" t="str" cm="1">
        <f t="array" ref="M218">_xlfn.IFS(L218&lt;=0, "OUT OF STOCK", L218&lt;=F218, "REORDER", L218&lt;=G218, "LOW STOCK", TRUE, "IN STOCK")</f>
        <v>IN STOCK</v>
      </c>
      <c r="N218" s="2">
        <f t="shared" si="13"/>
        <v>8432000</v>
      </c>
      <c r="O218">
        <v>248</v>
      </c>
      <c r="P218">
        <f t="shared" si="14"/>
        <v>0</v>
      </c>
      <c r="Q218" t="str">
        <f>_xlfn.XLOOKUP(A218, 'Item Master'!$B$3:$B$502, 'Item Master'!$G$3:$G$502,,0)</f>
        <v>CV Berkah Jaya</v>
      </c>
      <c r="R218" t="str">
        <f t="shared" si="15"/>
        <v>CONFORM</v>
      </c>
    </row>
    <row r="219" spans="1:18" x14ac:dyDescent="0.25">
      <c r="A219" t="s">
        <v>374</v>
      </c>
      <c r="B219" t="s">
        <v>366</v>
      </c>
      <c r="C219" t="s">
        <v>345</v>
      </c>
      <c r="D219" t="s">
        <v>2</v>
      </c>
      <c r="E219">
        <v>47</v>
      </c>
      <c r="F219">
        <v>21</v>
      </c>
      <c r="G219">
        <v>32</v>
      </c>
      <c r="H219" s="2">
        <v>28000</v>
      </c>
      <c r="I219" t="s">
        <v>161</v>
      </c>
      <c r="J219">
        <f>SUMIF('STOCK IN'!$C:$C, A219, 'STOCK IN'!$E:$E)</f>
        <v>84</v>
      </c>
      <c r="K219">
        <f>SUMIF('STOCK OUT'!$C:$C, A219, 'STOCK OUT'!$E:$E)</f>
        <v>191</v>
      </c>
      <c r="L219">
        <f t="shared" si="12"/>
        <v>-60</v>
      </c>
      <c r="M219" t="str" cm="1">
        <f t="array" ref="M219">_xlfn.IFS(L219&lt;=0, "OUT OF STOCK", L219&lt;=F219, "REORDER", L219&lt;=G219, "LOW STOCK", TRUE, "IN STOCK")</f>
        <v>OUT OF STOCK</v>
      </c>
      <c r="N219" s="2">
        <f t="shared" si="13"/>
        <v>-1680000</v>
      </c>
      <c r="O219">
        <v>0</v>
      </c>
      <c r="P219">
        <f t="shared" si="14"/>
        <v>0</v>
      </c>
      <c r="Q219" t="str">
        <f>_xlfn.XLOOKUP(A219, 'Item Master'!$B$3:$B$502, 'Item Master'!$G$3:$G$502,,0)</f>
        <v>PT Sentosa Distribusi</v>
      </c>
      <c r="R219" t="str">
        <f t="shared" si="15"/>
        <v>CONFORM</v>
      </c>
    </row>
    <row r="220" spans="1:18" x14ac:dyDescent="0.25">
      <c r="A220" t="s">
        <v>375</v>
      </c>
      <c r="B220" t="s">
        <v>364</v>
      </c>
      <c r="C220" t="s">
        <v>345</v>
      </c>
      <c r="D220" t="s">
        <v>358</v>
      </c>
      <c r="E220">
        <v>207</v>
      </c>
      <c r="F220">
        <v>45</v>
      </c>
      <c r="G220">
        <v>65</v>
      </c>
      <c r="H220" s="2">
        <v>23000</v>
      </c>
      <c r="I220" t="s">
        <v>110</v>
      </c>
      <c r="J220">
        <f>SUMIF('STOCK IN'!$C:$C, A220, 'STOCK IN'!$E:$E)</f>
        <v>219</v>
      </c>
      <c r="K220">
        <f>SUMIF('STOCK OUT'!$C:$C, A220, 'STOCK OUT'!$E:$E)</f>
        <v>180</v>
      </c>
      <c r="L220">
        <f t="shared" si="12"/>
        <v>246</v>
      </c>
      <c r="M220" t="str" cm="1">
        <f t="array" ref="M220">_xlfn.IFS(L220&lt;=0, "OUT OF STOCK", L220&lt;=F220, "REORDER", L220&lt;=G220, "LOW STOCK", TRUE, "IN STOCK")</f>
        <v>IN STOCK</v>
      </c>
      <c r="N220" s="2">
        <f t="shared" si="13"/>
        <v>5658000</v>
      </c>
      <c r="O220">
        <v>247</v>
      </c>
      <c r="P220">
        <f t="shared" si="14"/>
        <v>1</v>
      </c>
      <c r="Q220" t="str">
        <f>_xlfn.XLOOKUP(A220, 'Item Master'!$B$3:$B$502, 'Item Master'!$G$3:$G$502,,0)</f>
        <v>CV Karya Mandiri</v>
      </c>
      <c r="R220" t="str">
        <f t="shared" si="15"/>
        <v>SURPLUS</v>
      </c>
    </row>
    <row r="221" spans="1:18" x14ac:dyDescent="0.25">
      <c r="A221" t="s">
        <v>376</v>
      </c>
      <c r="B221" t="s">
        <v>351</v>
      </c>
      <c r="C221" t="s">
        <v>345</v>
      </c>
      <c r="D221" t="s">
        <v>2</v>
      </c>
      <c r="E221">
        <v>184</v>
      </c>
      <c r="F221">
        <v>41</v>
      </c>
      <c r="G221">
        <v>66</v>
      </c>
      <c r="H221" s="2">
        <v>639000</v>
      </c>
      <c r="I221" t="s">
        <v>259</v>
      </c>
      <c r="J221">
        <f>SUMIF('STOCK IN'!$C:$C, A221, 'STOCK IN'!$E:$E)</f>
        <v>130</v>
      </c>
      <c r="K221">
        <f>SUMIF('STOCK OUT'!$C:$C, A221, 'STOCK OUT'!$E:$E)</f>
        <v>63</v>
      </c>
      <c r="L221">
        <f t="shared" si="12"/>
        <v>251</v>
      </c>
      <c r="M221" t="str" cm="1">
        <f t="array" ref="M221">_xlfn.IFS(L221&lt;=0, "OUT OF STOCK", L221&lt;=F221, "REORDER", L221&lt;=G221, "LOW STOCK", TRUE, "IN STOCK")</f>
        <v>IN STOCK</v>
      </c>
      <c r="N221" s="2">
        <f t="shared" si="13"/>
        <v>160389000</v>
      </c>
      <c r="O221">
        <v>253</v>
      </c>
      <c r="P221">
        <f t="shared" si="14"/>
        <v>2</v>
      </c>
      <c r="Q221" t="str">
        <f>_xlfn.XLOOKUP(A221, 'Item Master'!$B$3:$B$502, 'Item Master'!$G$3:$G$502,,0)</f>
        <v>PT Solusi Komputer</v>
      </c>
      <c r="R221" t="str">
        <f t="shared" si="15"/>
        <v>SURPLUS</v>
      </c>
    </row>
    <row r="222" spans="1:18" x14ac:dyDescent="0.25">
      <c r="A222" t="s">
        <v>377</v>
      </c>
      <c r="B222" t="s">
        <v>378</v>
      </c>
      <c r="C222" t="s">
        <v>345</v>
      </c>
      <c r="D222" t="s">
        <v>2</v>
      </c>
      <c r="E222">
        <v>27</v>
      </c>
      <c r="F222">
        <v>35</v>
      </c>
      <c r="G222">
        <v>54</v>
      </c>
      <c r="H222" s="2">
        <v>22000</v>
      </c>
      <c r="I222" t="s">
        <v>50</v>
      </c>
      <c r="J222">
        <f>SUMIF('STOCK IN'!$C:$C, A222, 'STOCK IN'!$E:$E)</f>
        <v>148</v>
      </c>
      <c r="K222">
        <f>SUMIF('STOCK OUT'!$C:$C, A222, 'STOCK OUT'!$E:$E)</f>
        <v>111</v>
      </c>
      <c r="L222">
        <f t="shared" si="12"/>
        <v>64</v>
      </c>
      <c r="M222" t="str" cm="1">
        <f t="array" ref="M222">_xlfn.IFS(L222&lt;=0, "OUT OF STOCK", L222&lt;=F222, "REORDER", L222&lt;=G222, "LOW STOCK", TRUE, "IN STOCK")</f>
        <v>IN STOCK</v>
      </c>
      <c r="N222" s="2">
        <f t="shared" si="13"/>
        <v>1408000</v>
      </c>
      <c r="O222">
        <v>65</v>
      </c>
      <c r="P222">
        <f t="shared" si="14"/>
        <v>1</v>
      </c>
      <c r="Q222" t="str">
        <f>_xlfn.XLOOKUP(A222, 'Item Master'!$B$3:$B$502, 'Item Master'!$G$3:$G$502,,0)</f>
        <v>PT Cipta Sarana Niaga</v>
      </c>
      <c r="R222" t="str">
        <f t="shared" si="15"/>
        <v>SURPLUS</v>
      </c>
    </row>
    <row r="223" spans="1:18" x14ac:dyDescent="0.25">
      <c r="A223" t="s">
        <v>379</v>
      </c>
      <c r="B223" t="s">
        <v>344</v>
      </c>
      <c r="C223" t="s">
        <v>345</v>
      </c>
      <c r="D223" t="s">
        <v>346</v>
      </c>
      <c r="E223">
        <v>139</v>
      </c>
      <c r="F223">
        <v>9</v>
      </c>
      <c r="G223">
        <v>34</v>
      </c>
      <c r="H223" s="2">
        <v>62000</v>
      </c>
      <c r="I223" t="s">
        <v>106</v>
      </c>
      <c r="J223">
        <f>SUMIF('STOCK IN'!$C:$C, A223, 'STOCK IN'!$E:$E)</f>
        <v>115</v>
      </c>
      <c r="K223">
        <f>SUMIF('STOCK OUT'!$C:$C, A223, 'STOCK OUT'!$E:$E)</f>
        <v>58</v>
      </c>
      <c r="L223">
        <f t="shared" si="12"/>
        <v>196</v>
      </c>
      <c r="M223" t="str" cm="1">
        <f t="array" ref="M223">_xlfn.IFS(L223&lt;=0, "OUT OF STOCK", L223&lt;=F223, "REORDER", L223&lt;=G223, "LOW STOCK", TRUE, "IN STOCK")</f>
        <v>IN STOCK</v>
      </c>
      <c r="N223" s="2">
        <f t="shared" si="13"/>
        <v>12152000</v>
      </c>
      <c r="O223">
        <v>195</v>
      </c>
      <c r="P223">
        <f t="shared" si="14"/>
        <v>-1</v>
      </c>
      <c r="Q223" t="str">
        <f>_xlfn.XLOOKUP(A223, 'Item Master'!$B$3:$B$502, 'Item Master'!$G$3:$G$502,,0)</f>
        <v>CV Karya Mandiri</v>
      </c>
      <c r="R223" t="str">
        <f t="shared" si="15"/>
        <v>MINUS</v>
      </c>
    </row>
    <row r="224" spans="1:18" x14ac:dyDescent="0.25">
      <c r="A224" t="s">
        <v>380</v>
      </c>
      <c r="B224" t="s">
        <v>344</v>
      </c>
      <c r="C224" t="s">
        <v>345</v>
      </c>
      <c r="D224" t="s">
        <v>346</v>
      </c>
      <c r="E224">
        <v>222</v>
      </c>
      <c r="F224">
        <v>23</v>
      </c>
      <c r="G224">
        <v>55</v>
      </c>
      <c r="H224" s="2">
        <v>63000</v>
      </c>
      <c r="I224" t="s">
        <v>129</v>
      </c>
      <c r="J224">
        <f>SUMIF('STOCK IN'!$C:$C, A224, 'STOCK IN'!$E:$E)</f>
        <v>111</v>
      </c>
      <c r="K224">
        <f>SUMIF('STOCK OUT'!$C:$C, A224, 'STOCK OUT'!$E:$E)</f>
        <v>68</v>
      </c>
      <c r="L224">
        <f t="shared" si="12"/>
        <v>265</v>
      </c>
      <c r="M224" t="str" cm="1">
        <f t="array" ref="M224">_xlfn.IFS(L224&lt;=0, "OUT OF STOCK", L224&lt;=F224, "REORDER", L224&lt;=G224, "LOW STOCK", TRUE, "IN STOCK")</f>
        <v>IN STOCK</v>
      </c>
      <c r="N224" s="2">
        <f t="shared" si="13"/>
        <v>16695000</v>
      </c>
      <c r="O224">
        <v>265</v>
      </c>
      <c r="P224">
        <f t="shared" si="14"/>
        <v>0</v>
      </c>
      <c r="Q224" t="str">
        <f>_xlfn.XLOOKUP(A224, 'Item Master'!$B$3:$B$502, 'Item Master'!$G$3:$G$502,,0)</f>
        <v>CV Mitra Perkasa</v>
      </c>
      <c r="R224" t="str">
        <f t="shared" si="15"/>
        <v>CONFORM</v>
      </c>
    </row>
    <row r="225" spans="1:18" x14ac:dyDescent="0.25">
      <c r="A225" t="s">
        <v>381</v>
      </c>
      <c r="B225" t="s">
        <v>382</v>
      </c>
      <c r="C225" t="s">
        <v>345</v>
      </c>
      <c r="D225" t="s">
        <v>383</v>
      </c>
      <c r="E225">
        <v>128</v>
      </c>
      <c r="F225">
        <v>42</v>
      </c>
      <c r="G225">
        <v>64</v>
      </c>
      <c r="H225" s="2">
        <v>148000</v>
      </c>
      <c r="I225" t="s">
        <v>106</v>
      </c>
      <c r="J225">
        <f>SUMIF('STOCK IN'!$C:$C, A225, 'STOCK IN'!$E:$E)</f>
        <v>93</v>
      </c>
      <c r="K225">
        <f>SUMIF('STOCK OUT'!$C:$C, A225, 'STOCK OUT'!$E:$E)</f>
        <v>71</v>
      </c>
      <c r="L225">
        <f t="shared" si="12"/>
        <v>150</v>
      </c>
      <c r="M225" t="str" cm="1">
        <f t="array" ref="M225">_xlfn.IFS(L225&lt;=0, "OUT OF STOCK", L225&lt;=F225, "REORDER", L225&lt;=G225, "LOW STOCK", TRUE, "IN STOCK")</f>
        <v>IN STOCK</v>
      </c>
      <c r="N225" s="2">
        <f t="shared" si="13"/>
        <v>22200000</v>
      </c>
      <c r="O225">
        <v>149</v>
      </c>
      <c r="P225">
        <f t="shared" si="14"/>
        <v>-1</v>
      </c>
      <c r="Q225" t="str">
        <f>_xlfn.XLOOKUP(A225, 'Item Master'!$B$3:$B$502, 'Item Master'!$G$3:$G$502,,0)</f>
        <v>PT Sumber Teknologi Nusantara</v>
      </c>
      <c r="R225" t="str">
        <f t="shared" si="15"/>
        <v>MINUS</v>
      </c>
    </row>
    <row r="226" spans="1:18" x14ac:dyDescent="0.25">
      <c r="A226" t="s">
        <v>384</v>
      </c>
      <c r="B226" t="s">
        <v>366</v>
      </c>
      <c r="C226" t="s">
        <v>345</v>
      </c>
      <c r="D226" t="s">
        <v>2</v>
      </c>
      <c r="E226">
        <v>164</v>
      </c>
      <c r="F226">
        <v>35</v>
      </c>
      <c r="G226">
        <v>56</v>
      </c>
      <c r="H226" s="2">
        <v>56000</v>
      </c>
      <c r="I226" t="s">
        <v>104</v>
      </c>
      <c r="J226">
        <f>SUMIF('STOCK IN'!$C:$C, A226, 'STOCK IN'!$E:$E)</f>
        <v>159</v>
      </c>
      <c r="K226">
        <f>SUMIF('STOCK OUT'!$C:$C, A226, 'STOCK OUT'!$E:$E)</f>
        <v>163</v>
      </c>
      <c r="L226">
        <f t="shared" si="12"/>
        <v>160</v>
      </c>
      <c r="M226" t="str" cm="1">
        <f t="array" ref="M226">_xlfn.IFS(L226&lt;=0, "OUT OF STOCK", L226&lt;=F226, "REORDER", L226&lt;=G226, "LOW STOCK", TRUE, "IN STOCK")</f>
        <v>IN STOCK</v>
      </c>
      <c r="N226" s="2">
        <f t="shared" si="13"/>
        <v>8960000</v>
      </c>
      <c r="O226">
        <v>160</v>
      </c>
      <c r="P226">
        <f t="shared" si="14"/>
        <v>0</v>
      </c>
      <c r="Q226" t="str">
        <f>_xlfn.XLOOKUP(A226, 'Item Master'!$B$3:$B$502, 'Item Master'!$G$3:$G$502,,0)</f>
        <v>PT Sentosa Distribusi</v>
      </c>
      <c r="R226" t="str">
        <f t="shared" si="15"/>
        <v>CONFORM</v>
      </c>
    </row>
    <row r="227" spans="1:18" x14ac:dyDescent="0.25">
      <c r="A227" t="s">
        <v>385</v>
      </c>
      <c r="B227" t="s">
        <v>364</v>
      </c>
      <c r="C227" t="s">
        <v>345</v>
      </c>
      <c r="D227" t="s">
        <v>358</v>
      </c>
      <c r="E227">
        <v>240</v>
      </c>
      <c r="F227">
        <v>26</v>
      </c>
      <c r="G227">
        <v>60</v>
      </c>
      <c r="H227" s="2">
        <v>43000</v>
      </c>
      <c r="I227" t="s">
        <v>133</v>
      </c>
      <c r="J227">
        <f>SUMIF('STOCK IN'!$C:$C, A227, 'STOCK IN'!$E:$E)</f>
        <v>89</v>
      </c>
      <c r="K227">
        <f>SUMIF('STOCK OUT'!$C:$C, A227, 'STOCK OUT'!$E:$E)</f>
        <v>56</v>
      </c>
      <c r="L227">
        <f t="shared" si="12"/>
        <v>273</v>
      </c>
      <c r="M227" t="str" cm="1">
        <f t="array" ref="M227">_xlfn.IFS(L227&lt;=0, "OUT OF STOCK", L227&lt;=F227, "REORDER", L227&lt;=G227, "LOW STOCK", TRUE, "IN STOCK")</f>
        <v>IN STOCK</v>
      </c>
      <c r="N227" s="2">
        <f t="shared" si="13"/>
        <v>11739000</v>
      </c>
      <c r="O227">
        <v>276</v>
      </c>
      <c r="P227">
        <f t="shared" si="14"/>
        <v>3</v>
      </c>
      <c r="Q227" t="str">
        <f>_xlfn.XLOOKUP(A227, 'Item Master'!$B$3:$B$502, 'Item Master'!$G$3:$G$502,,0)</f>
        <v>CV Mitra Perkasa</v>
      </c>
      <c r="R227" t="str">
        <f t="shared" si="15"/>
        <v>SURPLUS</v>
      </c>
    </row>
    <row r="228" spans="1:18" x14ac:dyDescent="0.25">
      <c r="A228" t="s">
        <v>386</v>
      </c>
      <c r="B228" t="s">
        <v>344</v>
      </c>
      <c r="C228" t="s">
        <v>345</v>
      </c>
      <c r="D228" t="s">
        <v>346</v>
      </c>
      <c r="E228">
        <v>191</v>
      </c>
      <c r="F228">
        <v>33</v>
      </c>
      <c r="G228">
        <v>52</v>
      </c>
      <c r="H228" s="2">
        <v>55000</v>
      </c>
      <c r="I228" t="s">
        <v>93</v>
      </c>
      <c r="J228">
        <f>SUMIF('STOCK IN'!$C:$C, A228, 'STOCK IN'!$E:$E)</f>
        <v>0</v>
      </c>
      <c r="K228">
        <f>SUMIF('STOCK OUT'!$C:$C, A228, 'STOCK OUT'!$E:$E)</f>
        <v>106</v>
      </c>
      <c r="L228">
        <f t="shared" si="12"/>
        <v>85</v>
      </c>
      <c r="M228" t="str" cm="1">
        <f t="array" ref="M228">_xlfn.IFS(L228&lt;=0, "OUT OF STOCK", L228&lt;=F228, "REORDER", L228&lt;=G228, "LOW STOCK", TRUE, "IN STOCK")</f>
        <v>IN STOCK</v>
      </c>
      <c r="N228" s="2">
        <f t="shared" si="13"/>
        <v>4675000</v>
      </c>
      <c r="O228">
        <v>86</v>
      </c>
      <c r="P228">
        <f t="shared" si="14"/>
        <v>1</v>
      </c>
      <c r="Q228" t="str">
        <f>_xlfn.XLOOKUP(A228, 'Item Master'!$B$3:$B$502, 'Item Master'!$G$3:$G$502,,0)</f>
        <v>PT Indo Elektrik</v>
      </c>
      <c r="R228" t="str">
        <f t="shared" si="15"/>
        <v>SURPLUS</v>
      </c>
    </row>
    <row r="229" spans="1:18" x14ac:dyDescent="0.25">
      <c r="A229" t="s">
        <v>387</v>
      </c>
      <c r="B229" t="s">
        <v>378</v>
      </c>
      <c r="C229" t="s">
        <v>345</v>
      </c>
      <c r="D229" t="s">
        <v>2</v>
      </c>
      <c r="E229">
        <v>105</v>
      </c>
      <c r="F229">
        <v>23</v>
      </c>
      <c r="G229">
        <v>40</v>
      </c>
      <c r="H229" s="2">
        <v>19000</v>
      </c>
      <c r="I229" t="s">
        <v>171</v>
      </c>
      <c r="J229">
        <f>SUMIF('STOCK IN'!$C:$C, A229, 'STOCK IN'!$E:$E)</f>
        <v>16</v>
      </c>
      <c r="K229">
        <f>SUMIF('STOCK OUT'!$C:$C, A229, 'STOCK OUT'!$E:$E)</f>
        <v>74</v>
      </c>
      <c r="L229">
        <f t="shared" si="12"/>
        <v>47</v>
      </c>
      <c r="M229" t="str" cm="1">
        <f t="array" ref="M229">_xlfn.IFS(L229&lt;=0, "OUT OF STOCK", L229&lt;=F229, "REORDER", L229&lt;=G229, "LOW STOCK", TRUE, "IN STOCK")</f>
        <v>IN STOCK</v>
      </c>
      <c r="N229" s="2">
        <f t="shared" si="13"/>
        <v>893000</v>
      </c>
      <c r="O229">
        <v>50</v>
      </c>
      <c r="P229">
        <f t="shared" si="14"/>
        <v>3</v>
      </c>
      <c r="Q229" t="str">
        <f>_xlfn.XLOOKUP(A229, 'Item Master'!$B$3:$B$502, 'Item Master'!$G$3:$G$502,,0)</f>
        <v>PT Global Office Supply</v>
      </c>
      <c r="R229" t="str">
        <f t="shared" si="15"/>
        <v>SURPLUS</v>
      </c>
    </row>
    <row r="230" spans="1:18" x14ac:dyDescent="0.25">
      <c r="A230" t="s">
        <v>388</v>
      </c>
      <c r="B230" t="s">
        <v>351</v>
      </c>
      <c r="C230" t="s">
        <v>345</v>
      </c>
      <c r="D230" t="s">
        <v>2</v>
      </c>
      <c r="E230">
        <v>212</v>
      </c>
      <c r="F230">
        <v>45</v>
      </c>
      <c r="G230">
        <v>70</v>
      </c>
      <c r="H230" s="2">
        <v>233000</v>
      </c>
      <c r="I230" t="s">
        <v>147</v>
      </c>
      <c r="J230">
        <f>SUMIF('STOCK IN'!$C:$C, A230, 'STOCK IN'!$E:$E)</f>
        <v>193</v>
      </c>
      <c r="K230">
        <f>SUMIF('STOCK OUT'!$C:$C, A230, 'STOCK OUT'!$E:$E)</f>
        <v>93</v>
      </c>
      <c r="L230">
        <f t="shared" si="12"/>
        <v>312</v>
      </c>
      <c r="M230" t="str" cm="1">
        <f t="array" ref="M230">_xlfn.IFS(L230&lt;=0, "OUT OF STOCK", L230&lt;=F230, "REORDER", L230&lt;=G230, "LOW STOCK", TRUE, "IN STOCK")</f>
        <v>IN STOCK</v>
      </c>
      <c r="N230" s="2">
        <f t="shared" si="13"/>
        <v>72696000</v>
      </c>
      <c r="O230">
        <v>314</v>
      </c>
      <c r="P230">
        <f t="shared" si="14"/>
        <v>2</v>
      </c>
      <c r="Q230" t="str">
        <f>_xlfn.XLOOKUP(A230, 'Item Master'!$B$3:$B$502, 'Item Master'!$G$3:$G$502,,0)</f>
        <v>CV Berkah Jaya</v>
      </c>
      <c r="R230" t="str">
        <f t="shared" si="15"/>
        <v>SURPLUS</v>
      </c>
    </row>
    <row r="231" spans="1:18" x14ac:dyDescent="0.25">
      <c r="A231" t="s">
        <v>389</v>
      </c>
      <c r="B231" t="s">
        <v>364</v>
      </c>
      <c r="C231" t="s">
        <v>345</v>
      </c>
      <c r="D231" t="s">
        <v>358</v>
      </c>
      <c r="E231">
        <v>183</v>
      </c>
      <c r="F231">
        <v>29</v>
      </c>
      <c r="G231">
        <v>45</v>
      </c>
      <c r="H231" s="2">
        <v>35000</v>
      </c>
      <c r="I231" t="s">
        <v>77</v>
      </c>
      <c r="J231">
        <f>SUMIF('STOCK IN'!$C:$C, A231, 'STOCK IN'!$E:$E)</f>
        <v>138</v>
      </c>
      <c r="K231">
        <f>SUMIF('STOCK OUT'!$C:$C, A231, 'STOCK OUT'!$E:$E)</f>
        <v>64</v>
      </c>
      <c r="L231">
        <f t="shared" si="12"/>
        <v>257</v>
      </c>
      <c r="M231" t="str" cm="1">
        <f t="array" ref="M231">_xlfn.IFS(L231&lt;=0, "OUT OF STOCK", L231&lt;=F231, "REORDER", L231&lt;=G231, "LOW STOCK", TRUE, "IN STOCK")</f>
        <v>IN STOCK</v>
      </c>
      <c r="N231" s="2">
        <f t="shared" si="13"/>
        <v>8995000</v>
      </c>
      <c r="O231">
        <v>254</v>
      </c>
      <c r="P231">
        <f t="shared" si="14"/>
        <v>-3</v>
      </c>
      <c r="Q231" t="str">
        <f>_xlfn.XLOOKUP(A231, 'Item Master'!$B$3:$B$502, 'Item Master'!$G$3:$G$502,,0)</f>
        <v>PT Cipta Sarana Niaga</v>
      </c>
      <c r="R231" t="str">
        <f t="shared" si="15"/>
        <v>MINUS</v>
      </c>
    </row>
    <row r="232" spans="1:18" x14ac:dyDescent="0.25">
      <c r="A232" t="s">
        <v>390</v>
      </c>
      <c r="B232" t="s">
        <v>378</v>
      </c>
      <c r="C232" t="s">
        <v>345</v>
      </c>
      <c r="D232" t="s">
        <v>2</v>
      </c>
      <c r="E232">
        <v>30</v>
      </c>
      <c r="F232">
        <v>42</v>
      </c>
      <c r="G232">
        <v>68</v>
      </c>
      <c r="H232" s="2">
        <v>18000</v>
      </c>
      <c r="I232" t="s">
        <v>206</v>
      </c>
      <c r="J232">
        <f>SUMIF('STOCK IN'!$C:$C, A232, 'STOCK IN'!$E:$E)</f>
        <v>135</v>
      </c>
      <c r="K232">
        <f>SUMIF('STOCK OUT'!$C:$C, A232, 'STOCK OUT'!$E:$E)</f>
        <v>122</v>
      </c>
      <c r="L232">
        <f t="shared" si="12"/>
        <v>43</v>
      </c>
      <c r="M232" t="str" cm="1">
        <f t="array" ref="M232">_xlfn.IFS(L232&lt;=0, "OUT OF STOCK", L232&lt;=F232, "REORDER", L232&lt;=G232, "LOW STOCK", TRUE, "IN STOCK")</f>
        <v>LOW STOCK</v>
      </c>
      <c r="N232" s="2">
        <f t="shared" si="13"/>
        <v>774000</v>
      </c>
      <c r="O232">
        <v>44</v>
      </c>
      <c r="P232">
        <f t="shared" si="14"/>
        <v>1</v>
      </c>
      <c r="Q232" t="str">
        <f>_xlfn.XLOOKUP(A232, 'Item Master'!$B$3:$B$502, 'Item Master'!$G$3:$G$502,,0)</f>
        <v>PT Sentosa Distribusi</v>
      </c>
      <c r="R232" t="str">
        <f t="shared" si="15"/>
        <v>SURPLUS</v>
      </c>
    </row>
    <row r="233" spans="1:18" x14ac:dyDescent="0.25">
      <c r="A233" t="s">
        <v>391</v>
      </c>
      <c r="B233" t="s">
        <v>357</v>
      </c>
      <c r="C233" t="s">
        <v>345</v>
      </c>
      <c r="D233" t="s">
        <v>358</v>
      </c>
      <c r="E233">
        <v>162</v>
      </c>
      <c r="F233">
        <v>50</v>
      </c>
      <c r="G233">
        <v>57</v>
      </c>
      <c r="H233" s="2">
        <v>28000</v>
      </c>
      <c r="I233" t="s">
        <v>221</v>
      </c>
      <c r="J233">
        <f>SUMIF('STOCK IN'!$C:$C, A233, 'STOCK IN'!$E:$E)</f>
        <v>129</v>
      </c>
      <c r="K233">
        <f>SUMIF('STOCK OUT'!$C:$C, A233, 'STOCK OUT'!$E:$E)</f>
        <v>203</v>
      </c>
      <c r="L233">
        <f t="shared" si="12"/>
        <v>88</v>
      </c>
      <c r="M233" t="str" cm="1">
        <f t="array" ref="M233">_xlfn.IFS(L233&lt;=0, "OUT OF STOCK", L233&lt;=F233, "REORDER", L233&lt;=G233, "LOW STOCK", TRUE, "IN STOCK")</f>
        <v>IN STOCK</v>
      </c>
      <c r="N233" s="2">
        <f t="shared" si="13"/>
        <v>2464000</v>
      </c>
      <c r="O233">
        <v>85</v>
      </c>
      <c r="P233">
        <f t="shared" si="14"/>
        <v>-3</v>
      </c>
      <c r="Q233" t="str">
        <f>_xlfn.XLOOKUP(A233, 'Item Master'!$B$3:$B$502, 'Item Master'!$G$3:$G$502,,0)</f>
        <v>PT Cipta Sarana Niaga</v>
      </c>
      <c r="R233" t="str">
        <f t="shared" si="15"/>
        <v>MINUS</v>
      </c>
    </row>
    <row r="234" spans="1:18" x14ac:dyDescent="0.25">
      <c r="A234" t="s">
        <v>392</v>
      </c>
      <c r="B234" t="s">
        <v>349</v>
      </c>
      <c r="C234" t="s">
        <v>345</v>
      </c>
      <c r="D234" t="s">
        <v>2</v>
      </c>
      <c r="E234">
        <v>42</v>
      </c>
      <c r="F234">
        <v>47</v>
      </c>
      <c r="G234">
        <v>74</v>
      </c>
      <c r="H234" s="2">
        <v>15000</v>
      </c>
      <c r="I234" t="s">
        <v>24</v>
      </c>
      <c r="J234">
        <f>SUMIF('STOCK IN'!$C:$C, A234, 'STOCK IN'!$E:$E)</f>
        <v>300</v>
      </c>
      <c r="K234">
        <f>SUMIF('STOCK OUT'!$C:$C, A234, 'STOCK OUT'!$E:$E)</f>
        <v>152</v>
      </c>
      <c r="L234">
        <f t="shared" si="12"/>
        <v>190</v>
      </c>
      <c r="M234" t="str" cm="1">
        <f t="array" ref="M234">_xlfn.IFS(L234&lt;=0, "OUT OF STOCK", L234&lt;=F234, "REORDER", L234&lt;=G234, "LOW STOCK", TRUE, "IN STOCK")</f>
        <v>IN STOCK</v>
      </c>
      <c r="N234" s="2">
        <f t="shared" si="13"/>
        <v>2850000</v>
      </c>
      <c r="O234">
        <v>190</v>
      </c>
      <c r="P234">
        <f t="shared" si="14"/>
        <v>0</v>
      </c>
      <c r="Q234" t="str">
        <f>_xlfn.XLOOKUP(A234, 'Item Master'!$B$3:$B$502, 'Item Master'!$G$3:$G$502,,0)</f>
        <v>PT Indo Elektrik</v>
      </c>
      <c r="R234" t="str">
        <f t="shared" si="15"/>
        <v>CONFORM</v>
      </c>
    </row>
    <row r="235" spans="1:18" x14ac:dyDescent="0.25">
      <c r="A235" t="s">
        <v>393</v>
      </c>
      <c r="B235" t="s">
        <v>382</v>
      </c>
      <c r="C235" t="s">
        <v>345</v>
      </c>
      <c r="D235" t="s">
        <v>383</v>
      </c>
      <c r="E235">
        <v>14</v>
      </c>
      <c r="F235">
        <v>28</v>
      </c>
      <c r="G235">
        <v>42</v>
      </c>
      <c r="H235" s="2">
        <v>142000</v>
      </c>
      <c r="I235" t="s">
        <v>219</v>
      </c>
      <c r="J235">
        <f>SUMIF('STOCK IN'!$C:$C, A235, 'STOCK IN'!$E:$E)</f>
        <v>248</v>
      </c>
      <c r="K235">
        <f>SUMIF('STOCK OUT'!$C:$C, A235, 'STOCK OUT'!$E:$E)</f>
        <v>55</v>
      </c>
      <c r="L235">
        <f t="shared" si="12"/>
        <v>207</v>
      </c>
      <c r="M235" t="str" cm="1">
        <f t="array" ref="M235">_xlfn.IFS(L235&lt;=0, "OUT OF STOCK", L235&lt;=F235, "REORDER", L235&lt;=G235, "LOW STOCK", TRUE, "IN STOCK")</f>
        <v>IN STOCK</v>
      </c>
      <c r="N235" s="2">
        <f t="shared" si="13"/>
        <v>29394000</v>
      </c>
      <c r="O235">
        <v>210</v>
      </c>
      <c r="P235">
        <f t="shared" si="14"/>
        <v>3</v>
      </c>
      <c r="Q235" t="str">
        <f>_xlfn.XLOOKUP(A235, 'Item Master'!$B$3:$B$502, 'Item Master'!$G$3:$G$502,,0)</f>
        <v>PT Sentosa Distribusi</v>
      </c>
      <c r="R235" t="str">
        <f t="shared" si="15"/>
        <v>SURPLUS</v>
      </c>
    </row>
    <row r="236" spans="1:18" x14ac:dyDescent="0.25">
      <c r="A236" t="s">
        <v>394</v>
      </c>
      <c r="B236" t="s">
        <v>354</v>
      </c>
      <c r="C236" t="s">
        <v>345</v>
      </c>
      <c r="D236" t="s">
        <v>355</v>
      </c>
      <c r="E236">
        <v>67</v>
      </c>
      <c r="F236">
        <v>13</v>
      </c>
      <c r="G236">
        <v>22</v>
      </c>
      <c r="H236" s="2">
        <v>14000</v>
      </c>
      <c r="I236" t="s">
        <v>42</v>
      </c>
      <c r="J236">
        <f>SUMIF('STOCK IN'!$C:$C, A236, 'STOCK IN'!$E:$E)</f>
        <v>82</v>
      </c>
      <c r="K236">
        <f>SUMIF('STOCK OUT'!$C:$C, A236, 'STOCK OUT'!$E:$E)</f>
        <v>88</v>
      </c>
      <c r="L236">
        <f t="shared" si="12"/>
        <v>61</v>
      </c>
      <c r="M236" t="str" cm="1">
        <f t="array" ref="M236">_xlfn.IFS(L236&lt;=0, "OUT OF STOCK", L236&lt;=F236, "REORDER", L236&lt;=G236, "LOW STOCK", TRUE, "IN STOCK")</f>
        <v>IN STOCK</v>
      </c>
      <c r="N236" s="2">
        <f t="shared" si="13"/>
        <v>854000</v>
      </c>
      <c r="O236">
        <v>64</v>
      </c>
      <c r="P236">
        <f t="shared" si="14"/>
        <v>3</v>
      </c>
      <c r="Q236" t="str">
        <f>_xlfn.XLOOKUP(A236, 'Item Master'!$B$3:$B$502, 'Item Master'!$G$3:$G$502,,0)</f>
        <v>CV Mitra Perkasa</v>
      </c>
      <c r="R236" t="str">
        <f t="shared" si="15"/>
        <v>SURPLUS</v>
      </c>
    </row>
    <row r="237" spans="1:18" x14ac:dyDescent="0.25">
      <c r="A237" t="s">
        <v>395</v>
      </c>
      <c r="B237" t="s">
        <v>382</v>
      </c>
      <c r="C237" t="s">
        <v>345</v>
      </c>
      <c r="D237" t="s">
        <v>383</v>
      </c>
      <c r="E237">
        <v>179</v>
      </c>
      <c r="F237">
        <v>26</v>
      </c>
      <c r="G237">
        <v>55</v>
      </c>
      <c r="H237" s="2">
        <v>59000</v>
      </c>
      <c r="I237" t="s">
        <v>330</v>
      </c>
      <c r="J237">
        <f>SUMIF('STOCK IN'!$C:$C, A237, 'STOCK IN'!$E:$E)</f>
        <v>84</v>
      </c>
      <c r="K237">
        <f>SUMIF('STOCK OUT'!$C:$C, A237, 'STOCK OUT'!$E:$E)</f>
        <v>11</v>
      </c>
      <c r="L237">
        <f t="shared" si="12"/>
        <v>252</v>
      </c>
      <c r="M237" t="str" cm="1">
        <f t="array" ref="M237">_xlfn.IFS(L237&lt;=0, "OUT OF STOCK", L237&lt;=F237, "REORDER", L237&lt;=G237, "LOW STOCK", TRUE, "IN STOCK")</f>
        <v>IN STOCK</v>
      </c>
      <c r="N237" s="2">
        <f t="shared" si="13"/>
        <v>14868000</v>
      </c>
      <c r="O237">
        <v>253</v>
      </c>
      <c r="P237">
        <f t="shared" si="14"/>
        <v>1</v>
      </c>
      <c r="Q237" t="str">
        <f>_xlfn.XLOOKUP(A237, 'Item Master'!$B$3:$B$502, 'Item Master'!$G$3:$G$502,,0)</f>
        <v>PT Solusi Komputer</v>
      </c>
      <c r="R237" t="str">
        <f t="shared" si="15"/>
        <v>SURPLUS</v>
      </c>
    </row>
    <row r="238" spans="1:18" x14ac:dyDescent="0.25">
      <c r="A238" t="s">
        <v>396</v>
      </c>
      <c r="B238" t="s">
        <v>357</v>
      </c>
      <c r="C238" t="s">
        <v>345</v>
      </c>
      <c r="D238" t="s">
        <v>358</v>
      </c>
      <c r="E238">
        <v>51</v>
      </c>
      <c r="F238">
        <v>16</v>
      </c>
      <c r="G238">
        <v>43</v>
      </c>
      <c r="H238" s="2">
        <v>29000</v>
      </c>
      <c r="I238" t="s">
        <v>397</v>
      </c>
      <c r="J238">
        <f>SUMIF('STOCK IN'!$C:$C, A238, 'STOCK IN'!$E:$E)</f>
        <v>145</v>
      </c>
      <c r="K238">
        <f>SUMIF('STOCK OUT'!$C:$C, A238, 'STOCK OUT'!$E:$E)</f>
        <v>189</v>
      </c>
      <c r="L238">
        <f t="shared" si="12"/>
        <v>7</v>
      </c>
      <c r="M238" t="str" cm="1">
        <f t="array" ref="M238">_xlfn.IFS(L238&lt;=0, "OUT OF STOCK", L238&lt;=F238, "REORDER", L238&lt;=G238, "LOW STOCK", TRUE, "IN STOCK")</f>
        <v>REORDER</v>
      </c>
      <c r="N238" s="2">
        <f t="shared" si="13"/>
        <v>203000</v>
      </c>
      <c r="O238">
        <v>7</v>
      </c>
      <c r="P238">
        <f t="shared" si="14"/>
        <v>0</v>
      </c>
      <c r="Q238" t="str">
        <f>_xlfn.XLOOKUP(A238, 'Item Master'!$B$3:$B$502, 'Item Master'!$G$3:$G$502,,0)</f>
        <v>PT Solusi Komputer</v>
      </c>
      <c r="R238" t="str">
        <f t="shared" si="15"/>
        <v>CONFORM</v>
      </c>
    </row>
    <row r="239" spans="1:18" x14ac:dyDescent="0.25">
      <c r="A239" t="s">
        <v>398</v>
      </c>
      <c r="B239" t="s">
        <v>344</v>
      </c>
      <c r="C239" t="s">
        <v>345</v>
      </c>
      <c r="D239" t="s">
        <v>346</v>
      </c>
      <c r="E239">
        <v>103</v>
      </c>
      <c r="F239">
        <v>48</v>
      </c>
      <c r="G239">
        <v>76</v>
      </c>
      <c r="H239" s="2">
        <v>66000</v>
      </c>
      <c r="I239" t="s">
        <v>108</v>
      </c>
      <c r="J239">
        <f>SUMIF('STOCK IN'!$C:$C, A239, 'STOCK IN'!$E:$E)</f>
        <v>170</v>
      </c>
      <c r="K239">
        <f>SUMIF('STOCK OUT'!$C:$C, A239, 'STOCK OUT'!$E:$E)</f>
        <v>298</v>
      </c>
      <c r="L239">
        <f t="shared" si="12"/>
        <v>-25</v>
      </c>
      <c r="M239" t="str" cm="1">
        <f t="array" ref="M239">_xlfn.IFS(L239&lt;=0, "OUT OF STOCK", L239&lt;=F239, "REORDER", L239&lt;=G239, "LOW STOCK", TRUE, "IN STOCK")</f>
        <v>OUT OF STOCK</v>
      </c>
      <c r="N239" s="2">
        <f t="shared" si="13"/>
        <v>-1650000</v>
      </c>
      <c r="O239">
        <v>0</v>
      </c>
      <c r="P239">
        <f t="shared" si="14"/>
        <v>0</v>
      </c>
      <c r="Q239" t="str">
        <f>_xlfn.XLOOKUP(A239, 'Item Master'!$B$3:$B$502, 'Item Master'!$G$3:$G$502,,0)</f>
        <v>CV Prima Logistik</v>
      </c>
      <c r="R239" t="str">
        <f t="shared" si="15"/>
        <v>CONFORM</v>
      </c>
    </row>
    <row r="240" spans="1:18" x14ac:dyDescent="0.25">
      <c r="A240" t="s">
        <v>399</v>
      </c>
      <c r="B240" t="s">
        <v>360</v>
      </c>
      <c r="C240" t="s">
        <v>345</v>
      </c>
      <c r="D240" t="s">
        <v>358</v>
      </c>
      <c r="E240">
        <v>69</v>
      </c>
      <c r="F240">
        <v>39</v>
      </c>
      <c r="G240">
        <v>51</v>
      </c>
      <c r="H240" s="2">
        <v>19000</v>
      </c>
      <c r="I240" t="s">
        <v>164</v>
      </c>
      <c r="J240">
        <f>SUMIF('STOCK IN'!$C:$C, A240, 'STOCK IN'!$E:$E)</f>
        <v>108</v>
      </c>
      <c r="K240">
        <f>SUMIF('STOCK OUT'!$C:$C, A240, 'STOCK OUT'!$E:$E)</f>
        <v>74</v>
      </c>
      <c r="L240">
        <f t="shared" si="12"/>
        <v>103</v>
      </c>
      <c r="M240" t="str" cm="1">
        <f t="array" ref="M240">_xlfn.IFS(L240&lt;=0, "OUT OF STOCK", L240&lt;=F240, "REORDER", L240&lt;=G240, "LOW STOCK", TRUE, "IN STOCK")</f>
        <v>IN STOCK</v>
      </c>
      <c r="N240" s="2">
        <f t="shared" si="13"/>
        <v>1957000</v>
      </c>
      <c r="O240">
        <v>100</v>
      </c>
      <c r="P240">
        <f t="shared" si="14"/>
        <v>-3</v>
      </c>
      <c r="Q240" t="str">
        <f>_xlfn.XLOOKUP(A240, 'Item Master'!$B$3:$B$502, 'Item Master'!$G$3:$G$502,,0)</f>
        <v>PT Cipta Sarana Niaga</v>
      </c>
      <c r="R240" t="str">
        <f t="shared" si="15"/>
        <v>MINUS</v>
      </c>
    </row>
    <row r="241" spans="1:18" x14ac:dyDescent="0.25">
      <c r="A241" t="s">
        <v>400</v>
      </c>
      <c r="B241" t="s">
        <v>349</v>
      </c>
      <c r="C241" t="s">
        <v>345</v>
      </c>
      <c r="D241" t="s">
        <v>2</v>
      </c>
      <c r="E241">
        <v>156</v>
      </c>
      <c r="F241">
        <v>33</v>
      </c>
      <c r="G241">
        <v>52</v>
      </c>
      <c r="H241" s="2">
        <v>12000</v>
      </c>
      <c r="I241" t="s">
        <v>171</v>
      </c>
      <c r="J241">
        <f>SUMIF('STOCK IN'!$C:$C, A241, 'STOCK IN'!$E:$E)</f>
        <v>10</v>
      </c>
      <c r="K241">
        <f>SUMIF('STOCK OUT'!$C:$C, A241, 'STOCK OUT'!$E:$E)</f>
        <v>162</v>
      </c>
      <c r="L241">
        <f t="shared" si="12"/>
        <v>4</v>
      </c>
      <c r="M241" t="str" cm="1">
        <f t="array" ref="M241">_xlfn.IFS(L241&lt;=0, "OUT OF STOCK", L241&lt;=F241, "REORDER", L241&lt;=G241, "LOW STOCK", TRUE, "IN STOCK")</f>
        <v>REORDER</v>
      </c>
      <c r="N241" s="2">
        <f t="shared" si="13"/>
        <v>48000</v>
      </c>
      <c r="O241">
        <v>4</v>
      </c>
      <c r="P241">
        <f t="shared" si="14"/>
        <v>0</v>
      </c>
      <c r="Q241" t="str">
        <f>_xlfn.XLOOKUP(A241, 'Item Master'!$B$3:$B$502, 'Item Master'!$G$3:$G$502,,0)</f>
        <v>PT Cipta Sarana Niaga</v>
      </c>
      <c r="R241" t="str">
        <f t="shared" si="15"/>
        <v>CONFORM</v>
      </c>
    </row>
    <row r="242" spans="1:18" x14ac:dyDescent="0.25">
      <c r="A242" t="s">
        <v>401</v>
      </c>
      <c r="B242" t="s">
        <v>382</v>
      </c>
      <c r="C242" t="s">
        <v>345</v>
      </c>
      <c r="D242" t="s">
        <v>383</v>
      </c>
      <c r="E242">
        <v>51</v>
      </c>
      <c r="F242">
        <v>17</v>
      </c>
      <c r="G242">
        <v>47</v>
      </c>
      <c r="H242" s="2">
        <v>157000</v>
      </c>
      <c r="I242" t="s">
        <v>19</v>
      </c>
      <c r="J242">
        <f>SUMIF('STOCK IN'!$C:$C, A242, 'STOCK IN'!$E:$E)</f>
        <v>185</v>
      </c>
      <c r="K242">
        <f>SUMIF('STOCK OUT'!$C:$C, A242, 'STOCK OUT'!$E:$E)</f>
        <v>129</v>
      </c>
      <c r="L242">
        <f t="shared" si="12"/>
        <v>107</v>
      </c>
      <c r="M242" t="str" cm="1">
        <f t="array" ref="M242">_xlfn.IFS(L242&lt;=0, "OUT OF STOCK", L242&lt;=F242, "REORDER", L242&lt;=G242, "LOW STOCK", TRUE, "IN STOCK")</f>
        <v>IN STOCK</v>
      </c>
      <c r="N242" s="2">
        <f t="shared" si="13"/>
        <v>16799000</v>
      </c>
      <c r="O242">
        <v>107</v>
      </c>
      <c r="P242">
        <f t="shared" si="14"/>
        <v>0</v>
      </c>
      <c r="Q242" t="str">
        <f>_xlfn.XLOOKUP(A242, 'Item Master'!$B$3:$B$502, 'Item Master'!$G$3:$G$502,,0)</f>
        <v>PT Solusi Komputer</v>
      </c>
      <c r="R242" t="str">
        <f t="shared" si="15"/>
        <v>CONFORM</v>
      </c>
    </row>
    <row r="243" spans="1:18" x14ac:dyDescent="0.25">
      <c r="A243" t="s">
        <v>402</v>
      </c>
      <c r="B243" t="s">
        <v>344</v>
      </c>
      <c r="C243" t="s">
        <v>345</v>
      </c>
      <c r="D243" t="s">
        <v>346</v>
      </c>
      <c r="E243">
        <v>233</v>
      </c>
      <c r="F243">
        <v>28</v>
      </c>
      <c r="G243">
        <v>58</v>
      </c>
      <c r="H243" s="2">
        <v>70000</v>
      </c>
      <c r="I243" t="s">
        <v>27</v>
      </c>
      <c r="J243">
        <f>SUMIF('STOCK IN'!$C:$C, A243, 'STOCK IN'!$E:$E)</f>
        <v>248</v>
      </c>
      <c r="K243">
        <f>SUMIF('STOCK OUT'!$C:$C, A243, 'STOCK OUT'!$E:$E)</f>
        <v>101</v>
      </c>
      <c r="L243">
        <f t="shared" si="12"/>
        <v>380</v>
      </c>
      <c r="M243" t="str" cm="1">
        <f t="array" ref="M243">_xlfn.IFS(L243&lt;=0, "OUT OF STOCK", L243&lt;=F243, "REORDER", L243&lt;=G243, "LOW STOCK", TRUE, "IN STOCK")</f>
        <v>IN STOCK</v>
      </c>
      <c r="N243" s="2">
        <f t="shared" si="13"/>
        <v>26600000</v>
      </c>
      <c r="O243">
        <v>380</v>
      </c>
      <c r="P243">
        <f t="shared" si="14"/>
        <v>0</v>
      </c>
      <c r="Q243" t="str">
        <f>_xlfn.XLOOKUP(A243, 'Item Master'!$B$3:$B$502, 'Item Master'!$G$3:$G$502,,0)</f>
        <v>CV Mitra Perkasa</v>
      </c>
      <c r="R243" t="str">
        <f t="shared" si="15"/>
        <v>CONFORM</v>
      </c>
    </row>
    <row r="244" spans="1:18" x14ac:dyDescent="0.25">
      <c r="A244" t="s">
        <v>403</v>
      </c>
      <c r="B244" t="s">
        <v>364</v>
      </c>
      <c r="C244" t="s">
        <v>345</v>
      </c>
      <c r="D244" t="s">
        <v>358</v>
      </c>
      <c r="E244">
        <v>31</v>
      </c>
      <c r="F244">
        <v>15</v>
      </c>
      <c r="G244">
        <v>28</v>
      </c>
      <c r="H244" s="2">
        <v>27000</v>
      </c>
      <c r="I244" t="s">
        <v>117</v>
      </c>
      <c r="J244">
        <f>SUMIF('STOCK IN'!$C:$C, A244, 'STOCK IN'!$E:$E)</f>
        <v>265</v>
      </c>
      <c r="K244">
        <f>SUMIF('STOCK OUT'!$C:$C, A244, 'STOCK OUT'!$E:$E)</f>
        <v>188</v>
      </c>
      <c r="L244">
        <f t="shared" si="12"/>
        <v>108</v>
      </c>
      <c r="M244" t="str" cm="1">
        <f t="array" ref="M244">_xlfn.IFS(L244&lt;=0, "OUT OF STOCK", L244&lt;=F244, "REORDER", L244&lt;=G244, "LOW STOCK", TRUE, "IN STOCK")</f>
        <v>IN STOCK</v>
      </c>
      <c r="N244" s="2">
        <f t="shared" si="13"/>
        <v>2916000</v>
      </c>
      <c r="O244">
        <v>108</v>
      </c>
      <c r="P244">
        <f t="shared" si="14"/>
        <v>0</v>
      </c>
      <c r="Q244" t="str">
        <f>_xlfn.XLOOKUP(A244, 'Item Master'!$B$3:$B$502, 'Item Master'!$G$3:$G$502,,0)</f>
        <v>CV Karya Mandiri</v>
      </c>
      <c r="R244" t="str">
        <f t="shared" si="15"/>
        <v>CONFORM</v>
      </c>
    </row>
    <row r="245" spans="1:18" x14ac:dyDescent="0.25">
      <c r="A245" t="s">
        <v>404</v>
      </c>
      <c r="B245" t="s">
        <v>357</v>
      </c>
      <c r="C245" t="s">
        <v>345</v>
      </c>
      <c r="D245" t="s">
        <v>358</v>
      </c>
      <c r="E245">
        <v>243</v>
      </c>
      <c r="F245">
        <v>19</v>
      </c>
      <c r="G245">
        <v>60</v>
      </c>
      <c r="H245" s="2">
        <v>25000</v>
      </c>
      <c r="I245" t="s">
        <v>149</v>
      </c>
      <c r="J245">
        <f>SUMIF('STOCK IN'!$C:$C, A245, 'STOCK IN'!$E:$E)</f>
        <v>277</v>
      </c>
      <c r="K245">
        <f>SUMIF('STOCK OUT'!$C:$C, A245, 'STOCK OUT'!$E:$E)</f>
        <v>42</v>
      </c>
      <c r="L245">
        <f t="shared" si="12"/>
        <v>478</v>
      </c>
      <c r="M245" t="str" cm="1">
        <f t="array" ref="M245">_xlfn.IFS(L245&lt;=0, "OUT OF STOCK", L245&lt;=F245, "REORDER", L245&lt;=G245, "LOW STOCK", TRUE, "IN STOCK")</f>
        <v>IN STOCK</v>
      </c>
      <c r="N245" s="2">
        <f t="shared" si="13"/>
        <v>11950000</v>
      </c>
      <c r="O245">
        <v>475</v>
      </c>
      <c r="P245">
        <f t="shared" si="14"/>
        <v>-3</v>
      </c>
      <c r="Q245" t="str">
        <f>_xlfn.XLOOKUP(A245, 'Item Master'!$B$3:$B$502, 'Item Master'!$G$3:$G$502,,0)</f>
        <v>CV Berkah Jaya</v>
      </c>
      <c r="R245" t="str">
        <f t="shared" si="15"/>
        <v>MINUS</v>
      </c>
    </row>
    <row r="246" spans="1:18" x14ac:dyDescent="0.25">
      <c r="A246" t="s">
        <v>405</v>
      </c>
      <c r="B246" t="s">
        <v>344</v>
      </c>
      <c r="C246" t="s">
        <v>345</v>
      </c>
      <c r="D246" t="s">
        <v>346</v>
      </c>
      <c r="E246">
        <v>138</v>
      </c>
      <c r="F246">
        <v>28</v>
      </c>
      <c r="G246">
        <v>40</v>
      </c>
      <c r="H246" s="2">
        <v>65000</v>
      </c>
      <c r="I246" t="s">
        <v>121</v>
      </c>
      <c r="J246">
        <f>SUMIF('STOCK IN'!$C:$C, A246, 'STOCK IN'!$E:$E)</f>
        <v>169</v>
      </c>
      <c r="K246">
        <f>SUMIF('STOCK OUT'!$C:$C, A246, 'STOCK OUT'!$E:$E)</f>
        <v>30</v>
      </c>
      <c r="L246">
        <f t="shared" si="12"/>
        <v>277</v>
      </c>
      <c r="M246" t="str" cm="1">
        <f t="array" ref="M246">_xlfn.IFS(L246&lt;=0, "OUT OF STOCK", L246&lt;=F246, "REORDER", L246&lt;=G246, "LOW STOCK", TRUE, "IN STOCK")</f>
        <v>IN STOCK</v>
      </c>
      <c r="N246" s="2">
        <f t="shared" si="13"/>
        <v>18005000</v>
      </c>
      <c r="O246">
        <v>277</v>
      </c>
      <c r="P246">
        <f t="shared" si="14"/>
        <v>0</v>
      </c>
      <c r="Q246" t="str">
        <f>_xlfn.XLOOKUP(A246, 'Item Master'!$B$3:$B$502, 'Item Master'!$G$3:$G$502,,0)</f>
        <v>PT Global Office Supply</v>
      </c>
      <c r="R246" t="str">
        <f t="shared" si="15"/>
        <v>CONFORM</v>
      </c>
    </row>
    <row r="247" spans="1:18" x14ac:dyDescent="0.25">
      <c r="A247" t="s">
        <v>406</v>
      </c>
      <c r="B247" t="s">
        <v>366</v>
      </c>
      <c r="C247" t="s">
        <v>345</v>
      </c>
      <c r="D247" t="s">
        <v>2</v>
      </c>
      <c r="E247">
        <v>91</v>
      </c>
      <c r="F247">
        <v>11</v>
      </c>
      <c r="G247">
        <v>38</v>
      </c>
      <c r="H247" s="2">
        <v>18000</v>
      </c>
      <c r="I247" t="s">
        <v>64</v>
      </c>
      <c r="J247">
        <f>SUMIF('STOCK IN'!$C:$C, A247, 'STOCK IN'!$E:$E)</f>
        <v>103</v>
      </c>
      <c r="K247">
        <f>SUMIF('STOCK OUT'!$C:$C, A247, 'STOCK OUT'!$E:$E)</f>
        <v>172</v>
      </c>
      <c r="L247">
        <f t="shared" si="12"/>
        <v>22</v>
      </c>
      <c r="M247" t="str" cm="1">
        <f t="array" ref="M247">_xlfn.IFS(L247&lt;=0, "OUT OF STOCK", L247&lt;=F247, "REORDER", L247&lt;=G247, "LOW STOCK", TRUE, "IN STOCK")</f>
        <v>LOW STOCK</v>
      </c>
      <c r="N247" s="2">
        <f t="shared" si="13"/>
        <v>396000</v>
      </c>
      <c r="O247">
        <v>19</v>
      </c>
      <c r="P247">
        <f t="shared" si="14"/>
        <v>-3</v>
      </c>
      <c r="Q247" t="str">
        <f>_xlfn.XLOOKUP(A247, 'Item Master'!$B$3:$B$502, 'Item Master'!$G$3:$G$502,,0)</f>
        <v>CV Berkah Jaya</v>
      </c>
      <c r="R247" t="str">
        <f t="shared" si="15"/>
        <v>MINUS</v>
      </c>
    </row>
    <row r="248" spans="1:18" x14ac:dyDescent="0.25">
      <c r="A248" t="s">
        <v>407</v>
      </c>
      <c r="B248" t="s">
        <v>344</v>
      </c>
      <c r="C248" t="s">
        <v>345</v>
      </c>
      <c r="D248" t="s">
        <v>346</v>
      </c>
      <c r="E248">
        <v>244</v>
      </c>
      <c r="F248">
        <v>35</v>
      </c>
      <c r="G248">
        <v>62</v>
      </c>
      <c r="H248" s="2">
        <v>58000</v>
      </c>
      <c r="I248" t="s">
        <v>30</v>
      </c>
      <c r="J248">
        <f>SUMIF('STOCK IN'!$C:$C, A248, 'STOCK IN'!$E:$E)</f>
        <v>244</v>
      </c>
      <c r="K248">
        <f>SUMIF('STOCK OUT'!$C:$C, A248, 'STOCK OUT'!$E:$E)</f>
        <v>78</v>
      </c>
      <c r="L248">
        <f t="shared" si="12"/>
        <v>410</v>
      </c>
      <c r="M248" t="str" cm="1">
        <f t="array" ref="M248">_xlfn.IFS(L248&lt;=0, "OUT OF STOCK", L248&lt;=F248, "REORDER", L248&lt;=G248, "LOW STOCK", TRUE, "IN STOCK")</f>
        <v>IN STOCK</v>
      </c>
      <c r="N248" s="2">
        <f t="shared" si="13"/>
        <v>23780000</v>
      </c>
      <c r="O248">
        <v>413</v>
      </c>
      <c r="P248">
        <f t="shared" si="14"/>
        <v>3</v>
      </c>
      <c r="Q248" t="str">
        <f>_xlfn.XLOOKUP(A248, 'Item Master'!$B$3:$B$502, 'Item Master'!$G$3:$G$502,,0)</f>
        <v>PT Sentosa Distribusi</v>
      </c>
      <c r="R248" t="str">
        <f t="shared" si="15"/>
        <v>SURPLUS</v>
      </c>
    </row>
    <row r="249" spans="1:18" x14ac:dyDescent="0.25">
      <c r="A249" t="s">
        <v>408</v>
      </c>
      <c r="B249" t="s">
        <v>354</v>
      </c>
      <c r="C249" t="s">
        <v>345</v>
      </c>
      <c r="D249" t="s">
        <v>355</v>
      </c>
      <c r="E249">
        <v>11</v>
      </c>
      <c r="F249">
        <v>10</v>
      </c>
      <c r="G249">
        <v>15</v>
      </c>
      <c r="H249" s="2">
        <v>27000</v>
      </c>
      <c r="I249" t="s">
        <v>219</v>
      </c>
      <c r="J249">
        <f>SUMIF('STOCK IN'!$C:$C, A249, 'STOCK IN'!$E:$E)</f>
        <v>154</v>
      </c>
      <c r="K249">
        <f>SUMIF('STOCK OUT'!$C:$C, A249, 'STOCK OUT'!$E:$E)</f>
        <v>98</v>
      </c>
      <c r="L249">
        <f t="shared" si="12"/>
        <v>67</v>
      </c>
      <c r="M249" t="str" cm="1">
        <f t="array" ref="M249">_xlfn.IFS(L249&lt;=0, "OUT OF STOCK", L249&lt;=F249, "REORDER", L249&lt;=G249, "LOW STOCK", TRUE, "IN STOCK")</f>
        <v>IN STOCK</v>
      </c>
      <c r="N249" s="2">
        <f t="shared" si="13"/>
        <v>1809000</v>
      </c>
      <c r="O249">
        <v>66</v>
      </c>
      <c r="P249">
        <f t="shared" si="14"/>
        <v>-1</v>
      </c>
      <c r="Q249" t="str">
        <f>_xlfn.XLOOKUP(A249, 'Item Master'!$B$3:$B$502, 'Item Master'!$G$3:$G$502,,0)</f>
        <v>PT Cipta Sarana Niaga</v>
      </c>
      <c r="R249" t="str">
        <f t="shared" si="15"/>
        <v>MINUS</v>
      </c>
    </row>
    <row r="250" spans="1:18" x14ac:dyDescent="0.25">
      <c r="A250" t="s">
        <v>409</v>
      </c>
      <c r="B250" t="s">
        <v>382</v>
      </c>
      <c r="C250" t="s">
        <v>345</v>
      </c>
      <c r="D250" t="s">
        <v>383</v>
      </c>
      <c r="E250">
        <v>38</v>
      </c>
      <c r="F250">
        <v>23</v>
      </c>
      <c r="G250">
        <v>35</v>
      </c>
      <c r="H250" s="2">
        <v>158000</v>
      </c>
      <c r="I250" t="s">
        <v>410</v>
      </c>
      <c r="J250">
        <f>SUMIF('STOCK IN'!$C:$C, A250, 'STOCK IN'!$E:$E)</f>
        <v>125</v>
      </c>
      <c r="K250">
        <f>SUMIF('STOCK OUT'!$C:$C, A250, 'STOCK OUT'!$E:$E)</f>
        <v>54</v>
      </c>
      <c r="L250">
        <f t="shared" si="12"/>
        <v>109</v>
      </c>
      <c r="M250" t="str" cm="1">
        <f t="array" ref="M250">_xlfn.IFS(L250&lt;=0, "OUT OF STOCK", L250&lt;=F250, "REORDER", L250&lt;=G250, "LOW STOCK", TRUE, "IN STOCK")</f>
        <v>IN STOCK</v>
      </c>
      <c r="N250" s="2">
        <f t="shared" si="13"/>
        <v>17222000</v>
      </c>
      <c r="O250">
        <v>111</v>
      </c>
      <c r="P250">
        <f t="shared" si="14"/>
        <v>2</v>
      </c>
      <c r="Q250" t="str">
        <f>_xlfn.XLOOKUP(A250, 'Item Master'!$B$3:$B$502, 'Item Master'!$G$3:$G$502,,0)</f>
        <v>PT Cipta Sarana Niaga</v>
      </c>
      <c r="R250" t="str">
        <f t="shared" si="15"/>
        <v>SURPLUS</v>
      </c>
    </row>
    <row r="251" spans="1:18" x14ac:dyDescent="0.25">
      <c r="A251" t="s">
        <v>411</v>
      </c>
      <c r="B251" t="s">
        <v>366</v>
      </c>
      <c r="C251" t="s">
        <v>345</v>
      </c>
      <c r="D251" t="s">
        <v>2</v>
      </c>
      <c r="E251">
        <v>173</v>
      </c>
      <c r="F251">
        <v>44</v>
      </c>
      <c r="G251">
        <v>63</v>
      </c>
      <c r="H251" s="2">
        <v>68000</v>
      </c>
      <c r="I251" t="s">
        <v>312</v>
      </c>
      <c r="J251">
        <f>SUMIF('STOCK IN'!$C:$C, A251, 'STOCK IN'!$E:$E)</f>
        <v>148</v>
      </c>
      <c r="K251">
        <f>SUMIF('STOCK OUT'!$C:$C, A251, 'STOCK OUT'!$E:$E)</f>
        <v>91</v>
      </c>
      <c r="L251">
        <f t="shared" si="12"/>
        <v>230</v>
      </c>
      <c r="M251" t="str" cm="1">
        <f t="array" ref="M251">_xlfn.IFS(L251&lt;=0, "OUT OF STOCK", L251&lt;=F251, "REORDER", L251&lt;=G251, "LOW STOCK", TRUE, "IN STOCK")</f>
        <v>IN STOCK</v>
      </c>
      <c r="N251" s="2">
        <f t="shared" si="13"/>
        <v>15640000</v>
      </c>
      <c r="O251">
        <v>230</v>
      </c>
      <c r="P251">
        <f t="shared" si="14"/>
        <v>0</v>
      </c>
      <c r="Q251" t="str">
        <f>_xlfn.XLOOKUP(A251, 'Item Master'!$B$3:$B$502, 'Item Master'!$G$3:$G$502,,0)</f>
        <v>CV Mitra Perkasa</v>
      </c>
      <c r="R251" t="str">
        <f t="shared" si="15"/>
        <v>CONFORM</v>
      </c>
    </row>
    <row r="252" spans="1:18" x14ac:dyDescent="0.25">
      <c r="A252" t="s">
        <v>412</v>
      </c>
      <c r="B252" t="s">
        <v>351</v>
      </c>
      <c r="C252" t="s">
        <v>345</v>
      </c>
      <c r="D252" t="s">
        <v>2</v>
      </c>
      <c r="E252">
        <v>14</v>
      </c>
      <c r="F252">
        <v>45</v>
      </c>
      <c r="G252">
        <v>66</v>
      </c>
      <c r="H252" s="2">
        <v>728000</v>
      </c>
      <c r="I252" t="s">
        <v>140</v>
      </c>
      <c r="J252">
        <f>SUMIF('STOCK IN'!$C:$C, A252, 'STOCK IN'!$E:$E)</f>
        <v>148</v>
      </c>
      <c r="K252">
        <f>SUMIF('STOCK OUT'!$C:$C, A252, 'STOCK OUT'!$E:$E)</f>
        <v>74</v>
      </c>
      <c r="L252">
        <f t="shared" si="12"/>
        <v>88</v>
      </c>
      <c r="M252" t="str" cm="1">
        <f t="array" ref="M252">_xlfn.IFS(L252&lt;=0, "OUT OF STOCK", L252&lt;=F252, "REORDER", L252&lt;=G252, "LOW STOCK", TRUE, "IN STOCK")</f>
        <v>IN STOCK</v>
      </c>
      <c r="N252" s="2">
        <f t="shared" si="13"/>
        <v>64064000</v>
      </c>
      <c r="O252">
        <v>89</v>
      </c>
      <c r="P252">
        <f t="shared" si="14"/>
        <v>1</v>
      </c>
      <c r="Q252" t="str">
        <f>_xlfn.XLOOKUP(A252, 'Item Master'!$B$3:$B$502, 'Item Master'!$G$3:$G$502,,0)</f>
        <v>PT Solusi Komputer</v>
      </c>
      <c r="R252" t="str">
        <f t="shared" si="15"/>
        <v>SURPLUS</v>
      </c>
    </row>
    <row r="253" spans="1:18" x14ac:dyDescent="0.25">
      <c r="A253" t="s">
        <v>413</v>
      </c>
      <c r="B253" t="s">
        <v>360</v>
      </c>
      <c r="C253" t="s">
        <v>345</v>
      </c>
      <c r="D253" t="s">
        <v>358</v>
      </c>
      <c r="E253">
        <v>10</v>
      </c>
      <c r="F253">
        <v>44</v>
      </c>
      <c r="G253">
        <v>60</v>
      </c>
      <c r="H253" s="2">
        <v>18000</v>
      </c>
      <c r="I253" t="s">
        <v>368</v>
      </c>
      <c r="J253">
        <f>SUMIF('STOCK IN'!$C:$C, A253, 'STOCK IN'!$E:$E)</f>
        <v>325</v>
      </c>
      <c r="K253">
        <f>SUMIF('STOCK OUT'!$C:$C, A253, 'STOCK OUT'!$E:$E)</f>
        <v>103</v>
      </c>
      <c r="L253">
        <f t="shared" si="12"/>
        <v>232</v>
      </c>
      <c r="M253" t="str" cm="1">
        <f t="array" ref="M253">_xlfn.IFS(L253&lt;=0, "OUT OF STOCK", L253&lt;=F253, "REORDER", L253&lt;=G253, "LOW STOCK", TRUE, "IN STOCK")</f>
        <v>IN STOCK</v>
      </c>
      <c r="N253" s="2">
        <f t="shared" si="13"/>
        <v>4176000</v>
      </c>
      <c r="O253">
        <v>230</v>
      </c>
      <c r="P253">
        <f t="shared" si="14"/>
        <v>-2</v>
      </c>
      <c r="Q253" t="str">
        <f>_xlfn.XLOOKUP(A253, 'Item Master'!$B$3:$B$502, 'Item Master'!$G$3:$G$502,,0)</f>
        <v>CV Prima Logistik</v>
      </c>
      <c r="R253" t="str">
        <f t="shared" si="15"/>
        <v>MINUS</v>
      </c>
    </row>
    <row r="254" spans="1:18" x14ac:dyDescent="0.25">
      <c r="A254" t="s">
        <v>414</v>
      </c>
      <c r="B254" t="s">
        <v>378</v>
      </c>
      <c r="C254" t="s">
        <v>345</v>
      </c>
      <c r="D254" t="s">
        <v>2</v>
      </c>
      <c r="E254">
        <v>181</v>
      </c>
      <c r="F254">
        <v>10</v>
      </c>
      <c r="G254">
        <v>45</v>
      </c>
      <c r="H254" s="2">
        <v>29000</v>
      </c>
      <c r="I254" t="s">
        <v>147</v>
      </c>
      <c r="J254">
        <f>SUMIF('STOCK IN'!$C:$C, A254, 'STOCK IN'!$E:$E)</f>
        <v>57</v>
      </c>
      <c r="K254">
        <f>SUMIF('STOCK OUT'!$C:$C, A254, 'STOCK OUT'!$E:$E)</f>
        <v>186</v>
      </c>
      <c r="L254">
        <f t="shared" si="12"/>
        <v>52</v>
      </c>
      <c r="M254" t="str" cm="1">
        <f t="array" ref="M254">_xlfn.IFS(L254&lt;=0, "OUT OF STOCK", L254&lt;=F254, "REORDER", L254&lt;=G254, "LOW STOCK", TRUE, "IN STOCK")</f>
        <v>IN STOCK</v>
      </c>
      <c r="N254" s="2">
        <f t="shared" si="13"/>
        <v>1508000</v>
      </c>
      <c r="O254">
        <v>52</v>
      </c>
      <c r="P254">
        <f t="shared" si="14"/>
        <v>0</v>
      </c>
      <c r="Q254" t="str">
        <f>_xlfn.XLOOKUP(A254, 'Item Master'!$B$3:$B$502, 'Item Master'!$G$3:$G$502,,0)</f>
        <v>CV Berkah Jaya</v>
      </c>
      <c r="R254" t="str">
        <f t="shared" si="15"/>
        <v>CONFORM</v>
      </c>
    </row>
    <row r="255" spans="1:18" x14ac:dyDescent="0.25">
      <c r="A255" t="s">
        <v>415</v>
      </c>
      <c r="B255" t="s">
        <v>382</v>
      </c>
      <c r="C255" t="s">
        <v>345</v>
      </c>
      <c r="D255" t="s">
        <v>383</v>
      </c>
      <c r="E255">
        <v>211</v>
      </c>
      <c r="F255">
        <v>37</v>
      </c>
      <c r="G255">
        <v>59</v>
      </c>
      <c r="H255" s="2">
        <v>179000</v>
      </c>
      <c r="I255" t="s">
        <v>152</v>
      </c>
      <c r="J255">
        <f>SUMIF('STOCK IN'!$C:$C, A255, 'STOCK IN'!$E:$E)</f>
        <v>211</v>
      </c>
      <c r="K255">
        <f>SUMIF('STOCK OUT'!$C:$C, A255, 'STOCK OUT'!$E:$E)</f>
        <v>188</v>
      </c>
      <c r="L255">
        <f t="shared" si="12"/>
        <v>234</v>
      </c>
      <c r="M255" t="str" cm="1">
        <f t="array" ref="M255">_xlfn.IFS(L255&lt;=0, "OUT OF STOCK", L255&lt;=F255, "REORDER", L255&lt;=G255, "LOW STOCK", TRUE, "IN STOCK")</f>
        <v>IN STOCK</v>
      </c>
      <c r="N255" s="2">
        <f t="shared" si="13"/>
        <v>41886000</v>
      </c>
      <c r="O255">
        <v>236</v>
      </c>
      <c r="P255">
        <f t="shared" si="14"/>
        <v>2</v>
      </c>
      <c r="Q255" t="str">
        <f>_xlfn.XLOOKUP(A255, 'Item Master'!$B$3:$B$502, 'Item Master'!$G$3:$G$502,,0)</f>
        <v>PT Sumber Teknologi Nusantara</v>
      </c>
      <c r="R255" t="str">
        <f t="shared" si="15"/>
        <v>SURPLUS</v>
      </c>
    </row>
    <row r="256" spans="1:18" x14ac:dyDescent="0.25">
      <c r="A256" t="s">
        <v>416</v>
      </c>
      <c r="B256" t="s">
        <v>344</v>
      </c>
      <c r="C256" t="s">
        <v>345</v>
      </c>
      <c r="D256" t="s">
        <v>346</v>
      </c>
      <c r="E256">
        <v>105</v>
      </c>
      <c r="F256">
        <v>21</v>
      </c>
      <c r="G256">
        <v>49</v>
      </c>
      <c r="H256" s="2">
        <v>64000</v>
      </c>
      <c r="I256" t="s">
        <v>102</v>
      </c>
      <c r="J256">
        <f>SUMIF('STOCK IN'!$C:$C, A256, 'STOCK IN'!$E:$E)</f>
        <v>126</v>
      </c>
      <c r="K256">
        <f>SUMIF('STOCK OUT'!$C:$C, A256, 'STOCK OUT'!$E:$E)</f>
        <v>204</v>
      </c>
      <c r="L256">
        <f t="shared" si="12"/>
        <v>27</v>
      </c>
      <c r="M256" t="str" cm="1">
        <f t="array" ref="M256">_xlfn.IFS(L256&lt;=0, "OUT OF STOCK", L256&lt;=F256, "REORDER", L256&lt;=G256, "LOW STOCK", TRUE, "IN STOCK")</f>
        <v>LOW STOCK</v>
      </c>
      <c r="N256" s="2">
        <f t="shared" si="13"/>
        <v>1728000</v>
      </c>
      <c r="O256">
        <v>28</v>
      </c>
      <c r="P256">
        <f t="shared" si="14"/>
        <v>1</v>
      </c>
      <c r="Q256" t="str">
        <f>_xlfn.XLOOKUP(A256, 'Item Master'!$B$3:$B$502, 'Item Master'!$G$3:$G$502,,0)</f>
        <v>PT Sumber Teknologi Nusantara</v>
      </c>
      <c r="R256" t="str">
        <f t="shared" si="15"/>
        <v>SURPLUS</v>
      </c>
    </row>
    <row r="257" spans="1:18" x14ac:dyDescent="0.25">
      <c r="A257" t="s">
        <v>417</v>
      </c>
      <c r="B257" t="s">
        <v>349</v>
      </c>
      <c r="C257" t="s">
        <v>345</v>
      </c>
      <c r="D257" t="s">
        <v>2</v>
      </c>
      <c r="E257">
        <v>197</v>
      </c>
      <c r="F257">
        <v>47</v>
      </c>
      <c r="G257">
        <v>72</v>
      </c>
      <c r="H257" s="2">
        <v>5000</v>
      </c>
      <c r="I257" t="s">
        <v>75</v>
      </c>
      <c r="J257">
        <f>SUMIF('STOCK IN'!$C:$C, A257, 'STOCK IN'!$E:$E)</f>
        <v>228</v>
      </c>
      <c r="K257">
        <f>SUMIF('STOCK OUT'!$C:$C, A257, 'STOCK OUT'!$E:$E)</f>
        <v>146</v>
      </c>
      <c r="L257">
        <f t="shared" si="12"/>
        <v>279</v>
      </c>
      <c r="M257" t="str" cm="1">
        <f t="array" ref="M257">_xlfn.IFS(L257&lt;=0, "OUT OF STOCK", L257&lt;=F257, "REORDER", L257&lt;=G257, "LOW STOCK", TRUE, "IN STOCK")</f>
        <v>IN STOCK</v>
      </c>
      <c r="N257" s="2">
        <f t="shared" si="13"/>
        <v>1395000</v>
      </c>
      <c r="O257">
        <v>279</v>
      </c>
      <c r="P257">
        <f t="shared" si="14"/>
        <v>0</v>
      </c>
      <c r="Q257" t="str">
        <f>_xlfn.XLOOKUP(A257, 'Item Master'!$B$3:$B$502, 'Item Master'!$G$3:$G$502,,0)</f>
        <v>CV Mitra Perkasa</v>
      </c>
      <c r="R257" t="str">
        <f t="shared" si="15"/>
        <v>CONFORM</v>
      </c>
    </row>
    <row r="258" spans="1:18" x14ac:dyDescent="0.25">
      <c r="A258" t="s">
        <v>418</v>
      </c>
      <c r="B258" t="s">
        <v>349</v>
      </c>
      <c r="C258" t="s">
        <v>345</v>
      </c>
      <c r="D258" t="s">
        <v>2</v>
      </c>
      <c r="E258">
        <v>21</v>
      </c>
      <c r="F258">
        <v>27</v>
      </c>
      <c r="G258">
        <v>49</v>
      </c>
      <c r="H258" s="2">
        <v>4000</v>
      </c>
      <c r="I258" t="s">
        <v>250</v>
      </c>
      <c r="J258">
        <f>SUMIF('STOCK IN'!$C:$C, A258, 'STOCK IN'!$E:$E)</f>
        <v>143</v>
      </c>
      <c r="K258">
        <f>SUMIF('STOCK OUT'!$C:$C, A258, 'STOCK OUT'!$E:$E)</f>
        <v>136</v>
      </c>
      <c r="L258">
        <f t="shared" si="12"/>
        <v>28</v>
      </c>
      <c r="M258" t="str" cm="1">
        <f t="array" ref="M258">_xlfn.IFS(L258&lt;=0, "OUT OF STOCK", L258&lt;=F258, "REORDER", L258&lt;=G258, "LOW STOCK", TRUE, "IN STOCK")</f>
        <v>LOW STOCK</v>
      </c>
      <c r="N258" s="2">
        <f t="shared" si="13"/>
        <v>112000</v>
      </c>
      <c r="O258">
        <v>25</v>
      </c>
      <c r="P258">
        <f t="shared" si="14"/>
        <v>-3</v>
      </c>
      <c r="Q258" t="str">
        <f>_xlfn.XLOOKUP(A258, 'Item Master'!$B$3:$B$502, 'Item Master'!$G$3:$G$502,,0)</f>
        <v>CV Berkah Jaya</v>
      </c>
      <c r="R258" t="str">
        <f t="shared" si="15"/>
        <v>MINUS</v>
      </c>
    </row>
    <row r="259" spans="1:18" x14ac:dyDescent="0.25">
      <c r="A259" t="s">
        <v>419</v>
      </c>
      <c r="B259" t="s">
        <v>354</v>
      </c>
      <c r="C259" t="s">
        <v>345</v>
      </c>
      <c r="D259" t="s">
        <v>355</v>
      </c>
      <c r="E259">
        <v>132</v>
      </c>
      <c r="F259">
        <v>45</v>
      </c>
      <c r="G259">
        <v>55</v>
      </c>
      <c r="H259" s="2">
        <v>30000</v>
      </c>
      <c r="I259" t="s">
        <v>147</v>
      </c>
      <c r="J259">
        <f>SUMIF('STOCK IN'!$C:$C, A259, 'STOCK IN'!$E:$E)</f>
        <v>163</v>
      </c>
      <c r="K259">
        <f>SUMIF('STOCK OUT'!$C:$C, A259, 'STOCK OUT'!$E:$E)</f>
        <v>25</v>
      </c>
      <c r="L259">
        <f t="shared" ref="L259:L322" si="16">E259+J259-K259</f>
        <v>270</v>
      </c>
      <c r="M259" t="str" cm="1">
        <f t="array" ref="M259">_xlfn.IFS(L259&lt;=0, "OUT OF STOCK", L259&lt;=F259, "REORDER", L259&lt;=G259, "LOW STOCK", TRUE, "IN STOCK")</f>
        <v>IN STOCK</v>
      </c>
      <c r="N259" s="2">
        <f t="shared" ref="N259:N322" si="17">L259*H259</f>
        <v>8100000</v>
      </c>
      <c r="O259">
        <v>270</v>
      </c>
      <c r="P259">
        <f t="shared" ref="P259:P322" si="18">IF(L259&lt;0, 0, O259 - L259)</f>
        <v>0</v>
      </c>
      <c r="Q259" t="str">
        <f>_xlfn.XLOOKUP(A259, 'Item Master'!$B$3:$B$502, 'Item Master'!$G$3:$G$502,,0)</f>
        <v>PT Sentosa Distribusi</v>
      </c>
      <c r="R259" t="str">
        <f t="shared" ref="R259:R322" si="19">IF(P259=0, "CONFORM", IF(P259&gt;0, "SURPLUS", "MINUS"))</f>
        <v>CONFORM</v>
      </c>
    </row>
    <row r="260" spans="1:18" x14ac:dyDescent="0.25">
      <c r="A260" t="s">
        <v>420</v>
      </c>
      <c r="B260" t="s">
        <v>344</v>
      </c>
      <c r="C260" t="s">
        <v>345</v>
      </c>
      <c r="D260" t="s">
        <v>346</v>
      </c>
      <c r="E260">
        <v>61</v>
      </c>
      <c r="F260">
        <v>7</v>
      </c>
      <c r="G260">
        <v>37</v>
      </c>
      <c r="H260" s="2">
        <v>58000</v>
      </c>
      <c r="I260" t="s">
        <v>38</v>
      </c>
      <c r="J260">
        <f>SUMIF('STOCK IN'!$C:$C, A260, 'STOCK IN'!$E:$E)</f>
        <v>143</v>
      </c>
      <c r="K260">
        <f>SUMIF('STOCK OUT'!$C:$C, A260, 'STOCK OUT'!$E:$E)</f>
        <v>46</v>
      </c>
      <c r="L260">
        <f t="shared" si="16"/>
        <v>158</v>
      </c>
      <c r="M260" t="str" cm="1">
        <f t="array" ref="M260">_xlfn.IFS(L260&lt;=0, "OUT OF STOCK", L260&lt;=F260, "REORDER", L260&lt;=G260, "LOW STOCK", TRUE, "IN STOCK")</f>
        <v>IN STOCK</v>
      </c>
      <c r="N260" s="2">
        <f t="shared" si="17"/>
        <v>9164000</v>
      </c>
      <c r="O260">
        <v>158</v>
      </c>
      <c r="P260">
        <f t="shared" si="18"/>
        <v>0</v>
      </c>
      <c r="Q260" t="str">
        <f>_xlfn.XLOOKUP(A260, 'Item Master'!$B$3:$B$502, 'Item Master'!$G$3:$G$502,,0)</f>
        <v>CV Prima Logistik</v>
      </c>
      <c r="R260" t="str">
        <f t="shared" si="19"/>
        <v>CONFORM</v>
      </c>
    </row>
    <row r="261" spans="1:18" x14ac:dyDescent="0.25">
      <c r="A261" t="s">
        <v>421</v>
      </c>
      <c r="B261" t="s">
        <v>360</v>
      </c>
      <c r="C261" t="s">
        <v>345</v>
      </c>
      <c r="D261" t="s">
        <v>358</v>
      </c>
      <c r="E261">
        <v>218</v>
      </c>
      <c r="F261">
        <v>39</v>
      </c>
      <c r="G261">
        <v>59</v>
      </c>
      <c r="H261" s="2">
        <v>17000</v>
      </c>
      <c r="I261" t="s">
        <v>144</v>
      </c>
      <c r="J261">
        <f>SUMIF('STOCK IN'!$C:$C, A261, 'STOCK IN'!$E:$E)</f>
        <v>158</v>
      </c>
      <c r="K261">
        <f>SUMIF('STOCK OUT'!$C:$C, A261, 'STOCK OUT'!$E:$E)</f>
        <v>69</v>
      </c>
      <c r="L261">
        <f t="shared" si="16"/>
        <v>307</v>
      </c>
      <c r="M261" t="str" cm="1">
        <f t="array" ref="M261">_xlfn.IFS(L261&lt;=0, "OUT OF STOCK", L261&lt;=F261, "REORDER", L261&lt;=G261, "LOW STOCK", TRUE, "IN STOCK")</f>
        <v>IN STOCK</v>
      </c>
      <c r="N261" s="2">
        <f t="shared" si="17"/>
        <v>5219000</v>
      </c>
      <c r="O261">
        <v>307</v>
      </c>
      <c r="P261">
        <f t="shared" si="18"/>
        <v>0</v>
      </c>
      <c r="Q261" t="str">
        <f>_xlfn.XLOOKUP(A261, 'Item Master'!$B$3:$B$502, 'Item Master'!$G$3:$G$502,,0)</f>
        <v>PT Cipta Sarana Niaga</v>
      </c>
      <c r="R261" t="str">
        <f t="shared" si="19"/>
        <v>CONFORM</v>
      </c>
    </row>
    <row r="262" spans="1:18" x14ac:dyDescent="0.25">
      <c r="A262" t="s">
        <v>422</v>
      </c>
      <c r="B262" t="s">
        <v>360</v>
      </c>
      <c r="C262" t="s">
        <v>345</v>
      </c>
      <c r="D262" t="s">
        <v>358</v>
      </c>
      <c r="E262">
        <v>230</v>
      </c>
      <c r="F262">
        <v>8</v>
      </c>
      <c r="G262">
        <v>57</v>
      </c>
      <c r="H262" s="2">
        <v>16000</v>
      </c>
      <c r="I262" t="s">
        <v>423</v>
      </c>
      <c r="J262">
        <f>SUMIF('STOCK IN'!$C:$C, A262, 'STOCK IN'!$E:$E)</f>
        <v>148</v>
      </c>
      <c r="K262">
        <f>SUMIF('STOCK OUT'!$C:$C, A262, 'STOCK OUT'!$E:$E)</f>
        <v>156</v>
      </c>
      <c r="L262">
        <f t="shared" si="16"/>
        <v>222</v>
      </c>
      <c r="M262" t="str" cm="1">
        <f t="array" ref="M262">_xlfn.IFS(L262&lt;=0, "OUT OF STOCK", L262&lt;=F262, "REORDER", L262&lt;=G262, "LOW STOCK", TRUE, "IN STOCK")</f>
        <v>IN STOCK</v>
      </c>
      <c r="N262" s="2">
        <f t="shared" si="17"/>
        <v>3552000</v>
      </c>
      <c r="O262">
        <v>223</v>
      </c>
      <c r="P262">
        <f t="shared" si="18"/>
        <v>1</v>
      </c>
      <c r="Q262" t="str">
        <f>_xlfn.XLOOKUP(A262, 'Item Master'!$B$3:$B$502, 'Item Master'!$G$3:$G$502,,0)</f>
        <v>CV Berkah Jaya</v>
      </c>
      <c r="R262" t="str">
        <f t="shared" si="19"/>
        <v>SURPLUS</v>
      </c>
    </row>
    <row r="263" spans="1:18" x14ac:dyDescent="0.25">
      <c r="A263" t="s">
        <v>424</v>
      </c>
      <c r="B263" t="s">
        <v>349</v>
      </c>
      <c r="C263" t="s">
        <v>345</v>
      </c>
      <c r="D263" t="s">
        <v>2</v>
      </c>
      <c r="E263">
        <v>237</v>
      </c>
      <c r="F263">
        <v>30</v>
      </c>
      <c r="G263">
        <v>59</v>
      </c>
      <c r="H263" s="2">
        <v>8000</v>
      </c>
      <c r="I263" t="s">
        <v>152</v>
      </c>
      <c r="J263">
        <f>SUMIF('STOCK IN'!$C:$C, A263, 'STOCK IN'!$E:$E)</f>
        <v>16</v>
      </c>
      <c r="K263">
        <f>SUMIF('STOCK OUT'!$C:$C, A263, 'STOCK OUT'!$E:$E)</f>
        <v>171</v>
      </c>
      <c r="L263">
        <f t="shared" si="16"/>
        <v>82</v>
      </c>
      <c r="M263" t="str" cm="1">
        <f t="array" ref="M263">_xlfn.IFS(L263&lt;=0, "OUT OF STOCK", L263&lt;=F263, "REORDER", L263&lt;=G263, "LOW STOCK", TRUE, "IN STOCK")</f>
        <v>IN STOCK</v>
      </c>
      <c r="N263" s="2">
        <f t="shared" si="17"/>
        <v>656000</v>
      </c>
      <c r="O263">
        <v>84</v>
      </c>
      <c r="P263">
        <f t="shared" si="18"/>
        <v>2</v>
      </c>
      <c r="Q263" t="str">
        <f>_xlfn.XLOOKUP(A263, 'Item Master'!$B$3:$B$502, 'Item Master'!$G$3:$G$502,,0)</f>
        <v>CV Karya Mandiri</v>
      </c>
      <c r="R263" t="str">
        <f t="shared" si="19"/>
        <v>SURPLUS</v>
      </c>
    </row>
    <row r="264" spans="1:18" x14ac:dyDescent="0.25">
      <c r="A264" t="s">
        <v>425</v>
      </c>
      <c r="B264" t="s">
        <v>378</v>
      </c>
      <c r="C264" t="s">
        <v>345</v>
      </c>
      <c r="D264" t="s">
        <v>2</v>
      </c>
      <c r="E264">
        <v>187</v>
      </c>
      <c r="F264">
        <v>36</v>
      </c>
      <c r="G264">
        <v>52</v>
      </c>
      <c r="H264" s="2">
        <v>23000</v>
      </c>
      <c r="I264" t="s">
        <v>423</v>
      </c>
      <c r="J264">
        <f>SUMIF('STOCK IN'!$C:$C, A264, 'STOCK IN'!$E:$E)</f>
        <v>42</v>
      </c>
      <c r="K264">
        <f>SUMIF('STOCK OUT'!$C:$C, A264, 'STOCK OUT'!$E:$E)</f>
        <v>34</v>
      </c>
      <c r="L264">
        <f t="shared" si="16"/>
        <v>195</v>
      </c>
      <c r="M264" t="str" cm="1">
        <f t="array" ref="M264">_xlfn.IFS(L264&lt;=0, "OUT OF STOCK", L264&lt;=F264, "REORDER", L264&lt;=G264, "LOW STOCK", TRUE, "IN STOCK")</f>
        <v>IN STOCK</v>
      </c>
      <c r="N264" s="2">
        <f t="shared" si="17"/>
        <v>4485000</v>
      </c>
      <c r="O264">
        <v>192</v>
      </c>
      <c r="P264">
        <f t="shared" si="18"/>
        <v>-3</v>
      </c>
      <c r="Q264" t="str">
        <f>_xlfn.XLOOKUP(A264, 'Item Master'!$B$3:$B$502, 'Item Master'!$G$3:$G$502,,0)</f>
        <v>PT Indo Elektrik</v>
      </c>
      <c r="R264" t="str">
        <f t="shared" si="19"/>
        <v>MINUS</v>
      </c>
    </row>
    <row r="265" spans="1:18" x14ac:dyDescent="0.25">
      <c r="A265" t="s">
        <v>426</v>
      </c>
      <c r="B265" t="s">
        <v>357</v>
      </c>
      <c r="C265" t="s">
        <v>345</v>
      </c>
      <c r="D265" t="s">
        <v>358</v>
      </c>
      <c r="E265">
        <v>120</v>
      </c>
      <c r="F265">
        <v>43</v>
      </c>
      <c r="G265">
        <v>53</v>
      </c>
      <c r="H265" s="2">
        <v>25000</v>
      </c>
      <c r="I265" t="s">
        <v>42</v>
      </c>
      <c r="J265">
        <f>SUMIF('STOCK IN'!$C:$C, A265, 'STOCK IN'!$E:$E)</f>
        <v>206</v>
      </c>
      <c r="K265">
        <f>SUMIF('STOCK OUT'!$C:$C, A265, 'STOCK OUT'!$E:$E)</f>
        <v>126</v>
      </c>
      <c r="L265">
        <f t="shared" si="16"/>
        <v>200</v>
      </c>
      <c r="M265" t="str" cm="1">
        <f t="array" ref="M265">_xlfn.IFS(L265&lt;=0, "OUT OF STOCK", L265&lt;=F265, "REORDER", L265&lt;=G265, "LOW STOCK", TRUE, "IN STOCK")</f>
        <v>IN STOCK</v>
      </c>
      <c r="N265" s="2">
        <f t="shared" si="17"/>
        <v>5000000</v>
      </c>
      <c r="O265">
        <v>202</v>
      </c>
      <c r="P265">
        <f t="shared" si="18"/>
        <v>2</v>
      </c>
      <c r="Q265" t="str">
        <f>_xlfn.XLOOKUP(A265, 'Item Master'!$B$3:$B$502, 'Item Master'!$G$3:$G$502,,0)</f>
        <v>PT Indo Elektrik</v>
      </c>
      <c r="R265" t="str">
        <f t="shared" si="19"/>
        <v>SURPLUS</v>
      </c>
    </row>
    <row r="266" spans="1:18" x14ac:dyDescent="0.25">
      <c r="A266" t="s">
        <v>427</v>
      </c>
      <c r="B266" t="s">
        <v>364</v>
      </c>
      <c r="C266" t="s">
        <v>345</v>
      </c>
      <c r="D266" t="s">
        <v>358</v>
      </c>
      <c r="E266">
        <v>93</v>
      </c>
      <c r="F266">
        <v>47</v>
      </c>
      <c r="G266">
        <v>61</v>
      </c>
      <c r="H266" s="2">
        <v>20000</v>
      </c>
      <c r="I266" t="s">
        <v>106</v>
      </c>
      <c r="J266">
        <f>SUMIF('STOCK IN'!$C:$C, A266, 'STOCK IN'!$E:$E)</f>
        <v>66</v>
      </c>
      <c r="K266">
        <f>SUMIF('STOCK OUT'!$C:$C, A266, 'STOCK OUT'!$E:$E)</f>
        <v>84</v>
      </c>
      <c r="L266">
        <f t="shared" si="16"/>
        <v>75</v>
      </c>
      <c r="M266" t="str" cm="1">
        <f t="array" ref="M266">_xlfn.IFS(L266&lt;=0, "OUT OF STOCK", L266&lt;=F266, "REORDER", L266&lt;=G266, "LOW STOCK", TRUE, "IN STOCK")</f>
        <v>IN STOCK</v>
      </c>
      <c r="N266" s="2">
        <f t="shared" si="17"/>
        <v>1500000</v>
      </c>
      <c r="O266">
        <v>78</v>
      </c>
      <c r="P266">
        <f t="shared" si="18"/>
        <v>3</v>
      </c>
      <c r="Q266" t="str">
        <f>_xlfn.XLOOKUP(A266, 'Item Master'!$B$3:$B$502, 'Item Master'!$G$3:$G$502,,0)</f>
        <v>PT Cipta Sarana Niaga</v>
      </c>
      <c r="R266" t="str">
        <f t="shared" si="19"/>
        <v>SURPLUS</v>
      </c>
    </row>
    <row r="267" spans="1:18" x14ac:dyDescent="0.25">
      <c r="A267" t="s">
        <v>428</v>
      </c>
      <c r="B267" t="s">
        <v>357</v>
      </c>
      <c r="C267" t="s">
        <v>345</v>
      </c>
      <c r="D267" t="s">
        <v>358</v>
      </c>
      <c r="E267">
        <v>186</v>
      </c>
      <c r="F267">
        <v>33</v>
      </c>
      <c r="G267">
        <v>49</v>
      </c>
      <c r="H267" s="2">
        <v>30000</v>
      </c>
      <c r="I267" t="s">
        <v>38</v>
      </c>
      <c r="J267">
        <f>SUMIF('STOCK IN'!$C:$C, A267, 'STOCK IN'!$E:$E)</f>
        <v>68</v>
      </c>
      <c r="K267">
        <f>SUMIF('STOCK OUT'!$C:$C, A267, 'STOCK OUT'!$E:$E)</f>
        <v>88</v>
      </c>
      <c r="L267">
        <f t="shared" si="16"/>
        <v>166</v>
      </c>
      <c r="M267" t="str" cm="1">
        <f t="array" ref="M267">_xlfn.IFS(L267&lt;=0, "OUT OF STOCK", L267&lt;=F267, "REORDER", L267&lt;=G267, "LOW STOCK", TRUE, "IN STOCK")</f>
        <v>IN STOCK</v>
      </c>
      <c r="N267" s="2">
        <f t="shared" si="17"/>
        <v>4980000</v>
      </c>
      <c r="O267">
        <v>168</v>
      </c>
      <c r="P267">
        <f t="shared" si="18"/>
        <v>2</v>
      </c>
      <c r="Q267" t="str">
        <f>_xlfn.XLOOKUP(A267, 'Item Master'!$B$3:$B$502, 'Item Master'!$G$3:$G$502,,0)</f>
        <v>CV Karya Mandiri</v>
      </c>
      <c r="R267" t="str">
        <f t="shared" si="19"/>
        <v>SURPLUS</v>
      </c>
    </row>
    <row r="268" spans="1:18" x14ac:dyDescent="0.25">
      <c r="A268" t="s">
        <v>429</v>
      </c>
      <c r="B268" t="s">
        <v>351</v>
      </c>
      <c r="C268" t="s">
        <v>345</v>
      </c>
      <c r="D268" t="s">
        <v>2</v>
      </c>
      <c r="E268">
        <v>80</v>
      </c>
      <c r="F268">
        <v>45</v>
      </c>
      <c r="G268">
        <v>75</v>
      </c>
      <c r="H268" s="2">
        <v>625000</v>
      </c>
      <c r="I268" t="s">
        <v>126</v>
      </c>
      <c r="J268">
        <f>SUMIF('STOCK IN'!$C:$C, A268, 'STOCK IN'!$E:$E)</f>
        <v>227</v>
      </c>
      <c r="K268">
        <f>SUMIF('STOCK OUT'!$C:$C, A268, 'STOCK OUT'!$E:$E)</f>
        <v>39</v>
      </c>
      <c r="L268">
        <f t="shared" si="16"/>
        <v>268</v>
      </c>
      <c r="M268" t="str" cm="1">
        <f t="array" ref="M268">_xlfn.IFS(L268&lt;=0, "OUT OF STOCK", L268&lt;=F268, "REORDER", L268&lt;=G268, "LOW STOCK", TRUE, "IN STOCK")</f>
        <v>IN STOCK</v>
      </c>
      <c r="N268" s="2">
        <f t="shared" si="17"/>
        <v>167500000</v>
      </c>
      <c r="O268">
        <v>270</v>
      </c>
      <c r="P268">
        <f t="shared" si="18"/>
        <v>2</v>
      </c>
      <c r="Q268" t="str">
        <f>_xlfn.XLOOKUP(A268, 'Item Master'!$B$3:$B$502, 'Item Master'!$G$3:$G$502,,0)</f>
        <v>PT Sumber Teknologi Nusantara</v>
      </c>
      <c r="R268" t="str">
        <f t="shared" si="19"/>
        <v>SURPLUS</v>
      </c>
    </row>
    <row r="269" spans="1:18" x14ac:dyDescent="0.25">
      <c r="A269" t="s">
        <v>430</v>
      </c>
      <c r="B269" t="s">
        <v>349</v>
      </c>
      <c r="C269" t="s">
        <v>345</v>
      </c>
      <c r="D269" t="s">
        <v>2</v>
      </c>
      <c r="E269">
        <v>215</v>
      </c>
      <c r="F269">
        <v>48</v>
      </c>
      <c r="G269">
        <v>58</v>
      </c>
      <c r="H269" s="2">
        <v>10000</v>
      </c>
      <c r="I269" t="s">
        <v>64</v>
      </c>
      <c r="J269">
        <f>SUMIF('STOCK IN'!$C:$C, A269, 'STOCK IN'!$E:$E)</f>
        <v>194</v>
      </c>
      <c r="K269">
        <f>SUMIF('STOCK OUT'!$C:$C, A269, 'STOCK OUT'!$E:$E)</f>
        <v>144</v>
      </c>
      <c r="L269">
        <f t="shared" si="16"/>
        <v>265</v>
      </c>
      <c r="M269" t="str" cm="1">
        <f t="array" ref="M269">_xlfn.IFS(L269&lt;=0, "OUT OF STOCK", L269&lt;=F269, "REORDER", L269&lt;=G269, "LOW STOCK", TRUE, "IN STOCK")</f>
        <v>IN STOCK</v>
      </c>
      <c r="N269" s="2">
        <f t="shared" si="17"/>
        <v>2650000</v>
      </c>
      <c r="O269">
        <v>265</v>
      </c>
      <c r="P269">
        <f t="shared" si="18"/>
        <v>0</v>
      </c>
      <c r="Q269" t="str">
        <f>_xlfn.XLOOKUP(A269, 'Item Master'!$B$3:$B$502, 'Item Master'!$G$3:$G$502,,0)</f>
        <v>PT Sumber Teknologi Nusantara</v>
      </c>
      <c r="R269" t="str">
        <f t="shared" si="19"/>
        <v>CONFORM</v>
      </c>
    </row>
    <row r="270" spans="1:18" x14ac:dyDescent="0.25">
      <c r="A270" t="s">
        <v>431</v>
      </c>
      <c r="B270" t="s">
        <v>354</v>
      </c>
      <c r="C270" t="s">
        <v>345</v>
      </c>
      <c r="D270" t="s">
        <v>355</v>
      </c>
      <c r="E270">
        <v>42</v>
      </c>
      <c r="F270">
        <v>9</v>
      </c>
      <c r="G270">
        <v>21</v>
      </c>
      <c r="H270" s="2">
        <v>9000</v>
      </c>
      <c r="I270" t="s">
        <v>87</v>
      </c>
      <c r="J270">
        <f>SUMIF('STOCK IN'!$C:$C, A270, 'STOCK IN'!$E:$E)</f>
        <v>125</v>
      </c>
      <c r="K270">
        <f>SUMIF('STOCK OUT'!$C:$C, A270, 'STOCK OUT'!$E:$E)</f>
        <v>68</v>
      </c>
      <c r="L270">
        <f t="shared" si="16"/>
        <v>99</v>
      </c>
      <c r="M270" t="str" cm="1">
        <f t="array" ref="M270">_xlfn.IFS(L270&lt;=0, "OUT OF STOCK", L270&lt;=F270, "REORDER", L270&lt;=G270, "LOW STOCK", TRUE, "IN STOCK")</f>
        <v>IN STOCK</v>
      </c>
      <c r="N270" s="2">
        <f t="shared" si="17"/>
        <v>891000</v>
      </c>
      <c r="O270">
        <v>99</v>
      </c>
      <c r="P270">
        <f t="shared" si="18"/>
        <v>0</v>
      </c>
      <c r="Q270" t="str">
        <f>_xlfn.XLOOKUP(A270, 'Item Master'!$B$3:$B$502, 'Item Master'!$G$3:$G$502,,0)</f>
        <v>CV Berkah Jaya</v>
      </c>
      <c r="R270" t="str">
        <f t="shared" si="19"/>
        <v>CONFORM</v>
      </c>
    </row>
    <row r="271" spans="1:18" x14ac:dyDescent="0.25">
      <c r="A271" t="s">
        <v>432</v>
      </c>
      <c r="B271" t="s">
        <v>351</v>
      </c>
      <c r="C271" t="s">
        <v>345</v>
      </c>
      <c r="D271" t="s">
        <v>2</v>
      </c>
      <c r="E271">
        <v>164</v>
      </c>
      <c r="F271">
        <v>14</v>
      </c>
      <c r="G271">
        <v>41</v>
      </c>
      <c r="H271" s="2">
        <v>213000</v>
      </c>
      <c r="I271" t="s">
        <v>314</v>
      </c>
      <c r="J271">
        <f>SUMIF('STOCK IN'!$C:$C, A271, 'STOCK IN'!$E:$E)</f>
        <v>57</v>
      </c>
      <c r="K271">
        <f>SUMIF('STOCK OUT'!$C:$C, A271, 'STOCK OUT'!$E:$E)</f>
        <v>71</v>
      </c>
      <c r="L271">
        <f t="shared" si="16"/>
        <v>150</v>
      </c>
      <c r="M271" t="str" cm="1">
        <f t="array" ref="M271">_xlfn.IFS(L271&lt;=0, "OUT OF STOCK", L271&lt;=F271, "REORDER", L271&lt;=G271, "LOW STOCK", TRUE, "IN STOCK")</f>
        <v>IN STOCK</v>
      </c>
      <c r="N271" s="2">
        <f t="shared" si="17"/>
        <v>31950000</v>
      </c>
      <c r="O271">
        <v>150</v>
      </c>
      <c r="P271">
        <f t="shared" si="18"/>
        <v>0</v>
      </c>
      <c r="Q271" t="str">
        <f>_xlfn.XLOOKUP(A271, 'Item Master'!$B$3:$B$502, 'Item Master'!$G$3:$G$502,,0)</f>
        <v>CV Karya Mandiri</v>
      </c>
      <c r="R271" t="str">
        <f t="shared" si="19"/>
        <v>CONFORM</v>
      </c>
    </row>
    <row r="272" spans="1:18" x14ac:dyDescent="0.25">
      <c r="A272" t="s">
        <v>433</v>
      </c>
      <c r="B272" t="s">
        <v>354</v>
      </c>
      <c r="C272" t="s">
        <v>345</v>
      </c>
      <c r="D272" t="s">
        <v>355</v>
      </c>
      <c r="E272">
        <v>156</v>
      </c>
      <c r="F272">
        <v>13</v>
      </c>
      <c r="G272">
        <v>39</v>
      </c>
      <c r="H272" s="2">
        <v>10000</v>
      </c>
      <c r="I272" t="s">
        <v>203</v>
      </c>
      <c r="J272">
        <f>SUMIF('STOCK IN'!$C:$C, A272, 'STOCK IN'!$E:$E)</f>
        <v>37</v>
      </c>
      <c r="K272">
        <f>SUMIF('STOCK OUT'!$C:$C, A272, 'STOCK OUT'!$E:$E)</f>
        <v>87</v>
      </c>
      <c r="L272">
        <f t="shared" si="16"/>
        <v>106</v>
      </c>
      <c r="M272" t="str" cm="1">
        <f t="array" ref="M272">_xlfn.IFS(L272&lt;=0, "OUT OF STOCK", L272&lt;=F272, "REORDER", L272&lt;=G272, "LOW STOCK", TRUE, "IN STOCK")</f>
        <v>IN STOCK</v>
      </c>
      <c r="N272" s="2">
        <f t="shared" si="17"/>
        <v>1060000</v>
      </c>
      <c r="O272">
        <v>105</v>
      </c>
      <c r="P272">
        <f t="shared" si="18"/>
        <v>-1</v>
      </c>
      <c r="Q272" t="str">
        <f>_xlfn.XLOOKUP(A272, 'Item Master'!$B$3:$B$502, 'Item Master'!$G$3:$G$502,,0)</f>
        <v>CV Berkah Jaya</v>
      </c>
      <c r="R272" t="str">
        <f t="shared" si="19"/>
        <v>MINUS</v>
      </c>
    </row>
    <row r="273" spans="1:18" x14ac:dyDescent="0.25">
      <c r="A273" t="s">
        <v>434</v>
      </c>
      <c r="B273" t="s">
        <v>360</v>
      </c>
      <c r="C273" t="s">
        <v>345</v>
      </c>
      <c r="D273" t="s">
        <v>358</v>
      </c>
      <c r="E273">
        <v>39</v>
      </c>
      <c r="F273">
        <v>6</v>
      </c>
      <c r="G273">
        <v>34</v>
      </c>
      <c r="H273" s="2">
        <v>12000</v>
      </c>
      <c r="I273" t="s">
        <v>69</v>
      </c>
      <c r="J273">
        <f>SUMIF('STOCK IN'!$C:$C, A273, 'STOCK IN'!$E:$E)</f>
        <v>77</v>
      </c>
      <c r="K273">
        <f>SUMIF('STOCK OUT'!$C:$C, A273, 'STOCK OUT'!$E:$E)</f>
        <v>77</v>
      </c>
      <c r="L273">
        <f t="shared" si="16"/>
        <v>39</v>
      </c>
      <c r="M273" t="str" cm="1">
        <f t="array" ref="M273">_xlfn.IFS(L273&lt;=0, "OUT OF STOCK", L273&lt;=F273, "REORDER", L273&lt;=G273, "LOW STOCK", TRUE, "IN STOCK")</f>
        <v>IN STOCK</v>
      </c>
      <c r="N273" s="2">
        <f t="shared" si="17"/>
        <v>468000</v>
      </c>
      <c r="O273">
        <v>40</v>
      </c>
      <c r="P273">
        <f t="shared" si="18"/>
        <v>1</v>
      </c>
      <c r="Q273" t="str">
        <f>_xlfn.XLOOKUP(A273, 'Item Master'!$B$3:$B$502, 'Item Master'!$G$3:$G$502,,0)</f>
        <v>PT Sentosa Distribusi</v>
      </c>
      <c r="R273" t="str">
        <f t="shared" si="19"/>
        <v>SURPLUS</v>
      </c>
    </row>
    <row r="274" spans="1:18" x14ac:dyDescent="0.25">
      <c r="A274" t="s">
        <v>435</v>
      </c>
      <c r="B274" t="s">
        <v>357</v>
      </c>
      <c r="C274" t="s">
        <v>345</v>
      </c>
      <c r="D274" t="s">
        <v>358</v>
      </c>
      <c r="E274">
        <v>40</v>
      </c>
      <c r="F274">
        <v>21</v>
      </c>
      <c r="G274">
        <v>50</v>
      </c>
      <c r="H274" s="2">
        <v>55000</v>
      </c>
      <c r="I274" t="s">
        <v>183</v>
      </c>
      <c r="J274">
        <f>SUMIF('STOCK IN'!$C:$C, A274, 'STOCK IN'!$E:$E)</f>
        <v>55</v>
      </c>
      <c r="K274">
        <f>SUMIF('STOCK OUT'!$C:$C, A274, 'STOCK OUT'!$E:$E)</f>
        <v>80</v>
      </c>
      <c r="L274">
        <f t="shared" si="16"/>
        <v>15</v>
      </c>
      <c r="M274" t="str" cm="1">
        <f t="array" ref="M274">_xlfn.IFS(L274&lt;=0, "OUT OF STOCK", L274&lt;=F274, "REORDER", L274&lt;=G274, "LOW STOCK", TRUE, "IN STOCK")</f>
        <v>REORDER</v>
      </c>
      <c r="N274" s="2">
        <f t="shared" si="17"/>
        <v>825000</v>
      </c>
      <c r="O274">
        <v>13</v>
      </c>
      <c r="P274">
        <f t="shared" si="18"/>
        <v>-2</v>
      </c>
      <c r="Q274" t="str">
        <f>_xlfn.XLOOKUP(A274, 'Item Master'!$B$3:$B$502, 'Item Master'!$G$3:$G$502,,0)</f>
        <v>PT Cipta Sarana Niaga</v>
      </c>
      <c r="R274" t="str">
        <f t="shared" si="19"/>
        <v>MINUS</v>
      </c>
    </row>
    <row r="275" spans="1:18" x14ac:dyDescent="0.25">
      <c r="A275" t="s">
        <v>436</v>
      </c>
      <c r="B275" t="s">
        <v>366</v>
      </c>
      <c r="C275" t="s">
        <v>345</v>
      </c>
      <c r="D275" t="s">
        <v>2</v>
      </c>
      <c r="E275">
        <v>187</v>
      </c>
      <c r="F275">
        <v>36</v>
      </c>
      <c r="G275">
        <v>47</v>
      </c>
      <c r="H275" s="2">
        <v>51000</v>
      </c>
      <c r="I275" t="s">
        <v>19</v>
      </c>
      <c r="J275">
        <f>SUMIF('STOCK IN'!$C:$C, A275, 'STOCK IN'!$E:$E)</f>
        <v>121</v>
      </c>
      <c r="K275">
        <f>SUMIF('STOCK OUT'!$C:$C, A275, 'STOCK OUT'!$E:$E)</f>
        <v>149</v>
      </c>
      <c r="L275">
        <f t="shared" si="16"/>
        <v>159</v>
      </c>
      <c r="M275" t="str" cm="1">
        <f t="array" ref="M275">_xlfn.IFS(L275&lt;=0, "OUT OF STOCK", L275&lt;=F275, "REORDER", L275&lt;=G275, "LOW STOCK", TRUE, "IN STOCK")</f>
        <v>IN STOCK</v>
      </c>
      <c r="N275" s="2">
        <f t="shared" si="17"/>
        <v>8109000</v>
      </c>
      <c r="O275">
        <v>156</v>
      </c>
      <c r="P275">
        <f t="shared" si="18"/>
        <v>-3</v>
      </c>
      <c r="Q275" t="str">
        <f>_xlfn.XLOOKUP(A275, 'Item Master'!$B$3:$B$502, 'Item Master'!$G$3:$G$502,,0)</f>
        <v>CV Mitra Perkasa</v>
      </c>
      <c r="R275" t="str">
        <f t="shared" si="19"/>
        <v>MINUS</v>
      </c>
    </row>
    <row r="276" spans="1:18" x14ac:dyDescent="0.25">
      <c r="A276" t="s">
        <v>437</v>
      </c>
      <c r="B276" t="s">
        <v>354</v>
      </c>
      <c r="C276" t="s">
        <v>345</v>
      </c>
      <c r="D276" t="s">
        <v>355</v>
      </c>
      <c r="E276">
        <v>240</v>
      </c>
      <c r="F276">
        <v>50</v>
      </c>
      <c r="G276">
        <v>69</v>
      </c>
      <c r="H276" s="2">
        <v>13000</v>
      </c>
      <c r="I276" t="s">
        <v>289</v>
      </c>
      <c r="J276">
        <f>SUMIF('STOCK IN'!$C:$C, A276, 'STOCK IN'!$E:$E)</f>
        <v>49</v>
      </c>
      <c r="K276">
        <f>SUMIF('STOCK OUT'!$C:$C, A276, 'STOCK OUT'!$E:$E)</f>
        <v>170</v>
      </c>
      <c r="L276">
        <f t="shared" si="16"/>
        <v>119</v>
      </c>
      <c r="M276" t="str" cm="1">
        <f t="array" ref="M276">_xlfn.IFS(L276&lt;=0, "OUT OF STOCK", L276&lt;=F276, "REORDER", L276&lt;=G276, "LOW STOCK", TRUE, "IN STOCK")</f>
        <v>IN STOCK</v>
      </c>
      <c r="N276" s="2">
        <f t="shared" si="17"/>
        <v>1547000</v>
      </c>
      <c r="O276">
        <v>119</v>
      </c>
      <c r="P276">
        <f t="shared" si="18"/>
        <v>0</v>
      </c>
      <c r="Q276" t="str">
        <f>_xlfn.XLOOKUP(A276, 'Item Master'!$B$3:$B$502, 'Item Master'!$G$3:$G$502,,0)</f>
        <v>CV Mitra Perkasa</v>
      </c>
      <c r="R276" t="str">
        <f t="shared" si="19"/>
        <v>CONFORM</v>
      </c>
    </row>
    <row r="277" spans="1:18" x14ac:dyDescent="0.25">
      <c r="A277" t="s">
        <v>438</v>
      </c>
      <c r="B277" t="s">
        <v>349</v>
      </c>
      <c r="C277" t="s">
        <v>345</v>
      </c>
      <c r="D277" t="s">
        <v>2</v>
      </c>
      <c r="E277">
        <v>26</v>
      </c>
      <c r="F277">
        <v>40</v>
      </c>
      <c r="G277">
        <v>62</v>
      </c>
      <c r="H277" s="2">
        <v>13000</v>
      </c>
      <c r="I277" t="s">
        <v>327</v>
      </c>
      <c r="J277">
        <f>SUMIF('STOCK IN'!$C:$C, A277, 'STOCK IN'!$E:$E)</f>
        <v>10</v>
      </c>
      <c r="K277">
        <f>SUMIF('STOCK OUT'!$C:$C, A277, 'STOCK OUT'!$E:$E)</f>
        <v>92</v>
      </c>
      <c r="L277">
        <f t="shared" si="16"/>
        <v>-56</v>
      </c>
      <c r="M277" t="str" cm="1">
        <f t="array" ref="M277">_xlfn.IFS(L277&lt;=0, "OUT OF STOCK", L277&lt;=F277, "REORDER", L277&lt;=G277, "LOW STOCK", TRUE, "IN STOCK")</f>
        <v>OUT OF STOCK</v>
      </c>
      <c r="N277" s="2">
        <f t="shared" si="17"/>
        <v>-728000</v>
      </c>
      <c r="O277">
        <v>0</v>
      </c>
      <c r="P277">
        <f t="shared" si="18"/>
        <v>0</v>
      </c>
      <c r="Q277" t="str">
        <f>_xlfn.XLOOKUP(A277, 'Item Master'!$B$3:$B$502, 'Item Master'!$G$3:$G$502,,0)</f>
        <v>PT Cipta Sarana Niaga</v>
      </c>
      <c r="R277" t="str">
        <f t="shared" si="19"/>
        <v>CONFORM</v>
      </c>
    </row>
    <row r="278" spans="1:18" x14ac:dyDescent="0.25">
      <c r="A278" t="s">
        <v>439</v>
      </c>
      <c r="B278" t="s">
        <v>378</v>
      </c>
      <c r="C278" t="s">
        <v>345</v>
      </c>
      <c r="D278" t="s">
        <v>2</v>
      </c>
      <c r="E278">
        <v>102</v>
      </c>
      <c r="F278">
        <v>37</v>
      </c>
      <c r="G278">
        <v>49</v>
      </c>
      <c r="H278" s="2">
        <v>33000</v>
      </c>
      <c r="I278" t="s">
        <v>440</v>
      </c>
      <c r="J278">
        <f>SUMIF('STOCK IN'!$C:$C, A278, 'STOCK IN'!$E:$E)</f>
        <v>20</v>
      </c>
      <c r="K278">
        <f>SUMIF('STOCK OUT'!$C:$C, A278, 'STOCK OUT'!$E:$E)</f>
        <v>126</v>
      </c>
      <c r="L278">
        <f t="shared" si="16"/>
        <v>-4</v>
      </c>
      <c r="M278" t="str" cm="1">
        <f t="array" ref="M278">_xlfn.IFS(L278&lt;=0, "OUT OF STOCK", L278&lt;=F278, "REORDER", L278&lt;=G278, "LOW STOCK", TRUE, "IN STOCK")</f>
        <v>OUT OF STOCK</v>
      </c>
      <c r="N278" s="2">
        <f t="shared" si="17"/>
        <v>-132000</v>
      </c>
      <c r="O278">
        <v>0</v>
      </c>
      <c r="P278">
        <f t="shared" si="18"/>
        <v>0</v>
      </c>
      <c r="Q278" t="str">
        <f>_xlfn.XLOOKUP(A278, 'Item Master'!$B$3:$B$502, 'Item Master'!$G$3:$G$502,,0)</f>
        <v>CV Mitra Perkasa</v>
      </c>
      <c r="R278" t="str">
        <f t="shared" si="19"/>
        <v>CONFORM</v>
      </c>
    </row>
    <row r="279" spans="1:18" x14ac:dyDescent="0.25">
      <c r="A279" t="s">
        <v>441</v>
      </c>
      <c r="B279" t="s">
        <v>366</v>
      </c>
      <c r="C279" t="s">
        <v>345</v>
      </c>
      <c r="D279" t="s">
        <v>2</v>
      </c>
      <c r="E279">
        <v>16</v>
      </c>
      <c r="F279">
        <v>28</v>
      </c>
      <c r="G279">
        <v>50</v>
      </c>
      <c r="H279" s="2">
        <v>78000</v>
      </c>
      <c r="I279" t="s">
        <v>314</v>
      </c>
      <c r="J279">
        <f>SUMIF('STOCK IN'!$C:$C, A279, 'STOCK IN'!$E:$E)</f>
        <v>44</v>
      </c>
      <c r="K279">
        <f>SUMIF('STOCK OUT'!$C:$C, A279, 'STOCK OUT'!$E:$E)</f>
        <v>157</v>
      </c>
      <c r="L279">
        <f t="shared" si="16"/>
        <v>-97</v>
      </c>
      <c r="M279" t="str" cm="1">
        <f t="array" ref="M279">_xlfn.IFS(L279&lt;=0, "OUT OF STOCK", L279&lt;=F279, "REORDER", L279&lt;=G279, "LOW STOCK", TRUE, "IN STOCK")</f>
        <v>OUT OF STOCK</v>
      </c>
      <c r="N279" s="2">
        <f t="shared" si="17"/>
        <v>-7566000</v>
      </c>
      <c r="O279">
        <v>0</v>
      </c>
      <c r="P279">
        <f t="shared" si="18"/>
        <v>0</v>
      </c>
      <c r="Q279" t="str">
        <f>_xlfn.XLOOKUP(A279, 'Item Master'!$B$3:$B$502, 'Item Master'!$G$3:$G$502,,0)</f>
        <v>PT Solusi Komputer</v>
      </c>
      <c r="R279" t="str">
        <f t="shared" si="19"/>
        <v>CONFORM</v>
      </c>
    </row>
    <row r="280" spans="1:18" x14ac:dyDescent="0.25">
      <c r="A280" t="s">
        <v>442</v>
      </c>
      <c r="B280" t="s">
        <v>382</v>
      </c>
      <c r="C280" t="s">
        <v>345</v>
      </c>
      <c r="D280" t="s">
        <v>383</v>
      </c>
      <c r="E280">
        <v>166</v>
      </c>
      <c r="F280">
        <v>10</v>
      </c>
      <c r="G280">
        <v>41</v>
      </c>
      <c r="H280" s="2">
        <v>83000</v>
      </c>
      <c r="I280" t="s">
        <v>203</v>
      </c>
      <c r="J280">
        <f>SUMIF('STOCK IN'!$C:$C, A280, 'STOCK IN'!$E:$E)</f>
        <v>107</v>
      </c>
      <c r="K280">
        <f>SUMIF('STOCK OUT'!$C:$C, A280, 'STOCK OUT'!$E:$E)</f>
        <v>183</v>
      </c>
      <c r="L280">
        <f t="shared" si="16"/>
        <v>90</v>
      </c>
      <c r="M280" t="str" cm="1">
        <f t="array" ref="M280">_xlfn.IFS(L280&lt;=0, "OUT OF STOCK", L280&lt;=F280, "REORDER", L280&lt;=G280, "LOW STOCK", TRUE, "IN STOCK")</f>
        <v>IN STOCK</v>
      </c>
      <c r="N280" s="2">
        <f t="shared" si="17"/>
        <v>7470000</v>
      </c>
      <c r="O280">
        <v>89</v>
      </c>
      <c r="P280">
        <f t="shared" si="18"/>
        <v>-1</v>
      </c>
      <c r="Q280" t="str">
        <f>_xlfn.XLOOKUP(A280, 'Item Master'!$B$3:$B$502, 'Item Master'!$G$3:$G$502,,0)</f>
        <v>PT Cipta Sarana Niaga</v>
      </c>
      <c r="R280" t="str">
        <f t="shared" si="19"/>
        <v>MINUS</v>
      </c>
    </row>
    <row r="281" spans="1:18" x14ac:dyDescent="0.25">
      <c r="A281" t="s">
        <v>443</v>
      </c>
      <c r="B281" t="s">
        <v>382</v>
      </c>
      <c r="C281" t="s">
        <v>345</v>
      </c>
      <c r="D281" t="s">
        <v>383</v>
      </c>
      <c r="E281">
        <v>206</v>
      </c>
      <c r="F281">
        <v>31</v>
      </c>
      <c r="G281">
        <v>54</v>
      </c>
      <c r="H281" s="2">
        <v>155000</v>
      </c>
      <c r="I281" t="s">
        <v>330</v>
      </c>
      <c r="J281">
        <f>SUMIF('STOCK IN'!$C:$C, A281, 'STOCK IN'!$E:$E)</f>
        <v>34</v>
      </c>
      <c r="K281">
        <f>SUMIF('STOCK OUT'!$C:$C, A281, 'STOCK OUT'!$E:$E)</f>
        <v>159</v>
      </c>
      <c r="L281">
        <f t="shared" si="16"/>
        <v>81</v>
      </c>
      <c r="M281" t="str" cm="1">
        <f t="array" ref="M281">_xlfn.IFS(L281&lt;=0, "OUT OF STOCK", L281&lt;=F281, "REORDER", L281&lt;=G281, "LOW STOCK", TRUE, "IN STOCK")</f>
        <v>IN STOCK</v>
      </c>
      <c r="N281" s="2">
        <f t="shared" si="17"/>
        <v>12555000</v>
      </c>
      <c r="O281">
        <v>83</v>
      </c>
      <c r="P281">
        <f t="shared" si="18"/>
        <v>2</v>
      </c>
      <c r="Q281" t="str">
        <f>_xlfn.XLOOKUP(A281, 'Item Master'!$B$3:$B$502, 'Item Master'!$G$3:$G$502,,0)</f>
        <v>CV Mitra Perkasa</v>
      </c>
      <c r="R281" t="str">
        <f t="shared" si="19"/>
        <v>SURPLUS</v>
      </c>
    </row>
    <row r="282" spans="1:18" x14ac:dyDescent="0.25">
      <c r="A282" t="s">
        <v>444</v>
      </c>
      <c r="B282" t="s">
        <v>364</v>
      </c>
      <c r="C282" t="s">
        <v>345</v>
      </c>
      <c r="D282" t="s">
        <v>358</v>
      </c>
      <c r="E282">
        <v>129</v>
      </c>
      <c r="F282">
        <v>48</v>
      </c>
      <c r="G282">
        <v>69</v>
      </c>
      <c r="H282" s="2">
        <v>32000</v>
      </c>
      <c r="I282" t="s">
        <v>330</v>
      </c>
      <c r="J282">
        <f>SUMIF('STOCK IN'!$C:$C, A282, 'STOCK IN'!$E:$E)</f>
        <v>114</v>
      </c>
      <c r="K282">
        <f>SUMIF('STOCK OUT'!$C:$C, A282, 'STOCK OUT'!$E:$E)</f>
        <v>112</v>
      </c>
      <c r="L282">
        <f t="shared" si="16"/>
        <v>131</v>
      </c>
      <c r="M282" t="str" cm="1">
        <f t="array" ref="M282">_xlfn.IFS(L282&lt;=0, "OUT OF STOCK", L282&lt;=F282, "REORDER", L282&lt;=G282, "LOW STOCK", TRUE, "IN STOCK")</f>
        <v>IN STOCK</v>
      </c>
      <c r="N282" s="2">
        <f t="shared" si="17"/>
        <v>4192000</v>
      </c>
      <c r="O282">
        <v>131</v>
      </c>
      <c r="P282">
        <f t="shared" si="18"/>
        <v>0</v>
      </c>
      <c r="Q282" t="str">
        <f>_xlfn.XLOOKUP(A282, 'Item Master'!$B$3:$B$502, 'Item Master'!$G$3:$G$502,,0)</f>
        <v>CV Berkah Jaya</v>
      </c>
      <c r="R282" t="str">
        <f t="shared" si="19"/>
        <v>CONFORM</v>
      </c>
    </row>
    <row r="283" spans="1:18" x14ac:dyDescent="0.25">
      <c r="A283" t="s">
        <v>445</v>
      </c>
      <c r="B283" t="s">
        <v>351</v>
      </c>
      <c r="C283" t="s">
        <v>345</v>
      </c>
      <c r="D283" t="s">
        <v>2</v>
      </c>
      <c r="E283">
        <v>206</v>
      </c>
      <c r="F283">
        <v>13</v>
      </c>
      <c r="G283">
        <v>51</v>
      </c>
      <c r="H283" s="2">
        <v>366000</v>
      </c>
      <c r="I283" t="s">
        <v>104</v>
      </c>
      <c r="J283">
        <f>SUMIF('STOCK IN'!$C:$C, A283, 'STOCK IN'!$E:$E)</f>
        <v>0</v>
      </c>
      <c r="K283">
        <f>SUMIF('STOCK OUT'!$C:$C, A283, 'STOCK OUT'!$E:$E)</f>
        <v>26</v>
      </c>
      <c r="L283">
        <f t="shared" si="16"/>
        <v>180</v>
      </c>
      <c r="M283" t="str" cm="1">
        <f t="array" ref="M283">_xlfn.IFS(L283&lt;=0, "OUT OF STOCK", L283&lt;=F283, "REORDER", L283&lt;=G283, "LOW STOCK", TRUE, "IN STOCK")</f>
        <v>IN STOCK</v>
      </c>
      <c r="N283" s="2">
        <f t="shared" si="17"/>
        <v>65880000</v>
      </c>
      <c r="O283">
        <v>181</v>
      </c>
      <c r="P283">
        <f t="shared" si="18"/>
        <v>1</v>
      </c>
      <c r="Q283" t="str">
        <f>_xlfn.XLOOKUP(A283, 'Item Master'!$B$3:$B$502, 'Item Master'!$G$3:$G$502,,0)</f>
        <v>PT Indo Elektrik</v>
      </c>
      <c r="R283" t="str">
        <f t="shared" si="19"/>
        <v>SURPLUS</v>
      </c>
    </row>
    <row r="284" spans="1:18" x14ac:dyDescent="0.25">
      <c r="A284" t="s">
        <v>446</v>
      </c>
      <c r="B284" t="s">
        <v>382</v>
      </c>
      <c r="C284" t="s">
        <v>345</v>
      </c>
      <c r="D284" t="s">
        <v>383</v>
      </c>
      <c r="E284">
        <v>87</v>
      </c>
      <c r="F284">
        <v>15</v>
      </c>
      <c r="G284">
        <v>25</v>
      </c>
      <c r="H284" s="2">
        <v>89000</v>
      </c>
      <c r="I284" t="s">
        <v>183</v>
      </c>
      <c r="J284">
        <f>SUMIF('STOCK IN'!$C:$C, A284, 'STOCK IN'!$E:$E)</f>
        <v>28</v>
      </c>
      <c r="K284">
        <f>SUMIF('STOCK OUT'!$C:$C, A284, 'STOCK OUT'!$E:$E)</f>
        <v>37</v>
      </c>
      <c r="L284">
        <f t="shared" si="16"/>
        <v>78</v>
      </c>
      <c r="M284" t="str" cm="1">
        <f t="array" ref="M284">_xlfn.IFS(L284&lt;=0, "OUT OF STOCK", L284&lt;=F284, "REORDER", L284&lt;=G284, "LOW STOCK", TRUE, "IN STOCK")</f>
        <v>IN STOCK</v>
      </c>
      <c r="N284" s="2">
        <f t="shared" si="17"/>
        <v>6942000</v>
      </c>
      <c r="O284">
        <v>77</v>
      </c>
      <c r="P284">
        <f t="shared" si="18"/>
        <v>-1</v>
      </c>
      <c r="Q284" t="str">
        <f>_xlfn.XLOOKUP(A284, 'Item Master'!$B$3:$B$502, 'Item Master'!$G$3:$G$502,,0)</f>
        <v>CV Berkah Jaya</v>
      </c>
      <c r="R284" t="str">
        <f t="shared" si="19"/>
        <v>MINUS</v>
      </c>
    </row>
    <row r="285" spans="1:18" x14ac:dyDescent="0.25">
      <c r="A285" t="s">
        <v>447</v>
      </c>
      <c r="B285" t="s">
        <v>349</v>
      </c>
      <c r="C285" t="s">
        <v>345</v>
      </c>
      <c r="D285" t="s">
        <v>2</v>
      </c>
      <c r="E285">
        <v>239</v>
      </c>
      <c r="F285">
        <v>23</v>
      </c>
      <c r="G285">
        <v>59</v>
      </c>
      <c r="H285" s="2">
        <v>10000</v>
      </c>
      <c r="I285" t="s">
        <v>440</v>
      </c>
      <c r="J285">
        <f>SUMIF('STOCK IN'!$C:$C, A285, 'STOCK IN'!$E:$E)</f>
        <v>111</v>
      </c>
      <c r="K285">
        <f>SUMIF('STOCK OUT'!$C:$C, A285, 'STOCK OUT'!$E:$E)</f>
        <v>52</v>
      </c>
      <c r="L285">
        <f t="shared" si="16"/>
        <v>298</v>
      </c>
      <c r="M285" t="str" cm="1">
        <f t="array" ref="M285">_xlfn.IFS(L285&lt;=0, "OUT OF STOCK", L285&lt;=F285, "REORDER", L285&lt;=G285, "LOW STOCK", TRUE, "IN STOCK")</f>
        <v>IN STOCK</v>
      </c>
      <c r="N285" s="2">
        <f t="shared" si="17"/>
        <v>2980000</v>
      </c>
      <c r="O285">
        <v>300</v>
      </c>
      <c r="P285">
        <f t="shared" si="18"/>
        <v>2</v>
      </c>
      <c r="Q285" t="str">
        <f>_xlfn.XLOOKUP(A285, 'Item Master'!$B$3:$B$502, 'Item Master'!$G$3:$G$502,,0)</f>
        <v>PT Cipta Sarana Niaga</v>
      </c>
      <c r="R285" t="str">
        <f t="shared" si="19"/>
        <v>SURPLUS</v>
      </c>
    </row>
    <row r="286" spans="1:18" x14ac:dyDescent="0.25">
      <c r="A286" t="s">
        <v>448</v>
      </c>
      <c r="B286" t="s">
        <v>360</v>
      </c>
      <c r="C286" t="s">
        <v>345</v>
      </c>
      <c r="D286" t="s">
        <v>358</v>
      </c>
      <c r="E286">
        <v>170</v>
      </c>
      <c r="F286">
        <v>24</v>
      </c>
      <c r="G286">
        <v>48</v>
      </c>
      <c r="H286" s="2">
        <v>9000</v>
      </c>
      <c r="I286" t="s">
        <v>24</v>
      </c>
      <c r="J286">
        <f>SUMIF('STOCK IN'!$C:$C, A286, 'STOCK IN'!$E:$E)</f>
        <v>122</v>
      </c>
      <c r="K286">
        <f>SUMIF('STOCK OUT'!$C:$C, A286, 'STOCK OUT'!$E:$E)</f>
        <v>127</v>
      </c>
      <c r="L286">
        <f t="shared" si="16"/>
        <v>165</v>
      </c>
      <c r="M286" t="str" cm="1">
        <f t="array" ref="M286">_xlfn.IFS(L286&lt;=0, "OUT OF STOCK", L286&lt;=F286, "REORDER", L286&lt;=G286, "LOW STOCK", TRUE, "IN STOCK")</f>
        <v>IN STOCK</v>
      </c>
      <c r="N286" s="2">
        <f t="shared" si="17"/>
        <v>1485000</v>
      </c>
      <c r="O286">
        <v>165</v>
      </c>
      <c r="P286">
        <f t="shared" si="18"/>
        <v>0</v>
      </c>
      <c r="Q286" t="str">
        <f>_xlfn.XLOOKUP(A286, 'Item Master'!$B$3:$B$502, 'Item Master'!$G$3:$G$502,,0)</f>
        <v>PT Indo Elektrik</v>
      </c>
      <c r="R286" t="str">
        <f t="shared" si="19"/>
        <v>CONFORM</v>
      </c>
    </row>
    <row r="287" spans="1:18" x14ac:dyDescent="0.25">
      <c r="A287" t="s">
        <v>449</v>
      </c>
      <c r="B287" t="s">
        <v>378</v>
      </c>
      <c r="C287" t="s">
        <v>345</v>
      </c>
      <c r="D287" t="s">
        <v>2</v>
      </c>
      <c r="E287">
        <v>158</v>
      </c>
      <c r="F287">
        <v>14</v>
      </c>
      <c r="G287">
        <v>39</v>
      </c>
      <c r="H287" s="2">
        <v>26000</v>
      </c>
      <c r="I287" t="s">
        <v>77</v>
      </c>
      <c r="J287">
        <f>SUMIF('STOCK IN'!$C:$C, A287, 'STOCK IN'!$E:$E)</f>
        <v>27</v>
      </c>
      <c r="K287">
        <f>SUMIF('STOCK OUT'!$C:$C, A287, 'STOCK OUT'!$E:$E)</f>
        <v>139</v>
      </c>
      <c r="L287">
        <f t="shared" si="16"/>
        <v>46</v>
      </c>
      <c r="M287" t="str" cm="1">
        <f t="array" ref="M287">_xlfn.IFS(L287&lt;=0, "OUT OF STOCK", L287&lt;=F287, "REORDER", L287&lt;=G287, "LOW STOCK", TRUE, "IN STOCK")</f>
        <v>IN STOCK</v>
      </c>
      <c r="N287" s="2">
        <f t="shared" si="17"/>
        <v>1196000</v>
      </c>
      <c r="O287">
        <v>45</v>
      </c>
      <c r="P287">
        <f t="shared" si="18"/>
        <v>-1</v>
      </c>
      <c r="Q287" t="str">
        <f>_xlfn.XLOOKUP(A287, 'Item Master'!$B$3:$B$502, 'Item Master'!$G$3:$G$502,,0)</f>
        <v>PT Solusi Komputer</v>
      </c>
      <c r="R287" t="str">
        <f t="shared" si="19"/>
        <v>MINUS</v>
      </c>
    </row>
    <row r="288" spans="1:18" x14ac:dyDescent="0.25">
      <c r="A288" t="s">
        <v>450</v>
      </c>
      <c r="B288" t="s">
        <v>349</v>
      </c>
      <c r="C288" t="s">
        <v>345</v>
      </c>
      <c r="D288" t="s">
        <v>2</v>
      </c>
      <c r="E288">
        <v>246</v>
      </c>
      <c r="F288">
        <v>41</v>
      </c>
      <c r="G288">
        <v>61</v>
      </c>
      <c r="H288" s="2">
        <v>15000</v>
      </c>
      <c r="I288" t="s">
        <v>121</v>
      </c>
      <c r="J288">
        <f>SUMIF('STOCK IN'!$C:$C, A288, 'STOCK IN'!$E:$E)</f>
        <v>274</v>
      </c>
      <c r="K288">
        <f>SUMIF('STOCK OUT'!$C:$C, A288, 'STOCK OUT'!$E:$E)</f>
        <v>113</v>
      </c>
      <c r="L288">
        <f t="shared" si="16"/>
        <v>407</v>
      </c>
      <c r="M288" t="str" cm="1">
        <f t="array" ref="M288">_xlfn.IFS(L288&lt;=0, "OUT OF STOCK", L288&lt;=F288, "REORDER", L288&lt;=G288, "LOW STOCK", TRUE, "IN STOCK")</f>
        <v>IN STOCK</v>
      </c>
      <c r="N288" s="2">
        <f t="shared" si="17"/>
        <v>6105000</v>
      </c>
      <c r="O288">
        <v>404</v>
      </c>
      <c r="P288">
        <f t="shared" si="18"/>
        <v>-3</v>
      </c>
      <c r="Q288" t="str">
        <f>_xlfn.XLOOKUP(A288, 'Item Master'!$B$3:$B$502, 'Item Master'!$G$3:$G$502,,0)</f>
        <v>PT Sumber Teknologi Nusantara</v>
      </c>
      <c r="R288" t="str">
        <f t="shared" si="19"/>
        <v>MINUS</v>
      </c>
    </row>
    <row r="289" spans="1:18" x14ac:dyDescent="0.25">
      <c r="A289" t="s">
        <v>451</v>
      </c>
      <c r="B289" t="s">
        <v>351</v>
      </c>
      <c r="C289" t="s">
        <v>345</v>
      </c>
      <c r="D289" t="s">
        <v>2</v>
      </c>
      <c r="E289">
        <v>176</v>
      </c>
      <c r="F289">
        <v>18</v>
      </c>
      <c r="G289">
        <v>47</v>
      </c>
      <c r="H289" s="2">
        <v>451000</v>
      </c>
      <c r="I289" t="s">
        <v>185</v>
      </c>
      <c r="J289">
        <f>SUMIF('STOCK IN'!$C:$C, A289, 'STOCK IN'!$E:$E)</f>
        <v>199</v>
      </c>
      <c r="K289">
        <f>SUMIF('STOCK OUT'!$C:$C, A289, 'STOCK OUT'!$E:$E)</f>
        <v>121</v>
      </c>
      <c r="L289">
        <f t="shared" si="16"/>
        <v>254</v>
      </c>
      <c r="M289" t="str" cm="1">
        <f t="array" ref="M289">_xlfn.IFS(L289&lt;=0, "OUT OF STOCK", L289&lt;=F289, "REORDER", L289&lt;=G289, "LOW STOCK", TRUE, "IN STOCK")</f>
        <v>IN STOCK</v>
      </c>
      <c r="N289" s="2">
        <f t="shared" si="17"/>
        <v>114554000</v>
      </c>
      <c r="O289">
        <v>253</v>
      </c>
      <c r="P289">
        <f t="shared" si="18"/>
        <v>-1</v>
      </c>
      <c r="Q289" t="str">
        <f>_xlfn.XLOOKUP(A289, 'Item Master'!$B$3:$B$502, 'Item Master'!$G$3:$G$502,,0)</f>
        <v>PT Solusi Komputer</v>
      </c>
      <c r="R289" t="str">
        <f t="shared" si="19"/>
        <v>MINUS</v>
      </c>
    </row>
    <row r="290" spans="1:18" x14ac:dyDescent="0.25">
      <c r="A290" t="s">
        <v>452</v>
      </c>
      <c r="B290" t="s">
        <v>344</v>
      </c>
      <c r="C290" t="s">
        <v>345</v>
      </c>
      <c r="D290" t="s">
        <v>346</v>
      </c>
      <c r="E290">
        <v>237</v>
      </c>
      <c r="F290">
        <v>45</v>
      </c>
      <c r="G290">
        <v>67</v>
      </c>
      <c r="H290" s="2">
        <v>71000</v>
      </c>
      <c r="I290" t="s">
        <v>250</v>
      </c>
      <c r="J290">
        <f>SUMIF('STOCK IN'!$C:$C, A290, 'STOCK IN'!$E:$E)</f>
        <v>151</v>
      </c>
      <c r="K290">
        <f>SUMIF('STOCK OUT'!$C:$C, A290, 'STOCK OUT'!$E:$E)</f>
        <v>95</v>
      </c>
      <c r="L290">
        <f t="shared" si="16"/>
        <v>293</v>
      </c>
      <c r="M290" t="str" cm="1">
        <f t="array" ref="M290">_xlfn.IFS(L290&lt;=0, "OUT OF STOCK", L290&lt;=F290, "REORDER", L290&lt;=G290, "LOW STOCK", TRUE, "IN STOCK")</f>
        <v>IN STOCK</v>
      </c>
      <c r="N290" s="2">
        <f t="shared" si="17"/>
        <v>20803000</v>
      </c>
      <c r="O290">
        <v>292</v>
      </c>
      <c r="P290">
        <f t="shared" si="18"/>
        <v>-1</v>
      </c>
      <c r="Q290" t="str">
        <f>_xlfn.XLOOKUP(A290, 'Item Master'!$B$3:$B$502, 'Item Master'!$G$3:$G$502,,0)</f>
        <v>PT Cipta Sarana Niaga</v>
      </c>
      <c r="R290" t="str">
        <f t="shared" si="19"/>
        <v>MINUS</v>
      </c>
    </row>
    <row r="291" spans="1:18" x14ac:dyDescent="0.25">
      <c r="A291" t="s">
        <v>453</v>
      </c>
      <c r="B291" t="s">
        <v>354</v>
      </c>
      <c r="C291" t="s">
        <v>345</v>
      </c>
      <c r="D291" t="s">
        <v>355</v>
      </c>
      <c r="E291">
        <v>216</v>
      </c>
      <c r="F291">
        <v>48</v>
      </c>
      <c r="G291">
        <v>65</v>
      </c>
      <c r="H291" s="2">
        <v>15000</v>
      </c>
      <c r="I291" t="s">
        <v>124</v>
      </c>
      <c r="J291">
        <f>SUMIF('STOCK IN'!$C:$C, A291, 'STOCK IN'!$E:$E)</f>
        <v>77</v>
      </c>
      <c r="K291">
        <f>SUMIF('STOCK OUT'!$C:$C, A291, 'STOCK OUT'!$E:$E)</f>
        <v>255</v>
      </c>
      <c r="L291">
        <f t="shared" si="16"/>
        <v>38</v>
      </c>
      <c r="M291" t="str" cm="1">
        <f t="array" ref="M291">_xlfn.IFS(L291&lt;=0, "OUT OF STOCK", L291&lt;=F291, "REORDER", L291&lt;=G291, "LOW STOCK", TRUE, "IN STOCK")</f>
        <v>REORDER</v>
      </c>
      <c r="N291" s="2">
        <f t="shared" si="17"/>
        <v>570000</v>
      </c>
      <c r="O291">
        <v>37</v>
      </c>
      <c r="P291">
        <f t="shared" si="18"/>
        <v>-1</v>
      </c>
      <c r="Q291" t="str">
        <f>_xlfn.XLOOKUP(A291, 'Item Master'!$B$3:$B$502, 'Item Master'!$G$3:$G$502,,0)</f>
        <v>PT Cipta Sarana Niaga</v>
      </c>
      <c r="R291" t="str">
        <f t="shared" si="19"/>
        <v>MINUS</v>
      </c>
    </row>
    <row r="292" spans="1:18" x14ac:dyDescent="0.25">
      <c r="A292" t="s">
        <v>454</v>
      </c>
      <c r="B292" t="s">
        <v>344</v>
      </c>
      <c r="C292" t="s">
        <v>345</v>
      </c>
      <c r="D292" t="s">
        <v>346</v>
      </c>
      <c r="E292">
        <v>122</v>
      </c>
      <c r="F292">
        <v>31</v>
      </c>
      <c r="G292">
        <v>51</v>
      </c>
      <c r="H292" s="2">
        <v>50000</v>
      </c>
      <c r="I292" t="s">
        <v>455</v>
      </c>
      <c r="J292">
        <f>SUMIF('STOCK IN'!$C:$C, A292, 'STOCK IN'!$E:$E)</f>
        <v>149</v>
      </c>
      <c r="K292">
        <f>SUMIF('STOCK OUT'!$C:$C, A292, 'STOCK OUT'!$E:$E)</f>
        <v>145</v>
      </c>
      <c r="L292">
        <f t="shared" si="16"/>
        <v>126</v>
      </c>
      <c r="M292" t="str" cm="1">
        <f t="array" ref="M292">_xlfn.IFS(L292&lt;=0, "OUT OF STOCK", L292&lt;=F292, "REORDER", L292&lt;=G292, "LOW STOCK", TRUE, "IN STOCK")</f>
        <v>IN STOCK</v>
      </c>
      <c r="N292" s="2">
        <f t="shared" si="17"/>
        <v>6300000</v>
      </c>
      <c r="O292">
        <v>128</v>
      </c>
      <c r="P292">
        <f t="shared" si="18"/>
        <v>2</v>
      </c>
      <c r="Q292" t="str">
        <f>_xlfn.XLOOKUP(A292, 'Item Master'!$B$3:$B$502, 'Item Master'!$G$3:$G$502,,0)</f>
        <v>CV Karya Mandiri</v>
      </c>
      <c r="R292" t="str">
        <f t="shared" si="19"/>
        <v>SURPLUS</v>
      </c>
    </row>
    <row r="293" spans="1:18" x14ac:dyDescent="0.25">
      <c r="A293" t="s">
        <v>456</v>
      </c>
      <c r="B293" t="s">
        <v>351</v>
      </c>
      <c r="C293" t="s">
        <v>345</v>
      </c>
      <c r="D293" t="s">
        <v>2</v>
      </c>
      <c r="E293">
        <v>90</v>
      </c>
      <c r="F293">
        <v>50</v>
      </c>
      <c r="G293">
        <v>65</v>
      </c>
      <c r="H293" s="2">
        <v>327000</v>
      </c>
      <c r="I293" t="s">
        <v>119</v>
      </c>
      <c r="J293">
        <f>SUMIF('STOCK IN'!$C:$C, A293, 'STOCK IN'!$E:$E)</f>
        <v>94</v>
      </c>
      <c r="K293">
        <f>SUMIF('STOCK OUT'!$C:$C, A293, 'STOCK OUT'!$E:$E)</f>
        <v>191</v>
      </c>
      <c r="L293">
        <f t="shared" si="16"/>
        <v>-7</v>
      </c>
      <c r="M293" t="str" cm="1">
        <f t="array" ref="M293">_xlfn.IFS(L293&lt;=0, "OUT OF STOCK", L293&lt;=F293, "REORDER", L293&lt;=G293, "LOW STOCK", TRUE, "IN STOCK")</f>
        <v>OUT OF STOCK</v>
      </c>
      <c r="N293" s="2">
        <f t="shared" si="17"/>
        <v>-2289000</v>
      </c>
      <c r="O293">
        <v>0</v>
      </c>
      <c r="P293">
        <f t="shared" si="18"/>
        <v>0</v>
      </c>
      <c r="Q293" t="str">
        <f>_xlfn.XLOOKUP(A293, 'Item Master'!$B$3:$B$502, 'Item Master'!$G$3:$G$502,,0)</f>
        <v>CV Berkah Jaya</v>
      </c>
      <c r="R293" t="str">
        <f t="shared" si="19"/>
        <v>CONFORM</v>
      </c>
    </row>
    <row r="294" spans="1:18" x14ac:dyDescent="0.25">
      <c r="A294" t="s">
        <v>457</v>
      </c>
      <c r="B294" t="s">
        <v>349</v>
      </c>
      <c r="C294" t="s">
        <v>345</v>
      </c>
      <c r="D294" t="s">
        <v>2</v>
      </c>
      <c r="E294">
        <v>153</v>
      </c>
      <c r="F294">
        <v>11</v>
      </c>
      <c r="G294">
        <v>38</v>
      </c>
      <c r="H294" s="2">
        <v>10000</v>
      </c>
      <c r="I294" t="s">
        <v>175</v>
      </c>
      <c r="J294">
        <f>SUMIF('STOCK IN'!$C:$C, A294, 'STOCK IN'!$E:$E)</f>
        <v>124</v>
      </c>
      <c r="K294">
        <f>SUMIF('STOCK OUT'!$C:$C, A294, 'STOCK OUT'!$E:$E)</f>
        <v>191</v>
      </c>
      <c r="L294">
        <f t="shared" si="16"/>
        <v>86</v>
      </c>
      <c r="M294" t="str" cm="1">
        <f t="array" ref="M294">_xlfn.IFS(L294&lt;=0, "OUT OF STOCK", L294&lt;=F294, "REORDER", L294&lt;=G294, "LOW STOCK", TRUE, "IN STOCK")</f>
        <v>IN STOCK</v>
      </c>
      <c r="N294" s="2">
        <f t="shared" si="17"/>
        <v>860000</v>
      </c>
      <c r="O294">
        <v>84</v>
      </c>
      <c r="P294">
        <f t="shared" si="18"/>
        <v>-2</v>
      </c>
      <c r="Q294" t="str">
        <f>_xlfn.XLOOKUP(A294, 'Item Master'!$B$3:$B$502, 'Item Master'!$G$3:$G$502,,0)</f>
        <v>CV Prima Logistik</v>
      </c>
      <c r="R294" t="str">
        <f t="shared" si="19"/>
        <v>MINUS</v>
      </c>
    </row>
    <row r="295" spans="1:18" x14ac:dyDescent="0.25">
      <c r="A295" t="s">
        <v>458</v>
      </c>
      <c r="B295" t="s">
        <v>360</v>
      </c>
      <c r="C295" t="s">
        <v>345</v>
      </c>
      <c r="D295" t="s">
        <v>358</v>
      </c>
      <c r="E295">
        <v>73</v>
      </c>
      <c r="F295">
        <v>14</v>
      </c>
      <c r="G295">
        <v>22</v>
      </c>
      <c r="H295" s="2">
        <v>19000</v>
      </c>
      <c r="I295" t="s">
        <v>42</v>
      </c>
      <c r="J295">
        <f>SUMIF('STOCK IN'!$C:$C, A295, 'STOCK IN'!$E:$E)</f>
        <v>117</v>
      </c>
      <c r="K295">
        <f>SUMIF('STOCK OUT'!$C:$C, A295, 'STOCK OUT'!$E:$E)</f>
        <v>130</v>
      </c>
      <c r="L295">
        <f t="shared" si="16"/>
        <v>60</v>
      </c>
      <c r="M295" t="str" cm="1">
        <f t="array" ref="M295">_xlfn.IFS(L295&lt;=0, "OUT OF STOCK", L295&lt;=F295, "REORDER", L295&lt;=G295, "LOW STOCK", TRUE, "IN STOCK")</f>
        <v>IN STOCK</v>
      </c>
      <c r="N295" s="2">
        <f t="shared" si="17"/>
        <v>1140000</v>
      </c>
      <c r="O295">
        <v>58</v>
      </c>
      <c r="P295">
        <f t="shared" si="18"/>
        <v>-2</v>
      </c>
      <c r="Q295" t="str">
        <f>_xlfn.XLOOKUP(A295, 'Item Master'!$B$3:$B$502, 'Item Master'!$G$3:$G$502,,0)</f>
        <v>PT Sumber Teknologi Nusantara</v>
      </c>
      <c r="R295" t="str">
        <f t="shared" si="19"/>
        <v>MINUS</v>
      </c>
    </row>
    <row r="296" spans="1:18" x14ac:dyDescent="0.25">
      <c r="A296" t="s">
        <v>459</v>
      </c>
      <c r="B296" t="s">
        <v>351</v>
      </c>
      <c r="C296" t="s">
        <v>345</v>
      </c>
      <c r="D296" t="s">
        <v>2</v>
      </c>
      <c r="E296">
        <v>73</v>
      </c>
      <c r="F296">
        <v>15</v>
      </c>
      <c r="G296">
        <v>30</v>
      </c>
      <c r="H296" s="2">
        <v>608000</v>
      </c>
      <c r="I296" t="s">
        <v>77</v>
      </c>
      <c r="J296">
        <f>SUMIF('STOCK IN'!$C:$C, A296, 'STOCK IN'!$E:$E)</f>
        <v>27</v>
      </c>
      <c r="K296">
        <f>SUMIF('STOCK OUT'!$C:$C, A296, 'STOCK OUT'!$E:$E)</f>
        <v>187</v>
      </c>
      <c r="L296">
        <f t="shared" si="16"/>
        <v>-87</v>
      </c>
      <c r="M296" t="str" cm="1">
        <f t="array" ref="M296">_xlfn.IFS(L296&lt;=0, "OUT OF STOCK", L296&lt;=F296, "REORDER", L296&lt;=G296, "LOW STOCK", TRUE, "IN STOCK")</f>
        <v>OUT OF STOCK</v>
      </c>
      <c r="N296" s="2">
        <f t="shared" si="17"/>
        <v>-52896000</v>
      </c>
      <c r="O296">
        <v>0</v>
      </c>
      <c r="P296">
        <f t="shared" si="18"/>
        <v>0</v>
      </c>
      <c r="Q296" t="str">
        <f>_xlfn.XLOOKUP(A296, 'Item Master'!$B$3:$B$502, 'Item Master'!$G$3:$G$502,,0)</f>
        <v>PT Solusi Komputer</v>
      </c>
      <c r="R296" t="str">
        <f t="shared" si="19"/>
        <v>CONFORM</v>
      </c>
    </row>
    <row r="297" spans="1:18" x14ac:dyDescent="0.25">
      <c r="A297" t="s">
        <v>460</v>
      </c>
      <c r="B297" t="s">
        <v>366</v>
      </c>
      <c r="C297" t="s">
        <v>345</v>
      </c>
      <c r="D297" t="s">
        <v>2</v>
      </c>
      <c r="E297">
        <v>137</v>
      </c>
      <c r="F297">
        <v>37</v>
      </c>
      <c r="G297">
        <v>56</v>
      </c>
      <c r="H297" s="2">
        <v>35000</v>
      </c>
      <c r="I297" t="s">
        <v>201</v>
      </c>
      <c r="J297">
        <f>SUMIF('STOCK IN'!$C:$C, A297, 'STOCK IN'!$E:$E)</f>
        <v>299</v>
      </c>
      <c r="K297">
        <f>SUMIF('STOCK OUT'!$C:$C, A297, 'STOCK OUT'!$E:$E)</f>
        <v>0</v>
      </c>
      <c r="L297">
        <f t="shared" si="16"/>
        <v>436</v>
      </c>
      <c r="M297" t="str" cm="1">
        <f t="array" ref="M297">_xlfn.IFS(L297&lt;=0, "OUT OF STOCK", L297&lt;=F297, "REORDER", L297&lt;=G297, "LOW STOCK", TRUE, "IN STOCK")</f>
        <v>IN STOCK</v>
      </c>
      <c r="N297" s="2">
        <f t="shared" si="17"/>
        <v>15260000</v>
      </c>
      <c r="O297">
        <v>436</v>
      </c>
      <c r="P297">
        <f t="shared" si="18"/>
        <v>0</v>
      </c>
      <c r="Q297" t="str">
        <f>_xlfn.XLOOKUP(A297, 'Item Master'!$B$3:$B$502, 'Item Master'!$G$3:$G$502,,0)</f>
        <v>CV Karya Mandiri</v>
      </c>
      <c r="R297" t="str">
        <f t="shared" si="19"/>
        <v>CONFORM</v>
      </c>
    </row>
    <row r="298" spans="1:18" x14ac:dyDescent="0.25">
      <c r="A298" t="s">
        <v>461</v>
      </c>
      <c r="B298" t="s">
        <v>344</v>
      </c>
      <c r="C298" t="s">
        <v>345</v>
      </c>
      <c r="D298" t="s">
        <v>346</v>
      </c>
      <c r="E298">
        <v>110</v>
      </c>
      <c r="F298">
        <v>37</v>
      </c>
      <c r="G298">
        <v>56</v>
      </c>
      <c r="H298" s="2">
        <v>45000</v>
      </c>
      <c r="I298" t="s">
        <v>219</v>
      </c>
      <c r="J298">
        <f>SUMIF('STOCK IN'!$C:$C, A298, 'STOCK IN'!$E:$E)</f>
        <v>31</v>
      </c>
      <c r="K298">
        <f>SUMIF('STOCK OUT'!$C:$C, A298, 'STOCK OUT'!$E:$E)</f>
        <v>147</v>
      </c>
      <c r="L298">
        <f t="shared" si="16"/>
        <v>-6</v>
      </c>
      <c r="M298" t="str" cm="1">
        <f t="array" ref="M298">_xlfn.IFS(L298&lt;=0, "OUT OF STOCK", L298&lt;=F298, "REORDER", L298&lt;=G298, "LOW STOCK", TRUE, "IN STOCK")</f>
        <v>OUT OF STOCK</v>
      </c>
      <c r="N298" s="2">
        <f t="shared" si="17"/>
        <v>-270000</v>
      </c>
      <c r="O298">
        <v>0</v>
      </c>
      <c r="P298">
        <f t="shared" si="18"/>
        <v>0</v>
      </c>
      <c r="Q298" t="str">
        <f>_xlfn.XLOOKUP(A298, 'Item Master'!$B$3:$B$502, 'Item Master'!$G$3:$G$502,,0)</f>
        <v>CV Prima Logistik</v>
      </c>
      <c r="R298" t="str">
        <f t="shared" si="19"/>
        <v>CONFORM</v>
      </c>
    </row>
    <row r="299" spans="1:18" x14ac:dyDescent="0.25">
      <c r="A299" t="s">
        <v>462</v>
      </c>
      <c r="B299" t="s">
        <v>349</v>
      </c>
      <c r="C299" t="s">
        <v>345</v>
      </c>
      <c r="D299" t="s">
        <v>2</v>
      </c>
      <c r="E299">
        <v>22</v>
      </c>
      <c r="F299">
        <v>23</v>
      </c>
      <c r="G299">
        <v>43</v>
      </c>
      <c r="H299" s="2">
        <v>2000</v>
      </c>
      <c r="I299" t="s">
        <v>310</v>
      </c>
      <c r="J299">
        <f>SUMIF('STOCK IN'!$C:$C, A299, 'STOCK IN'!$E:$E)</f>
        <v>133</v>
      </c>
      <c r="K299">
        <f>SUMIF('STOCK OUT'!$C:$C, A299, 'STOCK OUT'!$E:$E)</f>
        <v>98</v>
      </c>
      <c r="L299">
        <f t="shared" si="16"/>
        <v>57</v>
      </c>
      <c r="M299" t="str" cm="1">
        <f t="array" ref="M299">_xlfn.IFS(L299&lt;=0, "OUT OF STOCK", L299&lt;=F299, "REORDER", L299&lt;=G299, "LOW STOCK", TRUE, "IN STOCK")</f>
        <v>IN STOCK</v>
      </c>
      <c r="N299" s="2">
        <f t="shared" si="17"/>
        <v>114000</v>
      </c>
      <c r="O299">
        <v>58</v>
      </c>
      <c r="P299">
        <f t="shared" si="18"/>
        <v>1</v>
      </c>
      <c r="Q299" t="str">
        <f>_xlfn.XLOOKUP(A299, 'Item Master'!$B$3:$B$502, 'Item Master'!$G$3:$G$502,,0)</f>
        <v>PT Solusi Komputer</v>
      </c>
      <c r="R299" t="str">
        <f t="shared" si="19"/>
        <v>SURPLUS</v>
      </c>
    </row>
    <row r="300" spans="1:18" x14ac:dyDescent="0.25">
      <c r="A300" t="s">
        <v>463</v>
      </c>
      <c r="B300" t="s">
        <v>360</v>
      </c>
      <c r="C300" t="s">
        <v>345</v>
      </c>
      <c r="D300" t="s">
        <v>358</v>
      </c>
      <c r="E300">
        <v>226</v>
      </c>
      <c r="F300">
        <v>11</v>
      </c>
      <c r="G300">
        <v>56</v>
      </c>
      <c r="H300" s="2">
        <v>5000</v>
      </c>
      <c r="I300" t="s">
        <v>464</v>
      </c>
      <c r="J300">
        <f>SUMIF('STOCK IN'!$C:$C, A300, 'STOCK IN'!$E:$E)</f>
        <v>127</v>
      </c>
      <c r="K300">
        <f>SUMIF('STOCK OUT'!$C:$C, A300, 'STOCK OUT'!$E:$E)</f>
        <v>76</v>
      </c>
      <c r="L300">
        <f t="shared" si="16"/>
        <v>277</v>
      </c>
      <c r="M300" t="str" cm="1">
        <f t="array" ref="M300">_xlfn.IFS(L300&lt;=0, "OUT OF STOCK", L300&lt;=F300, "REORDER", L300&lt;=G300, "LOW STOCK", TRUE, "IN STOCK")</f>
        <v>IN STOCK</v>
      </c>
      <c r="N300" s="2">
        <f t="shared" si="17"/>
        <v>1385000</v>
      </c>
      <c r="O300">
        <v>275</v>
      </c>
      <c r="P300">
        <f t="shared" si="18"/>
        <v>-2</v>
      </c>
      <c r="Q300" t="str">
        <f>_xlfn.XLOOKUP(A300, 'Item Master'!$B$3:$B$502, 'Item Master'!$G$3:$G$502,,0)</f>
        <v>PT Sentosa Distribusi</v>
      </c>
      <c r="R300" t="str">
        <f t="shared" si="19"/>
        <v>MINUS</v>
      </c>
    </row>
    <row r="301" spans="1:18" x14ac:dyDescent="0.25">
      <c r="A301" t="s">
        <v>465</v>
      </c>
      <c r="B301" t="s">
        <v>357</v>
      </c>
      <c r="C301" t="s">
        <v>345</v>
      </c>
      <c r="D301" t="s">
        <v>358</v>
      </c>
      <c r="E301">
        <v>21</v>
      </c>
      <c r="F301">
        <v>30</v>
      </c>
      <c r="G301">
        <v>36</v>
      </c>
      <c r="H301" s="2">
        <v>43000</v>
      </c>
      <c r="I301" t="s">
        <v>221</v>
      </c>
      <c r="J301">
        <f>SUMIF('STOCK IN'!$C:$C, A301, 'STOCK IN'!$E:$E)</f>
        <v>68</v>
      </c>
      <c r="K301">
        <f>SUMIF('STOCK OUT'!$C:$C, A301, 'STOCK OUT'!$E:$E)</f>
        <v>59</v>
      </c>
      <c r="L301">
        <f t="shared" si="16"/>
        <v>30</v>
      </c>
      <c r="M301" t="str" cm="1">
        <f t="array" ref="M301">_xlfn.IFS(L301&lt;=0, "OUT OF STOCK", L301&lt;=F301, "REORDER", L301&lt;=G301, "LOW STOCK", TRUE, "IN STOCK")</f>
        <v>REORDER</v>
      </c>
      <c r="N301" s="2">
        <f t="shared" si="17"/>
        <v>1290000</v>
      </c>
      <c r="O301">
        <v>32</v>
      </c>
      <c r="P301">
        <f t="shared" si="18"/>
        <v>2</v>
      </c>
      <c r="Q301" t="str">
        <f>_xlfn.XLOOKUP(A301, 'Item Master'!$B$3:$B$502, 'Item Master'!$G$3:$G$502,,0)</f>
        <v>PT Solusi Komputer</v>
      </c>
      <c r="R301" t="str">
        <f t="shared" si="19"/>
        <v>SURPLUS</v>
      </c>
    </row>
    <row r="302" spans="1:18" x14ac:dyDescent="0.25">
      <c r="A302" t="s">
        <v>466</v>
      </c>
      <c r="B302" t="s">
        <v>467</v>
      </c>
      <c r="C302" t="s">
        <v>468</v>
      </c>
      <c r="D302" t="s">
        <v>469</v>
      </c>
      <c r="E302">
        <v>83</v>
      </c>
      <c r="F302">
        <v>9</v>
      </c>
      <c r="G302">
        <v>26</v>
      </c>
      <c r="H302" s="2">
        <v>45000</v>
      </c>
      <c r="I302" t="s">
        <v>106</v>
      </c>
      <c r="J302">
        <f>SUMIF('STOCK IN'!$C:$C, A302, 'STOCK IN'!$E:$E)</f>
        <v>231</v>
      </c>
      <c r="K302">
        <f>SUMIF('STOCK OUT'!$C:$C, A302, 'STOCK OUT'!$E:$E)</f>
        <v>89</v>
      </c>
      <c r="L302">
        <f t="shared" si="16"/>
        <v>225</v>
      </c>
      <c r="M302" t="str" cm="1">
        <f t="array" ref="M302">_xlfn.IFS(L302&lt;=0, "OUT OF STOCK", L302&lt;=F302, "REORDER", L302&lt;=G302, "LOW STOCK", TRUE, "IN STOCK")</f>
        <v>IN STOCK</v>
      </c>
      <c r="N302" s="2">
        <f t="shared" si="17"/>
        <v>10125000</v>
      </c>
      <c r="O302">
        <v>223</v>
      </c>
      <c r="P302">
        <f t="shared" si="18"/>
        <v>-2</v>
      </c>
      <c r="Q302" t="str">
        <f>_xlfn.XLOOKUP(A302, 'Item Master'!$B$3:$B$502, 'Item Master'!$G$3:$G$502,,0)</f>
        <v>PT Indo Elektrik</v>
      </c>
      <c r="R302" t="str">
        <f t="shared" si="19"/>
        <v>MINUS</v>
      </c>
    </row>
    <row r="303" spans="1:18" x14ac:dyDescent="0.25">
      <c r="A303" t="s">
        <v>470</v>
      </c>
      <c r="B303" t="s">
        <v>471</v>
      </c>
      <c r="C303" t="s">
        <v>468</v>
      </c>
      <c r="D303" t="s">
        <v>355</v>
      </c>
      <c r="E303">
        <v>42</v>
      </c>
      <c r="F303">
        <v>11</v>
      </c>
      <c r="G303">
        <v>28</v>
      </c>
      <c r="H303" s="2">
        <v>30000</v>
      </c>
      <c r="I303" t="s">
        <v>195</v>
      </c>
      <c r="J303">
        <f>SUMIF('STOCK IN'!$C:$C, A303, 'STOCK IN'!$E:$E)</f>
        <v>49</v>
      </c>
      <c r="K303">
        <f>SUMIF('STOCK OUT'!$C:$C, A303, 'STOCK OUT'!$E:$E)</f>
        <v>122</v>
      </c>
      <c r="L303">
        <f t="shared" si="16"/>
        <v>-31</v>
      </c>
      <c r="M303" t="str" cm="1">
        <f t="array" ref="M303">_xlfn.IFS(L303&lt;=0, "OUT OF STOCK", L303&lt;=F303, "REORDER", L303&lt;=G303, "LOW STOCK", TRUE, "IN STOCK")</f>
        <v>OUT OF STOCK</v>
      </c>
      <c r="N303" s="2">
        <f t="shared" si="17"/>
        <v>-930000</v>
      </c>
      <c r="O303">
        <v>0</v>
      </c>
      <c r="P303">
        <f t="shared" si="18"/>
        <v>0</v>
      </c>
      <c r="Q303" t="str">
        <f>_xlfn.XLOOKUP(A303, 'Item Master'!$B$3:$B$502, 'Item Master'!$G$3:$G$502,,0)</f>
        <v>CV Berkah Jaya</v>
      </c>
      <c r="R303" t="str">
        <f t="shared" si="19"/>
        <v>CONFORM</v>
      </c>
    </row>
    <row r="304" spans="1:18" x14ac:dyDescent="0.25">
      <c r="A304" t="s">
        <v>472</v>
      </c>
      <c r="B304" t="s">
        <v>467</v>
      </c>
      <c r="C304" t="s">
        <v>468</v>
      </c>
      <c r="D304" t="s">
        <v>469</v>
      </c>
      <c r="E304">
        <v>46</v>
      </c>
      <c r="F304">
        <v>17</v>
      </c>
      <c r="G304">
        <v>41</v>
      </c>
      <c r="H304" s="2">
        <v>58000</v>
      </c>
      <c r="I304" t="s">
        <v>119</v>
      </c>
      <c r="J304">
        <f>SUMIF('STOCK IN'!$C:$C, A304, 'STOCK IN'!$E:$E)</f>
        <v>126</v>
      </c>
      <c r="K304">
        <f>SUMIF('STOCK OUT'!$C:$C, A304, 'STOCK OUT'!$E:$E)</f>
        <v>179</v>
      </c>
      <c r="L304">
        <f t="shared" si="16"/>
        <v>-7</v>
      </c>
      <c r="M304" t="str" cm="1">
        <f t="array" ref="M304">_xlfn.IFS(L304&lt;=0, "OUT OF STOCK", L304&lt;=F304, "REORDER", L304&lt;=G304, "LOW STOCK", TRUE, "IN STOCK")</f>
        <v>OUT OF STOCK</v>
      </c>
      <c r="N304" s="2">
        <f t="shared" si="17"/>
        <v>-406000</v>
      </c>
      <c r="O304">
        <v>0</v>
      </c>
      <c r="P304">
        <f t="shared" si="18"/>
        <v>0</v>
      </c>
      <c r="Q304" t="str">
        <f>_xlfn.XLOOKUP(A304, 'Item Master'!$B$3:$B$502, 'Item Master'!$G$3:$G$502,,0)</f>
        <v>PT Indo Elektrik</v>
      </c>
      <c r="R304" t="str">
        <f t="shared" si="19"/>
        <v>CONFORM</v>
      </c>
    </row>
    <row r="305" spans="1:18" x14ac:dyDescent="0.25">
      <c r="A305" t="s">
        <v>473</v>
      </c>
      <c r="B305" t="s">
        <v>474</v>
      </c>
      <c r="C305" t="s">
        <v>468</v>
      </c>
      <c r="D305" t="s">
        <v>2</v>
      </c>
      <c r="E305">
        <v>19</v>
      </c>
      <c r="F305">
        <v>13</v>
      </c>
      <c r="G305">
        <v>40</v>
      </c>
      <c r="H305" s="2">
        <v>2000</v>
      </c>
      <c r="I305" t="s">
        <v>164</v>
      </c>
      <c r="J305">
        <f>SUMIF('STOCK IN'!$C:$C, A305, 'STOCK IN'!$E:$E)</f>
        <v>122</v>
      </c>
      <c r="K305">
        <f>SUMIF('STOCK OUT'!$C:$C, A305, 'STOCK OUT'!$E:$E)</f>
        <v>131</v>
      </c>
      <c r="L305">
        <f t="shared" si="16"/>
        <v>10</v>
      </c>
      <c r="M305" t="str" cm="1">
        <f t="array" ref="M305">_xlfn.IFS(L305&lt;=0, "OUT OF STOCK", L305&lt;=F305, "REORDER", L305&lt;=G305, "LOW STOCK", TRUE, "IN STOCK")</f>
        <v>REORDER</v>
      </c>
      <c r="N305" s="2">
        <f t="shared" si="17"/>
        <v>20000</v>
      </c>
      <c r="O305">
        <v>7</v>
      </c>
      <c r="P305">
        <f t="shared" si="18"/>
        <v>-3</v>
      </c>
      <c r="Q305" t="str">
        <f>_xlfn.XLOOKUP(A305, 'Item Master'!$B$3:$B$502, 'Item Master'!$G$3:$G$502,,0)</f>
        <v>CV Berkah Jaya</v>
      </c>
      <c r="R305" t="str">
        <f t="shared" si="19"/>
        <v>MINUS</v>
      </c>
    </row>
    <row r="306" spans="1:18" x14ac:dyDescent="0.25">
      <c r="A306" t="s">
        <v>475</v>
      </c>
      <c r="B306" t="s">
        <v>476</v>
      </c>
      <c r="C306" t="s">
        <v>468</v>
      </c>
      <c r="D306" t="s">
        <v>477</v>
      </c>
      <c r="E306">
        <v>165</v>
      </c>
      <c r="F306">
        <v>37</v>
      </c>
      <c r="G306">
        <v>46</v>
      </c>
      <c r="H306" s="2">
        <v>7000</v>
      </c>
      <c r="I306" t="s">
        <v>129</v>
      </c>
      <c r="J306">
        <f>SUMIF('STOCK IN'!$C:$C, A306, 'STOCK IN'!$E:$E)</f>
        <v>130</v>
      </c>
      <c r="K306">
        <f>SUMIF('STOCK OUT'!$C:$C, A306, 'STOCK OUT'!$E:$E)</f>
        <v>72</v>
      </c>
      <c r="L306">
        <f t="shared" si="16"/>
        <v>223</v>
      </c>
      <c r="M306" t="str" cm="1">
        <f t="array" ref="M306">_xlfn.IFS(L306&lt;=0, "OUT OF STOCK", L306&lt;=F306, "REORDER", L306&lt;=G306, "LOW STOCK", TRUE, "IN STOCK")</f>
        <v>IN STOCK</v>
      </c>
      <c r="N306" s="2">
        <f t="shared" si="17"/>
        <v>1561000</v>
      </c>
      <c r="O306">
        <v>223</v>
      </c>
      <c r="P306">
        <f t="shared" si="18"/>
        <v>0</v>
      </c>
      <c r="Q306" t="str">
        <f>_xlfn.XLOOKUP(A306, 'Item Master'!$B$3:$B$502, 'Item Master'!$G$3:$G$502,,0)</f>
        <v>CV Berkah Jaya</v>
      </c>
      <c r="R306" t="str">
        <f t="shared" si="19"/>
        <v>CONFORM</v>
      </c>
    </row>
    <row r="307" spans="1:18" x14ac:dyDescent="0.25">
      <c r="A307" t="s">
        <v>478</v>
      </c>
      <c r="B307" t="s">
        <v>479</v>
      </c>
      <c r="C307" t="s">
        <v>468</v>
      </c>
      <c r="D307" t="s">
        <v>469</v>
      </c>
      <c r="E307">
        <v>167</v>
      </c>
      <c r="F307">
        <v>24</v>
      </c>
      <c r="G307">
        <v>47</v>
      </c>
      <c r="H307" s="2">
        <v>20000</v>
      </c>
      <c r="I307" t="s">
        <v>133</v>
      </c>
      <c r="J307">
        <f>SUMIF('STOCK IN'!$C:$C, A307, 'STOCK IN'!$E:$E)</f>
        <v>39</v>
      </c>
      <c r="K307">
        <f>SUMIF('STOCK OUT'!$C:$C, A307, 'STOCK OUT'!$E:$E)</f>
        <v>67</v>
      </c>
      <c r="L307">
        <f t="shared" si="16"/>
        <v>139</v>
      </c>
      <c r="M307" t="str" cm="1">
        <f t="array" ref="M307">_xlfn.IFS(L307&lt;=0, "OUT OF STOCK", L307&lt;=F307, "REORDER", L307&lt;=G307, "LOW STOCK", TRUE, "IN STOCK")</f>
        <v>IN STOCK</v>
      </c>
      <c r="N307" s="2">
        <f t="shared" si="17"/>
        <v>2780000</v>
      </c>
      <c r="O307">
        <v>138</v>
      </c>
      <c r="P307">
        <f t="shared" si="18"/>
        <v>-1</v>
      </c>
      <c r="Q307" t="str">
        <f>_xlfn.XLOOKUP(A307, 'Item Master'!$B$3:$B$502, 'Item Master'!$G$3:$G$502,,0)</f>
        <v>CV Berkah Jaya</v>
      </c>
      <c r="R307" t="str">
        <f t="shared" si="19"/>
        <v>MINUS</v>
      </c>
    </row>
    <row r="308" spans="1:18" x14ac:dyDescent="0.25">
      <c r="A308" t="s">
        <v>480</v>
      </c>
      <c r="B308" t="s">
        <v>481</v>
      </c>
      <c r="C308" t="s">
        <v>468</v>
      </c>
      <c r="D308" t="s">
        <v>2</v>
      </c>
      <c r="E308">
        <v>191</v>
      </c>
      <c r="F308">
        <v>41</v>
      </c>
      <c r="G308">
        <v>55</v>
      </c>
      <c r="H308" s="2">
        <v>330000</v>
      </c>
      <c r="I308" t="s">
        <v>297</v>
      </c>
      <c r="J308">
        <f>SUMIF('STOCK IN'!$C:$C, A308, 'STOCK IN'!$E:$E)</f>
        <v>50</v>
      </c>
      <c r="K308">
        <f>SUMIF('STOCK OUT'!$C:$C, A308, 'STOCK OUT'!$E:$E)</f>
        <v>124</v>
      </c>
      <c r="L308">
        <f t="shared" si="16"/>
        <v>117</v>
      </c>
      <c r="M308" t="str" cm="1">
        <f t="array" ref="M308">_xlfn.IFS(L308&lt;=0, "OUT OF STOCK", L308&lt;=F308, "REORDER", L308&lt;=G308, "LOW STOCK", TRUE, "IN STOCK")</f>
        <v>IN STOCK</v>
      </c>
      <c r="N308" s="2">
        <f t="shared" si="17"/>
        <v>38610000</v>
      </c>
      <c r="O308">
        <v>120</v>
      </c>
      <c r="P308">
        <f t="shared" si="18"/>
        <v>3</v>
      </c>
      <c r="Q308" t="str">
        <f>_xlfn.XLOOKUP(A308, 'Item Master'!$B$3:$B$502, 'Item Master'!$G$3:$G$502,,0)</f>
        <v>CV Karya Mandiri</v>
      </c>
      <c r="R308" t="str">
        <f t="shared" si="19"/>
        <v>SURPLUS</v>
      </c>
    </row>
    <row r="309" spans="1:18" x14ac:dyDescent="0.25">
      <c r="A309" t="s">
        <v>482</v>
      </c>
      <c r="B309" t="s">
        <v>467</v>
      </c>
      <c r="C309" t="s">
        <v>468</v>
      </c>
      <c r="D309" t="s">
        <v>469</v>
      </c>
      <c r="E309">
        <v>38</v>
      </c>
      <c r="F309">
        <v>31</v>
      </c>
      <c r="G309">
        <v>54</v>
      </c>
      <c r="H309" s="2">
        <v>53000</v>
      </c>
      <c r="I309" t="s">
        <v>77</v>
      </c>
      <c r="J309">
        <f>SUMIF('STOCK IN'!$C:$C, A309, 'STOCK IN'!$E:$E)</f>
        <v>28</v>
      </c>
      <c r="K309">
        <f>SUMIF('STOCK OUT'!$C:$C, A309, 'STOCK OUT'!$E:$E)</f>
        <v>119</v>
      </c>
      <c r="L309">
        <f t="shared" si="16"/>
        <v>-53</v>
      </c>
      <c r="M309" t="str" cm="1">
        <f t="array" ref="M309">_xlfn.IFS(L309&lt;=0, "OUT OF STOCK", L309&lt;=F309, "REORDER", L309&lt;=G309, "LOW STOCK", TRUE, "IN STOCK")</f>
        <v>OUT OF STOCK</v>
      </c>
      <c r="N309" s="2">
        <f t="shared" si="17"/>
        <v>-2809000</v>
      </c>
      <c r="O309">
        <v>0</v>
      </c>
      <c r="P309">
        <f t="shared" si="18"/>
        <v>0</v>
      </c>
      <c r="Q309" t="str">
        <f>_xlfn.XLOOKUP(A309, 'Item Master'!$B$3:$B$502, 'Item Master'!$G$3:$G$502,,0)</f>
        <v>PT Cipta Sarana Niaga</v>
      </c>
      <c r="R309" t="str">
        <f t="shared" si="19"/>
        <v>CONFORM</v>
      </c>
    </row>
    <row r="310" spans="1:18" x14ac:dyDescent="0.25">
      <c r="A310" t="s">
        <v>483</v>
      </c>
      <c r="B310" t="s">
        <v>484</v>
      </c>
      <c r="C310" t="s">
        <v>468</v>
      </c>
      <c r="D310" t="s">
        <v>469</v>
      </c>
      <c r="E310">
        <v>77</v>
      </c>
      <c r="F310">
        <v>46</v>
      </c>
      <c r="G310">
        <v>76</v>
      </c>
      <c r="H310" s="2">
        <v>80000</v>
      </c>
      <c r="I310" t="s">
        <v>368</v>
      </c>
      <c r="J310">
        <f>SUMIF('STOCK IN'!$C:$C, A310, 'STOCK IN'!$E:$E)</f>
        <v>152</v>
      </c>
      <c r="K310">
        <f>SUMIF('STOCK OUT'!$C:$C, A310, 'STOCK OUT'!$E:$E)</f>
        <v>93</v>
      </c>
      <c r="L310">
        <f t="shared" si="16"/>
        <v>136</v>
      </c>
      <c r="M310" t="str" cm="1">
        <f t="array" ref="M310">_xlfn.IFS(L310&lt;=0, "OUT OF STOCK", L310&lt;=F310, "REORDER", L310&lt;=G310, "LOW STOCK", TRUE, "IN STOCK")</f>
        <v>IN STOCK</v>
      </c>
      <c r="N310" s="2">
        <f t="shared" si="17"/>
        <v>10880000</v>
      </c>
      <c r="O310">
        <v>134</v>
      </c>
      <c r="P310">
        <f t="shared" si="18"/>
        <v>-2</v>
      </c>
      <c r="Q310" t="str">
        <f>_xlfn.XLOOKUP(A310, 'Item Master'!$B$3:$B$502, 'Item Master'!$G$3:$G$502,,0)</f>
        <v>PT Solusi Komputer</v>
      </c>
      <c r="R310" t="str">
        <f t="shared" si="19"/>
        <v>MINUS</v>
      </c>
    </row>
    <row r="311" spans="1:18" x14ac:dyDescent="0.25">
      <c r="A311" t="s">
        <v>485</v>
      </c>
      <c r="B311" t="s">
        <v>474</v>
      </c>
      <c r="C311" t="s">
        <v>468</v>
      </c>
      <c r="D311" t="s">
        <v>2</v>
      </c>
      <c r="E311">
        <v>132</v>
      </c>
      <c r="F311">
        <v>15</v>
      </c>
      <c r="G311">
        <v>36</v>
      </c>
      <c r="H311" s="2">
        <v>11000</v>
      </c>
      <c r="I311" t="s">
        <v>171</v>
      </c>
      <c r="J311">
        <f>SUMIF('STOCK IN'!$C:$C, A311, 'STOCK IN'!$E:$E)</f>
        <v>23</v>
      </c>
      <c r="K311">
        <f>SUMIF('STOCK OUT'!$C:$C, A311, 'STOCK OUT'!$E:$E)</f>
        <v>99</v>
      </c>
      <c r="L311">
        <f t="shared" si="16"/>
        <v>56</v>
      </c>
      <c r="M311" t="str" cm="1">
        <f t="array" ref="M311">_xlfn.IFS(L311&lt;=0, "OUT OF STOCK", L311&lt;=F311, "REORDER", L311&lt;=G311, "LOW STOCK", TRUE, "IN STOCK")</f>
        <v>IN STOCK</v>
      </c>
      <c r="N311" s="2">
        <f t="shared" si="17"/>
        <v>616000</v>
      </c>
      <c r="O311">
        <v>56</v>
      </c>
      <c r="P311">
        <f t="shared" si="18"/>
        <v>0</v>
      </c>
      <c r="Q311" t="str">
        <f>_xlfn.XLOOKUP(A311, 'Item Master'!$B$3:$B$502, 'Item Master'!$G$3:$G$502,,0)</f>
        <v>PT Solusi Komputer</v>
      </c>
      <c r="R311" t="str">
        <f t="shared" si="19"/>
        <v>CONFORM</v>
      </c>
    </row>
    <row r="312" spans="1:18" x14ac:dyDescent="0.25">
      <c r="A312" t="s">
        <v>486</v>
      </c>
      <c r="B312" t="s">
        <v>479</v>
      </c>
      <c r="C312" t="s">
        <v>468</v>
      </c>
      <c r="D312" t="s">
        <v>469</v>
      </c>
      <c r="E312">
        <v>184</v>
      </c>
      <c r="F312">
        <v>20</v>
      </c>
      <c r="G312">
        <v>46</v>
      </c>
      <c r="H312" s="2">
        <v>34000</v>
      </c>
      <c r="I312" t="s">
        <v>52</v>
      </c>
      <c r="J312">
        <f>SUMIF('STOCK IN'!$C:$C, A312, 'STOCK IN'!$E:$E)</f>
        <v>315</v>
      </c>
      <c r="K312">
        <f>SUMIF('STOCK OUT'!$C:$C, A312, 'STOCK OUT'!$E:$E)</f>
        <v>136</v>
      </c>
      <c r="L312">
        <f t="shared" si="16"/>
        <v>363</v>
      </c>
      <c r="M312" t="str" cm="1">
        <f t="array" ref="M312">_xlfn.IFS(L312&lt;=0, "OUT OF STOCK", L312&lt;=F312, "REORDER", L312&lt;=G312, "LOW STOCK", TRUE, "IN STOCK")</f>
        <v>IN STOCK</v>
      </c>
      <c r="N312" s="2">
        <f t="shared" si="17"/>
        <v>12342000</v>
      </c>
      <c r="O312">
        <v>363</v>
      </c>
      <c r="P312">
        <f t="shared" si="18"/>
        <v>0</v>
      </c>
      <c r="Q312" t="str">
        <f>_xlfn.XLOOKUP(A312, 'Item Master'!$B$3:$B$502, 'Item Master'!$G$3:$G$502,,0)</f>
        <v>PT Solusi Komputer</v>
      </c>
      <c r="R312" t="str">
        <f t="shared" si="19"/>
        <v>CONFORM</v>
      </c>
    </row>
    <row r="313" spans="1:18" x14ac:dyDescent="0.25">
      <c r="A313" t="s">
        <v>487</v>
      </c>
      <c r="B313" t="s">
        <v>488</v>
      </c>
      <c r="C313" t="s">
        <v>468</v>
      </c>
      <c r="D313" t="s">
        <v>469</v>
      </c>
      <c r="E313">
        <v>122</v>
      </c>
      <c r="F313">
        <v>25</v>
      </c>
      <c r="G313">
        <v>43</v>
      </c>
      <c r="H313" s="2">
        <v>34000</v>
      </c>
      <c r="I313" t="s">
        <v>142</v>
      </c>
      <c r="J313">
        <f>SUMIF('STOCK IN'!$C:$C, A313, 'STOCK IN'!$E:$E)</f>
        <v>31</v>
      </c>
      <c r="K313">
        <f>SUMIF('STOCK OUT'!$C:$C, A313, 'STOCK OUT'!$E:$E)</f>
        <v>98</v>
      </c>
      <c r="L313">
        <f t="shared" si="16"/>
        <v>55</v>
      </c>
      <c r="M313" t="str" cm="1">
        <f t="array" ref="M313">_xlfn.IFS(L313&lt;=0, "OUT OF STOCK", L313&lt;=F313, "REORDER", L313&lt;=G313, "LOW STOCK", TRUE, "IN STOCK")</f>
        <v>IN STOCK</v>
      </c>
      <c r="N313" s="2">
        <f t="shared" si="17"/>
        <v>1870000</v>
      </c>
      <c r="O313">
        <v>58</v>
      </c>
      <c r="P313">
        <f t="shared" si="18"/>
        <v>3</v>
      </c>
      <c r="Q313" t="str">
        <f>_xlfn.XLOOKUP(A313, 'Item Master'!$B$3:$B$502, 'Item Master'!$G$3:$G$502,,0)</f>
        <v>PT Sentosa Distribusi</v>
      </c>
      <c r="R313" t="str">
        <f t="shared" si="19"/>
        <v>SURPLUS</v>
      </c>
    </row>
    <row r="314" spans="1:18" x14ac:dyDescent="0.25">
      <c r="A314" t="s">
        <v>489</v>
      </c>
      <c r="B314" t="s">
        <v>490</v>
      </c>
      <c r="C314" t="s">
        <v>468</v>
      </c>
      <c r="D314" t="s">
        <v>355</v>
      </c>
      <c r="E314">
        <v>208</v>
      </c>
      <c r="F314">
        <v>44</v>
      </c>
      <c r="G314">
        <v>64</v>
      </c>
      <c r="H314" s="2">
        <v>40000</v>
      </c>
      <c r="I314" t="s">
        <v>183</v>
      </c>
      <c r="J314">
        <f>SUMIF('STOCK IN'!$C:$C, A314, 'STOCK IN'!$E:$E)</f>
        <v>99</v>
      </c>
      <c r="K314">
        <f>SUMIF('STOCK OUT'!$C:$C, A314, 'STOCK OUT'!$E:$E)</f>
        <v>282</v>
      </c>
      <c r="L314">
        <f t="shared" si="16"/>
        <v>25</v>
      </c>
      <c r="M314" t="str" cm="1">
        <f t="array" ref="M314">_xlfn.IFS(L314&lt;=0, "OUT OF STOCK", L314&lt;=F314, "REORDER", L314&lt;=G314, "LOW STOCK", TRUE, "IN STOCK")</f>
        <v>REORDER</v>
      </c>
      <c r="N314" s="2">
        <f t="shared" si="17"/>
        <v>1000000</v>
      </c>
      <c r="O314">
        <v>26</v>
      </c>
      <c r="P314">
        <f t="shared" si="18"/>
        <v>1</v>
      </c>
      <c r="Q314" t="str">
        <f>_xlfn.XLOOKUP(A314, 'Item Master'!$B$3:$B$502, 'Item Master'!$G$3:$G$502,,0)</f>
        <v>PT Sumber Teknologi Nusantara</v>
      </c>
      <c r="R314" t="str">
        <f t="shared" si="19"/>
        <v>SURPLUS</v>
      </c>
    </row>
    <row r="315" spans="1:18" x14ac:dyDescent="0.25">
      <c r="A315" t="s">
        <v>491</v>
      </c>
      <c r="B315" t="s">
        <v>481</v>
      </c>
      <c r="C315" t="s">
        <v>468</v>
      </c>
      <c r="D315" t="s">
        <v>2</v>
      </c>
      <c r="E315">
        <v>153</v>
      </c>
      <c r="F315">
        <v>25</v>
      </c>
      <c r="G315">
        <v>51</v>
      </c>
      <c r="H315" s="2">
        <v>186000</v>
      </c>
      <c r="I315" t="s">
        <v>324</v>
      </c>
      <c r="J315">
        <f>SUMIF('STOCK IN'!$C:$C, A315, 'STOCK IN'!$E:$E)</f>
        <v>204</v>
      </c>
      <c r="K315">
        <f>SUMIF('STOCK OUT'!$C:$C, A315, 'STOCK OUT'!$E:$E)</f>
        <v>157</v>
      </c>
      <c r="L315">
        <f t="shared" si="16"/>
        <v>200</v>
      </c>
      <c r="M315" t="str" cm="1">
        <f t="array" ref="M315">_xlfn.IFS(L315&lt;=0, "OUT OF STOCK", L315&lt;=F315, "REORDER", L315&lt;=G315, "LOW STOCK", TRUE, "IN STOCK")</f>
        <v>IN STOCK</v>
      </c>
      <c r="N315" s="2">
        <f t="shared" si="17"/>
        <v>37200000</v>
      </c>
      <c r="O315">
        <v>203</v>
      </c>
      <c r="P315">
        <f t="shared" si="18"/>
        <v>3</v>
      </c>
      <c r="Q315" t="str">
        <f>_xlfn.XLOOKUP(A315, 'Item Master'!$B$3:$B$502, 'Item Master'!$G$3:$G$502,,0)</f>
        <v>CV Karya Mandiri</v>
      </c>
      <c r="R315" t="str">
        <f t="shared" si="19"/>
        <v>SURPLUS</v>
      </c>
    </row>
    <row r="316" spans="1:18" x14ac:dyDescent="0.25">
      <c r="A316" t="s">
        <v>492</v>
      </c>
      <c r="B316" t="s">
        <v>467</v>
      </c>
      <c r="C316" t="s">
        <v>468</v>
      </c>
      <c r="D316" t="s">
        <v>469</v>
      </c>
      <c r="E316">
        <v>127</v>
      </c>
      <c r="F316">
        <v>39</v>
      </c>
      <c r="G316">
        <v>54</v>
      </c>
      <c r="H316" s="2">
        <v>21000</v>
      </c>
      <c r="I316" t="s">
        <v>102</v>
      </c>
      <c r="J316">
        <f>SUMIF('STOCK IN'!$C:$C, A316, 'STOCK IN'!$E:$E)</f>
        <v>159</v>
      </c>
      <c r="K316">
        <f>SUMIF('STOCK OUT'!$C:$C, A316, 'STOCK OUT'!$E:$E)</f>
        <v>139</v>
      </c>
      <c r="L316">
        <f t="shared" si="16"/>
        <v>147</v>
      </c>
      <c r="M316" t="str" cm="1">
        <f t="array" ref="M316">_xlfn.IFS(L316&lt;=0, "OUT OF STOCK", L316&lt;=F316, "REORDER", L316&lt;=G316, "LOW STOCK", TRUE, "IN STOCK")</f>
        <v>IN STOCK</v>
      </c>
      <c r="N316" s="2">
        <f t="shared" si="17"/>
        <v>3087000</v>
      </c>
      <c r="O316">
        <v>147</v>
      </c>
      <c r="P316">
        <f t="shared" si="18"/>
        <v>0</v>
      </c>
      <c r="Q316" t="str">
        <f>_xlfn.XLOOKUP(A316, 'Item Master'!$B$3:$B$502, 'Item Master'!$G$3:$G$502,,0)</f>
        <v>PT Indo Elektrik</v>
      </c>
      <c r="R316" t="str">
        <f t="shared" si="19"/>
        <v>CONFORM</v>
      </c>
    </row>
    <row r="317" spans="1:18" x14ac:dyDescent="0.25">
      <c r="A317" t="s">
        <v>493</v>
      </c>
      <c r="B317" t="s">
        <v>484</v>
      </c>
      <c r="C317" t="s">
        <v>468</v>
      </c>
      <c r="D317" t="s">
        <v>469</v>
      </c>
      <c r="E317">
        <v>59</v>
      </c>
      <c r="F317">
        <v>20</v>
      </c>
      <c r="G317">
        <v>33</v>
      </c>
      <c r="H317" s="2">
        <v>81000</v>
      </c>
      <c r="I317" t="s">
        <v>327</v>
      </c>
      <c r="J317">
        <f>SUMIF('STOCK IN'!$C:$C, A317, 'STOCK IN'!$E:$E)</f>
        <v>75</v>
      </c>
      <c r="K317">
        <f>SUMIF('STOCK OUT'!$C:$C, A317, 'STOCK OUT'!$E:$E)</f>
        <v>70</v>
      </c>
      <c r="L317">
        <f t="shared" si="16"/>
        <v>64</v>
      </c>
      <c r="M317" t="str" cm="1">
        <f t="array" ref="M317">_xlfn.IFS(L317&lt;=0, "OUT OF STOCK", L317&lt;=F317, "REORDER", L317&lt;=G317, "LOW STOCK", TRUE, "IN STOCK")</f>
        <v>IN STOCK</v>
      </c>
      <c r="N317" s="2">
        <f t="shared" si="17"/>
        <v>5184000</v>
      </c>
      <c r="O317">
        <v>61</v>
      </c>
      <c r="P317">
        <f t="shared" si="18"/>
        <v>-3</v>
      </c>
      <c r="Q317" t="str">
        <f>_xlfn.XLOOKUP(A317, 'Item Master'!$B$3:$B$502, 'Item Master'!$G$3:$G$502,,0)</f>
        <v>PT Indo Elektrik</v>
      </c>
      <c r="R317" t="str">
        <f t="shared" si="19"/>
        <v>MINUS</v>
      </c>
    </row>
    <row r="318" spans="1:18" x14ac:dyDescent="0.25">
      <c r="A318" t="s">
        <v>494</v>
      </c>
      <c r="B318" t="s">
        <v>471</v>
      </c>
      <c r="C318" t="s">
        <v>468</v>
      </c>
      <c r="D318" t="s">
        <v>355</v>
      </c>
      <c r="E318">
        <v>190</v>
      </c>
      <c r="F318">
        <v>18</v>
      </c>
      <c r="G318">
        <v>47</v>
      </c>
      <c r="H318" s="2">
        <v>51000</v>
      </c>
      <c r="I318" t="s">
        <v>181</v>
      </c>
      <c r="J318">
        <f>SUMIF('STOCK IN'!$C:$C, A318, 'STOCK IN'!$E:$E)</f>
        <v>115</v>
      </c>
      <c r="K318">
        <f>SUMIF('STOCK OUT'!$C:$C, A318, 'STOCK OUT'!$E:$E)</f>
        <v>46</v>
      </c>
      <c r="L318">
        <f t="shared" si="16"/>
        <v>259</v>
      </c>
      <c r="M318" t="str" cm="1">
        <f t="array" ref="M318">_xlfn.IFS(L318&lt;=0, "OUT OF STOCK", L318&lt;=F318, "REORDER", L318&lt;=G318, "LOW STOCK", TRUE, "IN STOCK")</f>
        <v>IN STOCK</v>
      </c>
      <c r="N318" s="2">
        <f t="shared" si="17"/>
        <v>13209000</v>
      </c>
      <c r="O318">
        <v>259</v>
      </c>
      <c r="P318">
        <f t="shared" si="18"/>
        <v>0</v>
      </c>
      <c r="Q318" t="str">
        <f>_xlfn.XLOOKUP(A318, 'Item Master'!$B$3:$B$502, 'Item Master'!$G$3:$G$502,,0)</f>
        <v>CV Karya Mandiri</v>
      </c>
      <c r="R318" t="str">
        <f t="shared" si="19"/>
        <v>CONFORM</v>
      </c>
    </row>
    <row r="319" spans="1:18" x14ac:dyDescent="0.25">
      <c r="A319" t="s">
        <v>495</v>
      </c>
      <c r="B319" t="s">
        <v>467</v>
      </c>
      <c r="C319" t="s">
        <v>468</v>
      </c>
      <c r="D319" t="s">
        <v>469</v>
      </c>
      <c r="E319">
        <v>249</v>
      </c>
      <c r="F319">
        <v>22</v>
      </c>
      <c r="G319">
        <v>62</v>
      </c>
      <c r="H319" s="2">
        <v>45000</v>
      </c>
      <c r="I319" t="s">
        <v>368</v>
      </c>
      <c r="J319">
        <f>SUMIF('STOCK IN'!$C:$C, A319, 'STOCK IN'!$E:$E)</f>
        <v>34</v>
      </c>
      <c r="K319">
        <f>SUMIF('STOCK OUT'!$C:$C, A319, 'STOCK OUT'!$E:$E)</f>
        <v>100</v>
      </c>
      <c r="L319">
        <f t="shared" si="16"/>
        <v>183</v>
      </c>
      <c r="M319" t="str" cm="1">
        <f t="array" ref="M319">_xlfn.IFS(L319&lt;=0, "OUT OF STOCK", L319&lt;=F319, "REORDER", L319&lt;=G319, "LOW STOCK", TRUE, "IN STOCK")</f>
        <v>IN STOCK</v>
      </c>
      <c r="N319" s="2">
        <f t="shared" si="17"/>
        <v>8235000</v>
      </c>
      <c r="O319">
        <v>182</v>
      </c>
      <c r="P319">
        <f t="shared" si="18"/>
        <v>-1</v>
      </c>
      <c r="Q319" t="str">
        <f>_xlfn.XLOOKUP(A319, 'Item Master'!$B$3:$B$502, 'Item Master'!$G$3:$G$502,,0)</f>
        <v>CV Mitra Perkasa</v>
      </c>
      <c r="R319" t="str">
        <f t="shared" si="19"/>
        <v>MINUS</v>
      </c>
    </row>
    <row r="320" spans="1:18" x14ac:dyDescent="0.25">
      <c r="A320" t="s">
        <v>496</v>
      </c>
      <c r="B320" t="s">
        <v>490</v>
      </c>
      <c r="C320" t="s">
        <v>468</v>
      </c>
      <c r="D320" t="s">
        <v>355</v>
      </c>
      <c r="E320">
        <v>219</v>
      </c>
      <c r="F320">
        <v>27</v>
      </c>
      <c r="G320">
        <v>56</v>
      </c>
      <c r="H320" s="2">
        <v>33000</v>
      </c>
      <c r="I320" t="s">
        <v>42</v>
      </c>
      <c r="J320">
        <f>SUMIF('STOCK IN'!$C:$C, A320, 'STOCK IN'!$E:$E)</f>
        <v>37</v>
      </c>
      <c r="K320">
        <f>SUMIF('STOCK OUT'!$C:$C, A320, 'STOCK OUT'!$E:$E)</f>
        <v>115</v>
      </c>
      <c r="L320">
        <f t="shared" si="16"/>
        <v>141</v>
      </c>
      <c r="M320" t="str" cm="1">
        <f t="array" ref="M320">_xlfn.IFS(L320&lt;=0, "OUT OF STOCK", L320&lt;=F320, "REORDER", L320&lt;=G320, "LOW STOCK", TRUE, "IN STOCK")</f>
        <v>IN STOCK</v>
      </c>
      <c r="N320" s="2">
        <f t="shared" si="17"/>
        <v>4653000</v>
      </c>
      <c r="O320">
        <v>139</v>
      </c>
      <c r="P320">
        <f t="shared" si="18"/>
        <v>-2</v>
      </c>
      <c r="Q320" t="str">
        <f>_xlfn.XLOOKUP(A320, 'Item Master'!$B$3:$B$502, 'Item Master'!$G$3:$G$502,,0)</f>
        <v>PT Sentosa Distribusi</v>
      </c>
      <c r="R320" t="str">
        <f t="shared" si="19"/>
        <v>MINUS</v>
      </c>
    </row>
    <row r="321" spans="1:18" x14ac:dyDescent="0.25">
      <c r="A321" t="s">
        <v>497</v>
      </c>
      <c r="B321" t="s">
        <v>471</v>
      </c>
      <c r="C321" t="s">
        <v>468</v>
      </c>
      <c r="D321" t="s">
        <v>355</v>
      </c>
      <c r="E321">
        <v>98</v>
      </c>
      <c r="F321">
        <v>33</v>
      </c>
      <c r="G321">
        <v>58</v>
      </c>
      <c r="H321" s="2">
        <v>25000</v>
      </c>
      <c r="I321" t="s">
        <v>67</v>
      </c>
      <c r="J321">
        <f>SUMIF('STOCK IN'!$C:$C, A321, 'STOCK IN'!$E:$E)</f>
        <v>101</v>
      </c>
      <c r="K321">
        <f>SUMIF('STOCK OUT'!$C:$C, A321, 'STOCK OUT'!$E:$E)</f>
        <v>29</v>
      </c>
      <c r="L321">
        <f t="shared" si="16"/>
        <v>170</v>
      </c>
      <c r="M321" t="str" cm="1">
        <f t="array" ref="M321">_xlfn.IFS(L321&lt;=0, "OUT OF STOCK", L321&lt;=F321, "REORDER", L321&lt;=G321, "LOW STOCK", TRUE, "IN STOCK")</f>
        <v>IN STOCK</v>
      </c>
      <c r="N321" s="2">
        <f t="shared" si="17"/>
        <v>4250000</v>
      </c>
      <c r="O321">
        <v>171</v>
      </c>
      <c r="P321">
        <f t="shared" si="18"/>
        <v>1</v>
      </c>
      <c r="Q321" t="str">
        <f>_xlfn.XLOOKUP(A321, 'Item Master'!$B$3:$B$502, 'Item Master'!$G$3:$G$502,,0)</f>
        <v>PT Cipta Sarana Niaga</v>
      </c>
      <c r="R321" t="str">
        <f t="shared" si="19"/>
        <v>SURPLUS</v>
      </c>
    </row>
    <row r="322" spans="1:18" x14ac:dyDescent="0.25">
      <c r="A322" t="s">
        <v>498</v>
      </c>
      <c r="B322" t="s">
        <v>488</v>
      </c>
      <c r="C322" t="s">
        <v>468</v>
      </c>
      <c r="D322" t="s">
        <v>469</v>
      </c>
      <c r="E322">
        <v>221</v>
      </c>
      <c r="F322">
        <v>39</v>
      </c>
      <c r="G322">
        <v>55</v>
      </c>
      <c r="H322" s="2">
        <v>81000</v>
      </c>
      <c r="I322" t="s">
        <v>52</v>
      </c>
      <c r="J322">
        <f>SUMIF('STOCK IN'!$C:$C, A322, 'STOCK IN'!$E:$E)</f>
        <v>106</v>
      </c>
      <c r="K322">
        <f>SUMIF('STOCK OUT'!$C:$C, A322, 'STOCK OUT'!$E:$E)</f>
        <v>190</v>
      </c>
      <c r="L322">
        <f t="shared" si="16"/>
        <v>137</v>
      </c>
      <c r="M322" t="str" cm="1">
        <f t="array" ref="M322">_xlfn.IFS(L322&lt;=0, "OUT OF STOCK", L322&lt;=F322, "REORDER", L322&lt;=G322, "LOW STOCK", TRUE, "IN STOCK")</f>
        <v>IN STOCK</v>
      </c>
      <c r="N322" s="2">
        <f t="shared" si="17"/>
        <v>11097000</v>
      </c>
      <c r="O322">
        <v>134</v>
      </c>
      <c r="P322">
        <f t="shared" si="18"/>
        <v>-3</v>
      </c>
      <c r="Q322" t="str">
        <f>_xlfn.XLOOKUP(A322, 'Item Master'!$B$3:$B$502, 'Item Master'!$G$3:$G$502,,0)</f>
        <v>PT Indo Elektrik</v>
      </c>
      <c r="R322" t="str">
        <f t="shared" si="19"/>
        <v>MINUS</v>
      </c>
    </row>
    <row r="323" spans="1:18" x14ac:dyDescent="0.25">
      <c r="A323" t="s">
        <v>499</v>
      </c>
      <c r="B323" t="s">
        <v>479</v>
      </c>
      <c r="C323" t="s">
        <v>468</v>
      </c>
      <c r="D323" t="s">
        <v>469</v>
      </c>
      <c r="E323">
        <v>167</v>
      </c>
      <c r="F323">
        <v>42</v>
      </c>
      <c r="G323">
        <v>54</v>
      </c>
      <c r="H323" s="2">
        <v>11000</v>
      </c>
      <c r="I323" t="s">
        <v>173</v>
      </c>
      <c r="J323">
        <f>SUMIF('STOCK IN'!$C:$C, A323, 'STOCK IN'!$E:$E)</f>
        <v>0</v>
      </c>
      <c r="K323">
        <f>SUMIF('STOCK OUT'!$C:$C, A323, 'STOCK OUT'!$E:$E)</f>
        <v>134</v>
      </c>
      <c r="L323">
        <f t="shared" ref="L323:L386" si="20">E323+J323-K323</f>
        <v>33</v>
      </c>
      <c r="M323" t="str" cm="1">
        <f t="array" ref="M323">_xlfn.IFS(L323&lt;=0, "OUT OF STOCK", L323&lt;=F323, "REORDER", L323&lt;=G323, "LOW STOCK", TRUE, "IN STOCK")</f>
        <v>REORDER</v>
      </c>
      <c r="N323" s="2">
        <f t="shared" ref="N323:N386" si="21">L323*H323</f>
        <v>363000</v>
      </c>
      <c r="O323">
        <v>33</v>
      </c>
      <c r="P323">
        <f t="shared" ref="P323:P386" si="22">IF(L323&lt;0, 0, O323 - L323)</f>
        <v>0</v>
      </c>
      <c r="Q323" t="str">
        <f>_xlfn.XLOOKUP(A323, 'Item Master'!$B$3:$B$502, 'Item Master'!$G$3:$G$502,,0)</f>
        <v>CV Prima Logistik</v>
      </c>
      <c r="R323" t="str">
        <f t="shared" ref="R323:R386" si="23">IF(P323=0, "CONFORM", IF(P323&gt;0, "SURPLUS", "MINUS"))</f>
        <v>CONFORM</v>
      </c>
    </row>
    <row r="324" spans="1:18" x14ac:dyDescent="0.25">
      <c r="A324" t="s">
        <v>500</v>
      </c>
      <c r="B324" t="s">
        <v>488</v>
      </c>
      <c r="C324" t="s">
        <v>468</v>
      </c>
      <c r="D324" t="s">
        <v>469</v>
      </c>
      <c r="E324">
        <v>23</v>
      </c>
      <c r="F324">
        <v>11</v>
      </c>
      <c r="G324">
        <v>29</v>
      </c>
      <c r="H324" s="2">
        <v>89000</v>
      </c>
      <c r="I324" t="s">
        <v>27</v>
      </c>
      <c r="J324">
        <f>SUMIF('STOCK IN'!$C:$C, A324, 'STOCK IN'!$E:$E)</f>
        <v>123</v>
      </c>
      <c r="K324">
        <f>SUMIF('STOCK OUT'!$C:$C, A324, 'STOCK OUT'!$E:$E)</f>
        <v>132</v>
      </c>
      <c r="L324">
        <f t="shared" si="20"/>
        <v>14</v>
      </c>
      <c r="M324" t="str" cm="1">
        <f t="array" ref="M324">_xlfn.IFS(L324&lt;=0, "OUT OF STOCK", L324&lt;=F324, "REORDER", L324&lt;=G324, "LOW STOCK", TRUE, "IN STOCK")</f>
        <v>LOW STOCK</v>
      </c>
      <c r="N324" s="2">
        <f t="shared" si="21"/>
        <v>1246000</v>
      </c>
      <c r="O324">
        <v>13</v>
      </c>
      <c r="P324">
        <f t="shared" si="22"/>
        <v>-1</v>
      </c>
      <c r="Q324" t="str">
        <f>_xlfn.XLOOKUP(A324, 'Item Master'!$B$3:$B$502, 'Item Master'!$G$3:$G$502,,0)</f>
        <v>CV Berkah Jaya</v>
      </c>
      <c r="R324" t="str">
        <f t="shared" si="23"/>
        <v>MINUS</v>
      </c>
    </row>
    <row r="325" spans="1:18" x14ac:dyDescent="0.25">
      <c r="A325" t="s">
        <v>501</v>
      </c>
      <c r="B325" t="s">
        <v>502</v>
      </c>
      <c r="C325" t="s">
        <v>468</v>
      </c>
      <c r="D325" t="s">
        <v>469</v>
      </c>
      <c r="E325">
        <v>207</v>
      </c>
      <c r="F325">
        <v>13</v>
      </c>
      <c r="G325">
        <v>51</v>
      </c>
      <c r="H325" s="2">
        <v>112000</v>
      </c>
      <c r="I325" t="s">
        <v>292</v>
      </c>
      <c r="J325">
        <f>SUMIF('STOCK IN'!$C:$C, A325, 'STOCK IN'!$E:$E)</f>
        <v>183</v>
      </c>
      <c r="K325">
        <f>SUMIF('STOCK OUT'!$C:$C, A325, 'STOCK OUT'!$E:$E)</f>
        <v>160</v>
      </c>
      <c r="L325">
        <f t="shared" si="20"/>
        <v>230</v>
      </c>
      <c r="M325" t="str" cm="1">
        <f t="array" ref="M325">_xlfn.IFS(L325&lt;=0, "OUT OF STOCK", L325&lt;=F325, "REORDER", L325&lt;=G325, "LOW STOCK", TRUE, "IN STOCK")</f>
        <v>IN STOCK</v>
      </c>
      <c r="N325" s="2">
        <f t="shared" si="21"/>
        <v>25760000</v>
      </c>
      <c r="O325">
        <v>229</v>
      </c>
      <c r="P325">
        <f t="shared" si="22"/>
        <v>-1</v>
      </c>
      <c r="Q325" t="str">
        <f>_xlfn.XLOOKUP(A325, 'Item Master'!$B$3:$B$502, 'Item Master'!$G$3:$G$502,,0)</f>
        <v>PT Indo Elektrik</v>
      </c>
      <c r="R325" t="str">
        <f t="shared" si="23"/>
        <v>MINUS</v>
      </c>
    </row>
    <row r="326" spans="1:18" x14ac:dyDescent="0.25">
      <c r="A326" t="s">
        <v>503</v>
      </c>
      <c r="B326" t="s">
        <v>476</v>
      </c>
      <c r="C326" t="s">
        <v>468</v>
      </c>
      <c r="D326" t="s">
        <v>477</v>
      </c>
      <c r="E326">
        <v>176</v>
      </c>
      <c r="F326">
        <v>17</v>
      </c>
      <c r="G326">
        <v>46</v>
      </c>
      <c r="H326" s="2">
        <v>18000</v>
      </c>
      <c r="I326" t="s">
        <v>259</v>
      </c>
      <c r="J326">
        <f>SUMIF('STOCK IN'!$C:$C, A326, 'STOCK IN'!$E:$E)</f>
        <v>105</v>
      </c>
      <c r="K326">
        <f>SUMIF('STOCK OUT'!$C:$C, A326, 'STOCK OUT'!$E:$E)</f>
        <v>193</v>
      </c>
      <c r="L326">
        <f t="shared" si="20"/>
        <v>88</v>
      </c>
      <c r="M326" t="str" cm="1">
        <f t="array" ref="M326">_xlfn.IFS(L326&lt;=0, "OUT OF STOCK", L326&lt;=F326, "REORDER", L326&lt;=G326, "LOW STOCK", TRUE, "IN STOCK")</f>
        <v>IN STOCK</v>
      </c>
      <c r="N326" s="2">
        <f t="shared" si="21"/>
        <v>1584000</v>
      </c>
      <c r="O326">
        <v>85</v>
      </c>
      <c r="P326">
        <f t="shared" si="22"/>
        <v>-3</v>
      </c>
      <c r="Q326" t="str">
        <f>_xlfn.XLOOKUP(A326, 'Item Master'!$B$3:$B$502, 'Item Master'!$G$3:$G$502,,0)</f>
        <v>PT Cipta Sarana Niaga</v>
      </c>
      <c r="R326" t="str">
        <f t="shared" si="23"/>
        <v>MINUS</v>
      </c>
    </row>
    <row r="327" spans="1:18" x14ac:dyDescent="0.25">
      <c r="A327" t="s">
        <v>504</v>
      </c>
      <c r="B327" t="s">
        <v>474</v>
      </c>
      <c r="C327" t="s">
        <v>468</v>
      </c>
      <c r="D327" t="s">
        <v>2</v>
      </c>
      <c r="E327">
        <v>32</v>
      </c>
      <c r="F327">
        <v>46</v>
      </c>
      <c r="G327">
        <v>69</v>
      </c>
      <c r="H327" s="2">
        <v>14000</v>
      </c>
      <c r="I327" t="s">
        <v>274</v>
      </c>
      <c r="J327">
        <f>SUMIF('STOCK IN'!$C:$C, A327, 'STOCK IN'!$E:$E)</f>
        <v>120</v>
      </c>
      <c r="K327">
        <f>SUMIF('STOCK OUT'!$C:$C, A327, 'STOCK OUT'!$E:$E)</f>
        <v>166</v>
      </c>
      <c r="L327">
        <f t="shared" si="20"/>
        <v>-14</v>
      </c>
      <c r="M327" t="str" cm="1">
        <f t="array" ref="M327">_xlfn.IFS(L327&lt;=0, "OUT OF STOCK", L327&lt;=F327, "REORDER", L327&lt;=G327, "LOW STOCK", TRUE, "IN STOCK")</f>
        <v>OUT OF STOCK</v>
      </c>
      <c r="N327" s="2">
        <f t="shared" si="21"/>
        <v>-196000</v>
      </c>
      <c r="O327">
        <v>0</v>
      </c>
      <c r="P327">
        <f t="shared" si="22"/>
        <v>0</v>
      </c>
      <c r="Q327" t="str">
        <f>_xlfn.XLOOKUP(A327, 'Item Master'!$B$3:$B$502, 'Item Master'!$G$3:$G$502,,0)</f>
        <v>CV Prima Logistik</v>
      </c>
      <c r="R327" t="str">
        <f t="shared" si="23"/>
        <v>CONFORM</v>
      </c>
    </row>
    <row r="328" spans="1:18" x14ac:dyDescent="0.25">
      <c r="A328" t="s">
        <v>505</v>
      </c>
      <c r="B328" t="s">
        <v>479</v>
      </c>
      <c r="C328" t="s">
        <v>468</v>
      </c>
      <c r="D328" t="s">
        <v>469</v>
      </c>
      <c r="E328">
        <v>235</v>
      </c>
      <c r="F328">
        <v>16</v>
      </c>
      <c r="G328">
        <v>58</v>
      </c>
      <c r="H328" s="2">
        <v>21000</v>
      </c>
      <c r="I328" t="s">
        <v>69</v>
      </c>
      <c r="J328">
        <f>SUMIF('STOCK IN'!$C:$C, A328, 'STOCK IN'!$E:$E)</f>
        <v>59</v>
      </c>
      <c r="K328">
        <f>SUMIF('STOCK OUT'!$C:$C, A328, 'STOCK OUT'!$E:$E)</f>
        <v>260</v>
      </c>
      <c r="L328">
        <f t="shared" si="20"/>
        <v>34</v>
      </c>
      <c r="M328" t="str" cm="1">
        <f t="array" ref="M328">_xlfn.IFS(L328&lt;=0, "OUT OF STOCK", L328&lt;=F328, "REORDER", L328&lt;=G328, "LOW STOCK", TRUE, "IN STOCK")</f>
        <v>LOW STOCK</v>
      </c>
      <c r="N328" s="2">
        <f t="shared" si="21"/>
        <v>714000</v>
      </c>
      <c r="O328">
        <v>35</v>
      </c>
      <c r="P328">
        <f t="shared" si="22"/>
        <v>1</v>
      </c>
      <c r="Q328" t="str">
        <f>_xlfn.XLOOKUP(A328, 'Item Master'!$B$3:$B$502, 'Item Master'!$G$3:$G$502,,0)</f>
        <v>PT Global Office Supply</v>
      </c>
      <c r="R328" t="str">
        <f t="shared" si="23"/>
        <v>SURPLUS</v>
      </c>
    </row>
    <row r="329" spans="1:18" x14ac:dyDescent="0.25">
      <c r="A329" t="s">
        <v>506</v>
      </c>
      <c r="B329" t="s">
        <v>471</v>
      </c>
      <c r="C329" t="s">
        <v>468</v>
      </c>
      <c r="D329" t="s">
        <v>355</v>
      </c>
      <c r="E329">
        <v>12</v>
      </c>
      <c r="F329">
        <v>24</v>
      </c>
      <c r="G329">
        <v>47</v>
      </c>
      <c r="H329" s="2">
        <v>19000</v>
      </c>
      <c r="I329" t="s">
        <v>34</v>
      </c>
      <c r="J329">
        <f>SUMIF('STOCK IN'!$C:$C, A329, 'STOCK IN'!$E:$E)</f>
        <v>66</v>
      </c>
      <c r="K329">
        <f>SUMIF('STOCK OUT'!$C:$C, A329, 'STOCK OUT'!$E:$E)</f>
        <v>67</v>
      </c>
      <c r="L329">
        <f t="shared" si="20"/>
        <v>11</v>
      </c>
      <c r="M329" t="str" cm="1">
        <f t="array" ref="M329">_xlfn.IFS(L329&lt;=0, "OUT OF STOCK", L329&lt;=F329, "REORDER", L329&lt;=G329, "LOW STOCK", TRUE, "IN STOCK")</f>
        <v>REORDER</v>
      </c>
      <c r="N329" s="2">
        <f t="shared" si="21"/>
        <v>209000</v>
      </c>
      <c r="O329">
        <v>14</v>
      </c>
      <c r="P329">
        <f t="shared" si="22"/>
        <v>3</v>
      </c>
      <c r="Q329" t="str">
        <f>_xlfn.XLOOKUP(A329, 'Item Master'!$B$3:$B$502, 'Item Master'!$G$3:$G$502,,0)</f>
        <v>PT Solusi Komputer</v>
      </c>
      <c r="R329" t="str">
        <f t="shared" si="23"/>
        <v>SURPLUS</v>
      </c>
    </row>
    <row r="330" spans="1:18" x14ac:dyDescent="0.25">
      <c r="A330" t="s">
        <v>507</v>
      </c>
      <c r="B330" t="s">
        <v>471</v>
      </c>
      <c r="C330" t="s">
        <v>468</v>
      </c>
      <c r="D330" t="s">
        <v>355</v>
      </c>
      <c r="E330">
        <v>174</v>
      </c>
      <c r="F330">
        <v>39</v>
      </c>
      <c r="G330">
        <v>60</v>
      </c>
      <c r="H330" s="2">
        <v>73000</v>
      </c>
      <c r="I330" t="s">
        <v>19</v>
      </c>
      <c r="J330">
        <f>SUMIF('STOCK IN'!$C:$C, A330, 'STOCK IN'!$E:$E)</f>
        <v>68</v>
      </c>
      <c r="K330">
        <f>SUMIF('STOCK OUT'!$C:$C, A330, 'STOCK OUT'!$E:$E)</f>
        <v>129</v>
      </c>
      <c r="L330">
        <f t="shared" si="20"/>
        <v>113</v>
      </c>
      <c r="M330" t="str" cm="1">
        <f t="array" ref="M330">_xlfn.IFS(L330&lt;=0, "OUT OF STOCK", L330&lt;=F330, "REORDER", L330&lt;=G330, "LOW STOCK", TRUE, "IN STOCK")</f>
        <v>IN STOCK</v>
      </c>
      <c r="N330" s="2">
        <f t="shared" si="21"/>
        <v>8249000</v>
      </c>
      <c r="O330">
        <v>110</v>
      </c>
      <c r="P330">
        <f t="shared" si="22"/>
        <v>-3</v>
      </c>
      <c r="Q330" t="str">
        <f>_xlfn.XLOOKUP(A330, 'Item Master'!$B$3:$B$502, 'Item Master'!$G$3:$G$502,,0)</f>
        <v>CV Karya Mandiri</v>
      </c>
      <c r="R330" t="str">
        <f t="shared" si="23"/>
        <v>MINUS</v>
      </c>
    </row>
    <row r="331" spans="1:18" x14ac:dyDescent="0.25">
      <c r="A331" t="s">
        <v>508</v>
      </c>
      <c r="B331" t="s">
        <v>476</v>
      </c>
      <c r="C331" t="s">
        <v>468</v>
      </c>
      <c r="D331" t="s">
        <v>477</v>
      </c>
      <c r="E331">
        <v>59</v>
      </c>
      <c r="F331">
        <v>12</v>
      </c>
      <c r="G331">
        <v>27</v>
      </c>
      <c r="H331" s="2">
        <v>11000</v>
      </c>
      <c r="I331" t="s">
        <v>89</v>
      </c>
      <c r="J331">
        <f>SUMIF('STOCK IN'!$C:$C, A331, 'STOCK IN'!$E:$E)</f>
        <v>190</v>
      </c>
      <c r="K331">
        <f>SUMIF('STOCK OUT'!$C:$C, A331, 'STOCK OUT'!$E:$E)</f>
        <v>70</v>
      </c>
      <c r="L331">
        <f t="shared" si="20"/>
        <v>179</v>
      </c>
      <c r="M331" t="str" cm="1">
        <f t="array" ref="M331">_xlfn.IFS(L331&lt;=0, "OUT OF STOCK", L331&lt;=F331, "REORDER", L331&lt;=G331, "LOW STOCK", TRUE, "IN STOCK")</f>
        <v>IN STOCK</v>
      </c>
      <c r="N331" s="2">
        <f t="shared" si="21"/>
        <v>1969000</v>
      </c>
      <c r="O331">
        <v>177</v>
      </c>
      <c r="P331">
        <f t="shared" si="22"/>
        <v>-2</v>
      </c>
      <c r="Q331" t="str">
        <f>_xlfn.XLOOKUP(A331, 'Item Master'!$B$3:$B$502, 'Item Master'!$G$3:$G$502,,0)</f>
        <v>PT Sentosa Distribusi</v>
      </c>
      <c r="R331" t="str">
        <f t="shared" si="23"/>
        <v>MINUS</v>
      </c>
    </row>
    <row r="332" spans="1:18" x14ac:dyDescent="0.25">
      <c r="A332" t="s">
        <v>509</v>
      </c>
      <c r="B332" t="s">
        <v>471</v>
      </c>
      <c r="C332" t="s">
        <v>468</v>
      </c>
      <c r="D332" t="s">
        <v>355</v>
      </c>
      <c r="E332">
        <v>13</v>
      </c>
      <c r="F332">
        <v>26</v>
      </c>
      <c r="G332">
        <v>56</v>
      </c>
      <c r="H332" s="2">
        <v>38000</v>
      </c>
      <c r="I332" t="s">
        <v>287</v>
      </c>
      <c r="J332">
        <f>SUMIF('STOCK IN'!$C:$C, A332, 'STOCK IN'!$E:$E)</f>
        <v>306</v>
      </c>
      <c r="K332">
        <f>SUMIF('STOCK OUT'!$C:$C, A332, 'STOCK OUT'!$E:$E)</f>
        <v>130</v>
      </c>
      <c r="L332">
        <f t="shared" si="20"/>
        <v>189</v>
      </c>
      <c r="M332" t="str" cm="1">
        <f t="array" ref="M332">_xlfn.IFS(L332&lt;=0, "OUT OF STOCK", L332&lt;=F332, "REORDER", L332&lt;=G332, "LOW STOCK", TRUE, "IN STOCK")</f>
        <v>IN STOCK</v>
      </c>
      <c r="N332" s="2">
        <f t="shared" si="21"/>
        <v>7182000</v>
      </c>
      <c r="O332">
        <v>189</v>
      </c>
      <c r="P332">
        <f t="shared" si="22"/>
        <v>0</v>
      </c>
      <c r="Q332" t="str">
        <f>_xlfn.XLOOKUP(A332, 'Item Master'!$B$3:$B$502, 'Item Master'!$G$3:$G$502,,0)</f>
        <v>PT Cipta Sarana Niaga</v>
      </c>
      <c r="R332" t="str">
        <f t="shared" si="23"/>
        <v>CONFORM</v>
      </c>
    </row>
    <row r="333" spans="1:18" x14ac:dyDescent="0.25">
      <c r="A333" t="s">
        <v>510</v>
      </c>
      <c r="B333" t="s">
        <v>479</v>
      </c>
      <c r="C333" t="s">
        <v>468</v>
      </c>
      <c r="D333" t="s">
        <v>469</v>
      </c>
      <c r="E333">
        <v>229</v>
      </c>
      <c r="F333">
        <v>45</v>
      </c>
      <c r="G333">
        <v>62</v>
      </c>
      <c r="H333" s="2">
        <v>27000</v>
      </c>
      <c r="I333" t="s">
        <v>117</v>
      </c>
      <c r="J333">
        <f>SUMIF('STOCK IN'!$C:$C, A333, 'STOCK IN'!$E:$E)</f>
        <v>73</v>
      </c>
      <c r="K333">
        <f>SUMIF('STOCK OUT'!$C:$C, A333, 'STOCK OUT'!$E:$E)</f>
        <v>94</v>
      </c>
      <c r="L333">
        <f t="shared" si="20"/>
        <v>208</v>
      </c>
      <c r="M333" t="str" cm="1">
        <f t="array" ref="M333">_xlfn.IFS(L333&lt;=0, "OUT OF STOCK", L333&lt;=F333, "REORDER", L333&lt;=G333, "LOW STOCK", TRUE, "IN STOCK")</f>
        <v>IN STOCK</v>
      </c>
      <c r="N333" s="2">
        <f t="shared" si="21"/>
        <v>5616000</v>
      </c>
      <c r="O333">
        <v>207</v>
      </c>
      <c r="P333">
        <f t="shared" si="22"/>
        <v>-1</v>
      </c>
      <c r="Q333" t="str">
        <f>_xlfn.XLOOKUP(A333, 'Item Master'!$B$3:$B$502, 'Item Master'!$G$3:$G$502,,0)</f>
        <v>PT Global Office Supply</v>
      </c>
      <c r="R333" t="str">
        <f t="shared" si="23"/>
        <v>MINUS</v>
      </c>
    </row>
    <row r="334" spans="1:18" x14ac:dyDescent="0.25">
      <c r="A334" t="s">
        <v>511</v>
      </c>
      <c r="B334" t="s">
        <v>502</v>
      </c>
      <c r="C334" t="s">
        <v>468</v>
      </c>
      <c r="D334" t="s">
        <v>469</v>
      </c>
      <c r="E334">
        <v>181</v>
      </c>
      <c r="F334">
        <v>11</v>
      </c>
      <c r="G334">
        <v>45</v>
      </c>
      <c r="H334" s="2">
        <v>76000</v>
      </c>
      <c r="I334" t="s">
        <v>512</v>
      </c>
      <c r="J334">
        <f>SUMIF('STOCK IN'!$C:$C, A334, 'STOCK IN'!$E:$E)</f>
        <v>114</v>
      </c>
      <c r="K334">
        <f>SUMIF('STOCK OUT'!$C:$C, A334, 'STOCK OUT'!$E:$E)</f>
        <v>142</v>
      </c>
      <c r="L334">
        <f t="shared" si="20"/>
        <v>153</v>
      </c>
      <c r="M334" t="str" cm="1">
        <f t="array" ref="M334">_xlfn.IFS(L334&lt;=0, "OUT OF STOCK", L334&lt;=F334, "REORDER", L334&lt;=G334, "LOW STOCK", TRUE, "IN STOCK")</f>
        <v>IN STOCK</v>
      </c>
      <c r="N334" s="2">
        <f t="shared" si="21"/>
        <v>11628000</v>
      </c>
      <c r="O334">
        <v>154</v>
      </c>
      <c r="P334">
        <f t="shared" si="22"/>
        <v>1</v>
      </c>
      <c r="Q334" t="str">
        <f>_xlfn.XLOOKUP(A334, 'Item Master'!$B$3:$B$502, 'Item Master'!$G$3:$G$502,,0)</f>
        <v>PT Sentosa Distribusi</v>
      </c>
      <c r="R334" t="str">
        <f t="shared" si="23"/>
        <v>SURPLUS</v>
      </c>
    </row>
    <row r="335" spans="1:18" x14ac:dyDescent="0.25">
      <c r="A335" t="s">
        <v>513</v>
      </c>
      <c r="B335" t="s">
        <v>488</v>
      </c>
      <c r="C335" t="s">
        <v>468</v>
      </c>
      <c r="D335" t="s">
        <v>469</v>
      </c>
      <c r="E335">
        <v>76</v>
      </c>
      <c r="F335">
        <v>29</v>
      </c>
      <c r="G335">
        <v>41</v>
      </c>
      <c r="H335" s="2">
        <v>31000</v>
      </c>
      <c r="I335" t="s">
        <v>110</v>
      </c>
      <c r="J335">
        <f>SUMIF('STOCK IN'!$C:$C, A335, 'STOCK IN'!$E:$E)</f>
        <v>154</v>
      </c>
      <c r="K335">
        <f>SUMIF('STOCK OUT'!$C:$C, A335, 'STOCK OUT'!$E:$E)</f>
        <v>115</v>
      </c>
      <c r="L335">
        <f t="shared" si="20"/>
        <v>115</v>
      </c>
      <c r="M335" t="str" cm="1">
        <f t="array" ref="M335">_xlfn.IFS(L335&lt;=0, "OUT OF STOCK", L335&lt;=F335, "REORDER", L335&lt;=G335, "LOW STOCK", TRUE, "IN STOCK")</f>
        <v>IN STOCK</v>
      </c>
      <c r="N335" s="2">
        <f t="shared" si="21"/>
        <v>3565000</v>
      </c>
      <c r="O335">
        <v>115</v>
      </c>
      <c r="P335">
        <f t="shared" si="22"/>
        <v>0</v>
      </c>
      <c r="Q335" t="str">
        <f>_xlfn.XLOOKUP(A335, 'Item Master'!$B$3:$B$502, 'Item Master'!$G$3:$G$502,,0)</f>
        <v>CV Karya Mandiri</v>
      </c>
      <c r="R335" t="str">
        <f t="shared" si="23"/>
        <v>CONFORM</v>
      </c>
    </row>
    <row r="336" spans="1:18" x14ac:dyDescent="0.25">
      <c r="A336" t="s">
        <v>514</v>
      </c>
      <c r="B336" t="s">
        <v>467</v>
      </c>
      <c r="C336" t="s">
        <v>468</v>
      </c>
      <c r="D336" t="s">
        <v>469</v>
      </c>
      <c r="E336">
        <v>159</v>
      </c>
      <c r="F336">
        <v>41</v>
      </c>
      <c r="G336">
        <v>46</v>
      </c>
      <c r="H336" s="2">
        <v>29000</v>
      </c>
      <c r="I336" t="s">
        <v>310</v>
      </c>
      <c r="J336">
        <f>SUMIF('STOCK IN'!$C:$C, A336, 'STOCK IN'!$E:$E)</f>
        <v>27</v>
      </c>
      <c r="K336">
        <f>SUMIF('STOCK OUT'!$C:$C, A336, 'STOCK OUT'!$E:$E)</f>
        <v>135</v>
      </c>
      <c r="L336">
        <f t="shared" si="20"/>
        <v>51</v>
      </c>
      <c r="M336" t="str" cm="1">
        <f t="array" ref="M336">_xlfn.IFS(L336&lt;=0, "OUT OF STOCK", L336&lt;=F336, "REORDER", L336&lt;=G336, "LOW STOCK", TRUE, "IN STOCK")</f>
        <v>IN STOCK</v>
      </c>
      <c r="N336" s="2">
        <f t="shared" si="21"/>
        <v>1479000</v>
      </c>
      <c r="O336">
        <v>53</v>
      </c>
      <c r="P336">
        <f t="shared" si="22"/>
        <v>2</v>
      </c>
      <c r="Q336" t="str">
        <f>_xlfn.XLOOKUP(A336, 'Item Master'!$B$3:$B$502, 'Item Master'!$G$3:$G$502,,0)</f>
        <v>PT Cipta Sarana Niaga</v>
      </c>
      <c r="R336" t="str">
        <f t="shared" si="23"/>
        <v>SURPLUS</v>
      </c>
    </row>
    <row r="337" spans="1:18" x14ac:dyDescent="0.25">
      <c r="A337" t="s">
        <v>515</v>
      </c>
      <c r="B337" t="s">
        <v>488</v>
      </c>
      <c r="C337" t="s">
        <v>468</v>
      </c>
      <c r="D337" t="s">
        <v>469</v>
      </c>
      <c r="E337">
        <v>180</v>
      </c>
      <c r="F337">
        <v>12</v>
      </c>
      <c r="G337">
        <v>45</v>
      </c>
      <c r="H337" s="2">
        <v>45000</v>
      </c>
      <c r="I337" t="s">
        <v>292</v>
      </c>
      <c r="J337">
        <f>SUMIF('STOCK IN'!$C:$C, A337, 'STOCK IN'!$E:$E)</f>
        <v>244</v>
      </c>
      <c r="K337">
        <f>SUMIF('STOCK OUT'!$C:$C, A337, 'STOCK OUT'!$E:$E)</f>
        <v>49</v>
      </c>
      <c r="L337">
        <f t="shared" si="20"/>
        <v>375</v>
      </c>
      <c r="M337" t="str" cm="1">
        <f t="array" ref="M337">_xlfn.IFS(L337&lt;=0, "OUT OF STOCK", L337&lt;=F337, "REORDER", L337&lt;=G337, "LOW STOCK", TRUE, "IN STOCK")</f>
        <v>IN STOCK</v>
      </c>
      <c r="N337" s="2">
        <f t="shared" si="21"/>
        <v>16875000</v>
      </c>
      <c r="O337">
        <v>373</v>
      </c>
      <c r="P337">
        <f t="shared" si="22"/>
        <v>-2</v>
      </c>
      <c r="Q337" t="str">
        <f>_xlfn.XLOOKUP(A337, 'Item Master'!$B$3:$B$502, 'Item Master'!$G$3:$G$502,,0)</f>
        <v>PT Cipta Sarana Niaga</v>
      </c>
      <c r="R337" t="str">
        <f t="shared" si="23"/>
        <v>MINUS</v>
      </c>
    </row>
    <row r="338" spans="1:18" x14ac:dyDescent="0.25">
      <c r="A338" t="s">
        <v>516</v>
      </c>
      <c r="B338" t="s">
        <v>481</v>
      </c>
      <c r="C338" t="s">
        <v>468</v>
      </c>
      <c r="D338" t="s">
        <v>2</v>
      </c>
      <c r="E338">
        <v>186</v>
      </c>
      <c r="F338">
        <v>12</v>
      </c>
      <c r="G338">
        <v>46</v>
      </c>
      <c r="H338" s="2">
        <v>239000</v>
      </c>
      <c r="I338" t="s">
        <v>314</v>
      </c>
      <c r="J338">
        <f>SUMIF('STOCK IN'!$C:$C, A338, 'STOCK IN'!$E:$E)</f>
        <v>37</v>
      </c>
      <c r="K338">
        <f>SUMIF('STOCK OUT'!$C:$C, A338, 'STOCK OUT'!$E:$E)</f>
        <v>126</v>
      </c>
      <c r="L338">
        <f t="shared" si="20"/>
        <v>97</v>
      </c>
      <c r="M338" t="str" cm="1">
        <f t="array" ref="M338">_xlfn.IFS(L338&lt;=0, "OUT OF STOCK", L338&lt;=F338, "REORDER", L338&lt;=G338, "LOW STOCK", TRUE, "IN STOCK")</f>
        <v>IN STOCK</v>
      </c>
      <c r="N338" s="2">
        <f t="shared" si="21"/>
        <v>23183000</v>
      </c>
      <c r="O338">
        <v>94</v>
      </c>
      <c r="P338">
        <f t="shared" si="22"/>
        <v>-3</v>
      </c>
      <c r="Q338" t="str">
        <f>_xlfn.XLOOKUP(A338, 'Item Master'!$B$3:$B$502, 'Item Master'!$G$3:$G$502,,0)</f>
        <v>PT Cipta Sarana Niaga</v>
      </c>
      <c r="R338" t="str">
        <f t="shared" si="23"/>
        <v>MINUS</v>
      </c>
    </row>
    <row r="339" spans="1:18" x14ac:dyDescent="0.25">
      <c r="A339" t="s">
        <v>517</v>
      </c>
      <c r="B339" t="s">
        <v>488</v>
      </c>
      <c r="C339" t="s">
        <v>468</v>
      </c>
      <c r="D339" t="s">
        <v>469</v>
      </c>
      <c r="E339">
        <v>44</v>
      </c>
      <c r="F339">
        <v>35</v>
      </c>
      <c r="G339">
        <v>44</v>
      </c>
      <c r="H339" s="2">
        <v>86000</v>
      </c>
      <c r="I339" t="s">
        <v>67</v>
      </c>
      <c r="J339">
        <f>SUMIF('STOCK IN'!$C:$C, A339, 'STOCK IN'!$E:$E)</f>
        <v>71</v>
      </c>
      <c r="K339">
        <f>SUMIF('STOCK OUT'!$C:$C, A339, 'STOCK OUT'!$E:$E)</f>
        <v>69</v>
      </c>
      <c r="L339">
        <f t="shared" si="20"/>
        <v>46</v>
      </c>
      <c r="M339" t="str" cm="1">
        <f t="array" ref="M339">_xlfn.IFS(L339&lt;=0, "OUT OF STOCK", L339&lt;=F339, "REORDER", L339&lt;=G339, "LOW STOCK", TRUE, "IN STOCK")</f>
        <v>IN STOCK</v>
      </c>
      <c r="N339" s="2">
        <f t="shared" si="21"/>
        <v>3956000</v>
      </c>
      <c r="O339">
        <v>47</v>
      </c>
      <c r="P339">
        <f t="shared" si="22"/>
        <v>1</v>
      </c>
      <c r="Q339" t="str">
        <f>_xlfn.XLOOKUP(A339, 'Item Master'!$B$3:$B$502, 'Item Master'!$G$3:$G$502,,0)</f>
        <v>CV Karya Mandiri</v>
      </c>
      <c r="R339" t="str">
        <f t="shared" si="23"/>
        <v>SURPLUS</v>
      </c>
    </row>
    <row r="340" spans="1:18" x14ac:dyDescent="0.25">
      <c r="A340" t="s">
        <v>518</v>
      </c>
      <c r="B340" t="s">
        <v>467</v>
      </c>
      <c r="C340" t="s">
        <v>468</v>
      </c>
      <c r="D340" t="s">
        <v>469</v>
      </c>
      <c r="E340">
        <v>189</v>
      </c>
      <c r="F340">
        <v>40</v>
      </c>
      <c r="G340">
        <v>60</v>
      </c>
      <c r="H340" s="2">
        <v>36000</v>
      </c>
      <c r="I340" t="s">
        <v>98</v>
      </c>
      <c r="J340">
        <f>SUMIF('STOCK IN'!$C:$C, A340, 'STOCK IN'!$E:$E)</f>
        <v>66</v>
      </c>
      <c r="K340">
        <f>SUMIF('STOCK OUT'!$C:$C, A340, 'STOCK OUT'!$E:$E)</f>
        <v>93</v>
      </c>
      <c r="L340">
        <f t="shared" si="20"/>
        <v>162</v>
      </c>
      <c r="M340" t="str" cm="1">
        <f t="array" ref="M340">_xlfn.IFS(L340&lt;=0, "OUT OF STOCK", L340&lt;=F340, "REORDER", L340&lt;=G340, "LOW STOCK", TRUE, "IN STOCK")</f>
        <v>IN STOCK</v>
      </c>
      <c r="N340" s="2">
        <f t="shared" si="21"/>
        <v>5832000</v>
      </c>
      <c r="O340">
        <v>165</v>
      </c>
      <c r="P340">
        <f t="shared" si="22"/>
        <v>3</v>
      </c>
      <c r="Q340" t="str">
        <f>_xlfn.XLOOKUP(A340, 'Item Master'!$B$3:$B$502, 'Item Master'!$G$3:$G$502,,0)</f>
        <v>PT Indo Elektrik</v>
      </c>
      <c r="R340" t="str">
        <f t="shared" si="23"/>
        <v>SURPLUS</v>
      </c>
    </row>
    <row r="341" spans="1:18" x14ac:dyDescent="0.25">
      <c r="A341" t="s">
        <v>519</v>
      </c>
      <c r="B341" t="s">
        <v>488</v>
      </c>
      <c r="C341" t="s">
        <v>468</v>
      </c>
      <c r="D341" t="s">
        <v>469</v>
      </c>
      <c r="E341">
        <v>144</v>
      </c>
      <c r="F341">
        <v>33</v>
      </c>
      <c r="G341">
        <v>54</v>
      </c>
      <c r="H341" s="2">
        <v>50000</v>
      </c>
      <c r="I341" t="s">
        <v>126</v>
      </c>
      <c r="J341">
        <f>SUMIF('STOCK IN'!$C:$C, A341, 'STOCK IN'!$E:$E)</f>
        <v>144</v>
      </c>
      <c r="K341">
        <f>SUMIF('STOCK OUT'!$C:$C, A341, 'STOCK OUT'!$E:$E)</f>
        <v>203</v>
      </c>
      <c r="L341">
        <f t="shared" si="20"/>
        <v>85</v>
      </c>
      <c r="M341" t="str" cm="1">
        <f t="array" ref="M341">_xlfn.IFS(L341&lt;=0, "OUT OF STOCK", L341&lt;=F341, "REORDER", L341&lt;=G341, "LOW STOCK", TRUE, "IN STOCK")</f>
        <v>IN STOCK</v>
      </c>
      <c r="N341" s="2">
        <f t="shared" si="21"/>
        <v>4250000</v>
      </c>
      <c r="O341">
        <v>82</v>
      </c>
      <c r="P341">
        <f t="shared" si="22"/>
        <v>-3</v>
      </c>
      <c r="Q341" t="str">
        <f>_xlfn.XLOOKUP(A341, 'Item Master'!$B$3:$B$502, 'Item Master'!$G$3:$G$502,,0)</f>
        <v>CV Berkah Jaya</v>
      </c>
      <c r="R341" t="str">
        <f t="shared" si="23"/>
        <v>MINUS</v>
      </c>
    </row>
    <row r="342" spans="1:18" x14ac:dyDescent="0.25">
      <c r="A342" t="s">
        <v>520</v>
      </c>
      <c r="B342" t="s">
        <v>502</v>
      </c>
      <c r="C342" t="s">
        <v>468</v>
      </c>
      <c r="D342" t="s">
        <v>469</v>
      </c>
      <c r="E342">
        <v>222</v>
      </c>
      <c r="F342">
        <v>40</v>
      </c>
      <c r="G342">
        <v>61</v>
      </c>
      <c r="H342" s="2">
        <v>32000</v>
      </c>
      <c r="I342" t="s">
        <v>368</v>
      </c>
      <c r="J342">
        <f>SUMIF('STOCK IN'!$C:$C, A342, 'STOCK IN'!$E:$E)</f>
        <v>144</v>
      </c>
      <c r="K342">
        <f>SUMIF('STOCK OUT'!$C:$C, A342, 'STOCK OUT'!$E:$E)</f>
        <v>99</v>
      </c>
      <c r="L342">
        <f t="shared" si="20"/>
        <v>267</v>
      </c>
      <c r="M342" t="str" cm="1">
        <f t="array" ref="M342">_xlfn.IFS(L342&lt;=0, "OUT OF STOCK", L342&lt;=F342, "REORDER", L342&lt;=G342, "LOW STOCK", TRUE, "IN STOCK")</f>
        <v>IN STOCK</v>
      </c>
      <c r="N342" s="2">
        <f t="shared" si="21"/>
        <v>8544000</v>
      </c>
      <c r="O342">
        <v>265</v>
      </c>
      <c r="P342">
        <f t="shared" si="22"/>
        <v>-2</v>
      </c>
      <c r="Q342" t="str">
        <f>_xlfn.XLOOKUP(A342, 'Item Master'!$B$3:$B$502, 'Item Master'!$G$3:$G$502,,0)</f>
        <v>CV Prima Logistik</v>
      </c>
      <c r="R342" t="str">
        <f t="shared" si="23"/>
        <v>MINUS</v>
      </c>
    </row>
    <row r="343" spans="1:18" x14ac:dyDescent="0.25">
      <c r="A343" t="s">
        <v>521</v>
      </c>
      <c r="B343" t="s">
        <v>479</v>
      </c>
      <c r="C343" t="s">
        <v>468</v>
      </c>
      <c r="D343" t="s">
        <v>469</v>
      </c>
      <c r="E343">
        <v>93</v>
      </c>
      <c r="F343">
        <v>38</v>
      </c>
      <c r="G343">
        <v>57</v>
      </c>
      <c r="H343" s="2">
        <v>13000</v>
      </c>
      <c r="I343" t="s">
        <v>289</v>
      </c>
      <c r="J343">
        <f>SUMIF('STOCK IN'!$C:$C, A343, 'STOCK IN'!$E:$E)</f>
        <v>13</v>
      </c>
      <c r="K343">
        <f>SUMIF('STOCK OUT'!$C:$C, A343, 'STOCK OUT'!$E:$E)</f>
        <v>168</v>
      </c>
      <c r="L343">
        <f t="shared" si="20"/>
        <v>-62</v>
      </c>
      <c r="M343" t="str" cm="1">
        <f t="array" ref="M343">_xlfn.IFS(L343&lt;=0, "OUT OF STOCK", L343&lt;=F343, "REORDER", L343&lt;=G343, "LOW STOCK", TRUE, "IN STOCK")</f>
        <v>OUT OF STOCK</v>
      </c>
      <c r="N343" s="2">
        <f t="shared" si="21"/>
        <v>-806000</v>
      </c>
      <c r="O343">
        <v>0</v>
      </c>
      <c r="P343">
        <f t="shared" si="22"/>
        <v>0</v>
      </c>
      <c r="Q343" t="str">
        <f>_xlfn.XLOOKUP(A343, 'Item Master'!$B$3:$B$502, 'Item Master'!$G$3:$G$502,,0)</f>
        <v>CV Mitra Perkasa</v>
      </c>
      <c r="R343" t="str">
        <f t="shared" si="23"/>
        <v>CONFORM</v>
      </c>
    </row>
    <row r="344" spans="1:18" x14ac:dyDescent="0.25">
      <c r="A344" t="s">
        <v>522</v>
      </c>
      <c r="B344" t="s">
        <v>484</v>
      </c>
      <c r="C344" t="s">
        <v>468</v>
      </c>
      <c r="D344" t="s">
        <v>469</v>
      </c>
      <c r="E344">
        <v>33</v>
      </c>
      <c r="F344">
        <v>37</v>
      </c>
      <c r="G344">
        <v>56</v>
      </c>
      <c r="H344" s="2">
        <v>82000</v>
      </c>
      <c r="I344" t="s">
        <v>124</v>
      </c>
      <c r="J344">
        <f>SUMIF('STOCK IN'!$C:$C, A344, 'STOCK IN'!$E:$E)</f>
        <v>0</v>
      </c>
      <c r="K344">
        <f>SUMIF('STOCK OUT'!$C:$C, A344, 'STOCK OUT'!$E:$E)</f>
        <v>91</v>
      </c>
      <c r="L344">
        <f t="shared" si="20"/>
        <v>-58</v>
      </c>
      <c r="M344" t="str" cm="1">
        <f t="array" ref="M344">_xlfn.IFS(L344&lt;=0, "OUT OF STOCK", L344&lt;=F344, "REORDER", L344&lt;=G344, "LOW STOCK", TRUE, "IN STOCK")</f>
        <v>OUT OF STOCK</v>
      </c>
      <c r="N344" s="2">
        <f t="shared" si="21"/>
        <v>-4756000</v>
      </c>
      <c r="O344">
        <v>0</v>
      </c>
      <c r="P344">
        <f t="shared" si="22"/>
        <v>0</v>
      </c>
      <c r="Q344" t="str">
        <f>_xlfn.XLOOKUP(A344, 'Item Master'!$B$3:$B$502, 'Item Master'!$G$3:$G$502,,0)</f>
        <v>PT Sumber Teknologi Nusantara</v>
      </c>
      <c r="R344" t="str">
        <f t="shared" si="23"/>
        <v>CONFORM</v>
      </c>
    </row>
    <row r="345" spans="1:18" x14ac:dyDescent="0.25">
      <c r="A345" t="s">
        <v>523</v>
      </c>
      <c r="B345" t="s">
        <v>481</v>
      </c>
      <c r="C345" t="s">
        <v>468</v>
      </c>
      <c r="D345" t="s">
        <v>2</v>
      </c>
      <c r="E345">
        <v>126</v>
      </c>
      <c r="F345">
        <v>41</v>
      </c>
      <c r="G345">
        <v>47</v>
      </c>
      <c r="H345" s="2">
        <v>292000</v>
      </c>
      <c r="I345" t="s">
        <v>175</v>
      </c>
      <c r="J345">
        <f>SUMIF('STOCK IN'!$C:$C, A345, 'STOCK IN'!$E:$E)</f>
        <v>98</v>
      </c>
      <c r="K345">
        <f>SUMIF('STOCK OUT'!$C:$C, A345, 'STOCK OUT'!$E:$E)</f>
        <v>124</v>
      </c>
      <c r="L345">
        <f t="shared" si="20"/>
        <v>100</v>
      </c>
      <c r="M345" t="str" cm="1">
        <f t="array" ref="M345">_xlfn.IFS(L345&lt;=0, "OUT OF STOCK", L345&lt;=F345, "REORDER", L345&lt;=G345, "LOW STOCK", TRUE, "IN STOCK")</f>
        <v>IN STOCK</v>
      </c>
      <c r="N345" s="2">
        <f t="shared" si="21"/>
        <v>29200000</v>
      </c>
      <c r="O345">
        <v>97</v>
      </c>
      <c r="P345">
        <f t="shared" si="22"/>
        <v>-3</v>
      </c>
      <c r="Q345" t="str">
        <f>_xlfn.XLOOKUP(A345, 'Item Master'!$B$3:$B$502, 'Item Master'!$G$3:$G$502,,0)</f>
        <v>PT Indo Elektrik</v>
      </c>
      <c r="R345" t="str">
        <f t="shared" si="23"/>
        <v>MINUS</v>
      </c>
    </row>
    <row r="346" spans="1:18" x14ac:dyDescent="0.25">
      <c r="A346" t="s">
        <v>524</v>
      </c>
      <c r="B346" t="s">
        <v>474</v>
      </c>
      <c r="C346" t="s">
        <v>468</v>
      </c>
      <c r="D346" t="s">
        <v>2</v>
      </c>
      <c r="E346">
        <v>75</v>
      </c>
      <c r="F346">
        <v>5</v>
      </c>
      <c r="G346">
        <v>33</v>
      </c>
      <c r="H346" s="2">
        <v>8000</v>
      </c>
      <c r="I346" t="s">
        <v>257</v>
      </c>
      <c r="J346">
        <f>SUMIF('STOCK IN'!$C:$C, A346, 'STOCK IN'!$E:$E)</f>
        <v>86</v>
      </c>
      <c r="K346">
        <f>SUMIF('STOCK OUT'!$C:$C, A346, 'STOCK OUT'!$E:$E)</f>
        <v>66</v>
      </c>
      <c r="L346">
        <f t="shared" si="20"/>
        <v>95</v>
      </c>
      <c r="M346" t="str" cm="1">
        <f t="array" ref="M346">_xlfn.IFS(L346&lt;=0, "OUT OF STOCK", L346&lt;=F346, "REORDER", L346&lt;=G346, "LOW STOCK", TRUE, "IN STOCK")</f>
        <v>IN STOCK</v>
      </c>
      <c r="N346" s="2">
        <f t="shared" si="21"/>
        <v>760000</v>
      </c>
      <c r="O346">
        <v>95</v>
      </c>
      <c r="P346">
        <f t="shared" si="22"/>
        <v>0</v>
      </c>
      <c r="Q346" t="str">
        <f>_xlfn.XLOOKUP(A346, 'Item Master'!$B$3:$B$502, 'Item Master'!$G$3:$G$502,,0)</f>
        <v>CV Prima Logistik</v>
      </c>
      <c r="R346" t="str">
        <f t="shared" si="23"/>
        <v>CONFORM</v>
      </c>
    </row>
    <row r="347" spans="1:18" x14ac:dyDescent="0.25">
      <c r="A347" t="s">
        <v>525</v>
      </c>
      <c r="B347" t="s">
        <v>474</v>
      </c>
      <c r="C347" t="s">
        <v>468</v>
      </c>
      <c r="D347" t="s">
        <v>2</v>
      </c>
      <c r="E347">
        <v>98</v>
      </c>
      <c r="F347">
        <v>49</v>
      </c>
      <c r="G347">
        <v>56</v>
      </c>
      <c r="H347" s="2">
        <v>8000</v>
      </c>
      <c r="I347" t="s">
        <v>104</v>
      </c>
      <c r="J347">
        <f>SUMIF('STOCK IN'!$C:$C, A347, 'STOCK IN'!$E:$E)</f>
        <v>92</v>
      </c>
      <c r="K347">
        <f>SUMIF('STOCK OUT'!$C:$C, A347, 'STOCK OUT'!$E:$E)</f>
        <v>45</v>
      </c>
      <c r="L347">
        <f t="shared" si="20"/>
        <v>145</v>
      </c>
      <c r="M347" t="str" cm="1">
        <f t="array" ref="M347">_xlfn.IFS(L347&lt;=0, "OUT OF STOCK", L347&lt;=F347, "REORDER", L347&lt;=G347, "LOW STOCK", TRUE, "IN STOCK")</f>
        <v>IN STOCK</v>
      </c>
      <c r="N347" s="2">
        <f t="shared" si="21"/>
        <v>1160000</v>
      </c>
      <c r="O347">
        <v>143</v>
      </c>
      <c r="P347">
        <f t="shared" si="22"/>
        <v>-2</v>
      </c>
      <c r="Q347" t="str">
        <f>_xlfn.XLOOKUP(A347, 'Item Master'!$B$3:$B$502, 'Item Master'!$G$3:$G$502,,0)</f>
        <v>PT Indo Elektrik</v>
      </c>
      <c r="R347" t="str">
        <f t="shared" si="23"/>
        <v>MINUS</v>
      </c>
    </row>
    <row r="348" spans="1:18" x14ac:dyDescent="0.25">
      <c r="A348" t="s">
        <v>526</v>
      </c>
      <c r="B348" t="s">
        <v>476</v>
      </c>
      <c r="C348" t="s">
        <v>468</v>
      </c>
      <c r="D348" t="s">
        <v>477</v>
      </c>
      <c r="E348">
        <v>83</v>
      </c>
      <c r="F348">
        <v>31</v>
      </c>
      <c r="G348">
        <v>41</v>
      </c>
      <c r="H348" s="2">
        <v>4000</v>
      </c>
      <c r="I348" t="s">
        <v>75</v>
      </c>
      <c r="J348">
        <f>SUMIF('STOCK IN'!$C:$C, A348, 'STOCK IN'!$E:$E)</f>
        <v>114</v>
      </c>
      <c r="K348">
        <f>SUMIF('STOCK OUT'!$C:$C, A348, 'STOCK OUT'!$E:$E)</f>
        <v>144</v>
      </c>
      <c r="L348">
        <f t="shared" si="20"/>
        <v>53</v>
      </c>
      <c r="M348" t="str" cm="1">
        <f t="array" ref="M348">_xlfn.IFS(L348&lt;=0, "OUT OF STOCK", L348&lt;=F348, "REORDER", L348&lt;=G348, "LOW STOCK", TRUE, "IN STOCK")</f>
        <v>IN STOCK</v>
      </c>
      <c r="N348" s="2">
        <f t="shared" si="21"/>
        <v>212000</v>
      </c>
      <c r="O348">
        <v>54</v>
      </c>
      <c r="P348">
        <f t="shared" si="22"/>
        <v>1</v>
      </c>
      <c r="Q348" t="str">
        <f>_xlfn.XLOOKUP(A348, 'Item Master'!$B$3:$B$502, 'Item Master'!$G$3:$G$502,,0)</f>
        <v>PT Sentosa Distribusi</v>
      </c>
      <c r="R348" t="str">
        <f t="shared" si="23"/>
        <v>SURPLUS</v>
      </c>
    </row>
    <row r="349" spans="1:18" x14ac:dyDescent="0.25">
      <c r="A349" t="s">
        <v>527</v>
      </c>
      <c r="B349" t="s">
        <v>467</v>
      </c>
      <c r="C349" t="s">
        <v>468</v>
      </c>
      <c r="D349" t="s">
        <v>469</v>
      </c>
      <c r="E349">
        <v>124</v>
      </c>
      <c r="F349">
        <v>29</v>
      </c>
      <c r="G349">
        <v>46</v>
      </c>
      <c r="H349" s="2">
        <v>34000</v>
      </c>
      <c r="I349" t="s">
        <v>289</v>
      </c>
      <c r="J349">
        <f>SUMIF('STOCK IN'!$C:$C, A349, 'STOCK IN'!$E:$E)</f>
        <v>87</v>
      </c>
      <c r="K349">
        <f>SUMIF('STOCK OUT'!$C:$C, A349, 'STOCK OUT'!$E:$E)</f>
        <v>147</v>
      </c>
      <c r="L349">
        <f t="shared" si="20"/>
        <v>64</v>
      </c>
      <c r="M349" t="str" cm="1">
        <f t="array" ref="M349">_xlfn.IFS(L349&lt;=0, "OUT OF STOCK", L349&lt;=F349, "REORDER", L349&lt;=G349, "LOW STOCK", TRUE, "IN STOCK")</f>
        <v>IN STOCK</v>
      </c>
      <c r="N349" s="2">
        <f t="shared" si="21"/>
        <v>2176000</v>
      </c>
      <c r="O349">
        <v>64</v>
      </c>
      <c r="P349">
        <f t="shared" si="22"/>
        <v>0</v>
      </c>
      <c r="Q349" t="str">
        <f>_xlfn.XLOOKUP(A349, 'Item Master'!$B$3:$B$502, 'Item Master'!$G$3:$G$502,,0)</f>
        <v>CV Mitra Perkasa</v>
      </c>
      <c r="R349" t="str">
        <f t="shared" si="23"/>
        <v>CONFORM</v>
      </c>
    </row>
    <row r="350" spans="1:18" x14ac:dyDescent="0.25">
      <c r="A350" t="s">
        <v>528</v>
      </c>
      <c r="B350" t="s">
        <v>479</v>
      </c>
      <c r="C350" t="s">
        <v>468</v>
      </c>
      <c r="D350" t="s">
        <v>469</v>
      </c>
      <c r="E350">
        <v>230</v>
      </c>
      <c r="F350">
        <v>27</v>
      </c>
      <c r="G350">
        <v>57</v>
      </c>
      <c r="H350" s="2">
        <v>28000</v>
      </c>
      <c r="I350" t="s">
        <v>274</v>
      </c>
      <c r="J350">
        <f>SUMIF('STOCK IN'!$C:$C, A350, 'STOCK IN'!$E:$E)</f>
        <v>148</v>
      </c>
      <c r="K350">
        <f>SUMIF('STOCK OUT'!$C:$C, A350, 'STOCK OUT'!$E:$E)</f>
        <v>106</v>
      </c>
      <c r="L350">
        <f t="shared" si="20"/>
        <v>272</v>
      </c>
      <c r="M350" t="str" cm="1">
        <f t="array" ref="M350">_xlfn.IFS(L350&lt;=0, "OUT OF STOCK", L350&lt;=F350, "REORDER", L350&lt;=G350, "LOW STOCK", TRUE, "IN STOCK")</f>
        <v>IN STOCK</v>
      </c>
      <c r="N350" s="2">
        <f t="shared" si="21"/>
        <v>7616000</v>
      </c>
      <c r="O350">
        <v>274</v>
      </c>
      <c r="P350">
        <f t="shared" si="22"/>
        <v>2</v>
      </c>
      <c r="Q350" t="str">
        <f>_xlfn.XLOOKUP(A350, 'Item Master'!$B$3:$B$502, 'Item Master'!$G$3:$G$502,,0)</f>
        <v>PT Sentosa Distribusi</v>
      </c>
      <c r="R350" t="str">
        <f t="shared" si="23"/>
        <v>SURPLUS</v>
      </c>
    </row>
    <row r="351" spans="1:18" x14ac:dyDescent="0.25">
      <c r="A351" t="s">
        <v>529</v>
      </c>
      <c r="B351" t="s">
        <v>481</v>
      </c>
      <c r="C351" t="s">
        <v>468</v>
      </c>
      <c r="D351" t="s">
        <v>2</v>
      </c>
      <c r="E351">
        <v>196</v>
      </c>
      <c r="F351">
        <v>19</v>
      </c>
      <c r="G351">
        <v>49</v>
      </c>
      <c r="H351" s="2">
        <v>145000</v>
      </c>
      <c r="I351" t="s">
        <v>327</v>
      </c>
      <c r="J351">
        <f>SUMIF('STOCK IN'!$C:$C, A351, 'STOCK IN'!$E:$E)</f>
        <v>150</v>
      </c>
      <c r="K351">
        <f>SUMIF('STOCK OUT'!$C:$C, A351, 'STOCK OUT'!$E:$E)</f>
        <v>54</v>
      </c>
      <c r="L351">
        <f t="shared" si="20"/>
        <v>292</v>
      </c>
      <c r="M351" t="str" cm="1">
        <f t="array" ref="M351">_xlfn.IFS(L351&lt;=0, "OUT OF STOCK", L351&lt;=F351, "REORDER", L351&lt;=G351, "LOW STOCK", TRUE, "IN STOCK")</f>
        <v>IN STOCK</v>
      </c>
      <c r="N351" s="2">
        <f t="shared" si="21"/>
        <v>42340000</v>
      </c>
      <c r="O351">
        <v>289</v>
      </c>
      <c r="P351">
        <f t="shared" si="22"/>
        <v>-3</v>
      </c>
      <c r="Q351" t="str">
        <f>_xlfn.XLOOKUP(A351, 'Item Master'!$B$3:$B$502, 'Item Master'!$G$3:$G$502,,0)</f>
        <v>PT Sumber Teknologi Nusantara</v>
      </c>
      <c r="R351" t="str">
        <f t="shared" si="23"/>
        <v>MINUS</v>
      </c>
    </row>
    <row r="352" spans="1:18" x14ac:dyDescent="0.25">
      <c r="A352" t="s">
        <v>530</v>
      </c>
      <c r="B352" t="s">
        <v>481</v>
      </c>
      <c r="C352" t="s">
        <v>468</v>
      </c>
      <c r="D352" t="s">
        <v>2</v>
      </c>
      <c r="E352">
        <v>146</v>
      </c>
      <c r="F352">
        <v>29</v>
      </c>
      <c r="G352">
        <v>41</v>
      </c>
      <c r="H352" s="2">
        <v>297000</v>
      </c>
      <c r="I352" t="s">
        <v>124</v>
      </c>
      <c r="J352">
        <f>SUMIF('STOCK IN'!$C:$C, A352, 'STOCK IN'!$E:$E)</f>
        <v>93</v>
      </c>
      <c r="K352">
        <f>SUMIF('STOCK OUT'!$C:$C, A352, 'STOCK OUT'!$E:$E)</f>
        <v>251</v>
      </c>
      <c r="L352">
        <f t="shared" si="20"/>
        <v>-12</v>
      </c>
      <c r="M352" t="str" cm="1">
        <f t="array" ref="M352">_xlfn.IFS(L352&lt;=0, "OUT OF STOCK", L352&lt;=F352, "REORDER", L352&lt;=G352, "LOW STOCK", TRUE, "IN STOCK")</f>
        <v>OUT OF STOCK</v>
      </c>
      <c r="N352" s="2">
        <f t="shared" si="21"/>
        <v>-3564000</v>
      </c>
      <c r="O352">
        <v>0</v>
      </c>
      <c r="P352">
        <f t="shared" si="22"/>
        <v>0</v>
      </c>
      <c r="Q352" t="str">
        <f>_xlfn.XLOOKUP(A352, 'Item Master'!$B$3:$B$502, 'Item Master'!$G$3:$G$502,,0)</f>
        <v>CV Prima Logistik</v>
      </c>
      <c r="R352" t="str">
        <f t="shared" si="23"/>
        <v>CONFORM</v>
      </c>
    </row>
    <row r="353" spans="1:18" x14ac:dyDescent="0.25">
      <c r="A353" t="s">
        <v>531</v>
      </c>
      <c r="B353" t="s">
        <v>479</v>
      </c>
      <c r="C353" t="s">
        <v>468</v>
      </c>
      <c r="D353" t="s">
        <v>469</v>
      </c>
      <c r="E353">
        <v>58</v>
      </c>
      <c r="F353">
        <v>12</v>
      </c>
      <c r="G353">
        <v>18</v>
      </c>
      <c r="H353" s="2">
        <v>16000</v>
      </c>
      <c r="I353" t="s">
        <v>129</v>
      </c>
      <c r="J353">
        <f>SUMIF('STOCK IN'!$C:$C, A353, 'STOCK IN'!$E:$E)</f>
        <v>161</v>
      </c>
      <c r="K353">
        <f>SUMIF('STOCK OUT'!$C:$C, A353, 'STOCK OUT'!$E:$E)</f>
        <v>77</v>
      </c>
      <c r="L353">
        <f t="shared" si="20"/>
        <v>142</v>
      </c>
      <c r="M353" t="str" cm="1">
        <f t="array" ref="M353">_xlfn.IFS(L353&lt;=0, "OUT OF STOCK", L353&lt;=F353, "REORDER", L353&lt;=G353, "LOW STOCK", TRUE, "IN STOCK")</f>
        <v>IN STOCK</v>
      </c>
      <c r="N353" s="2">
        <f t="shared" si="21"/>
        <v>2272000</v>
      </c>
      <c r="O353">
        <v>139</v>
      </c>
      <c r="P353">
        <f t="shared" si="22"/>
        <v>-3</v>
      </c>
      <c r="Q353" t="str">
        <f>_xlfn.XLOOKUP(A353, 'Item Master'!$B$3:$B$502, 'Item Master'!$G$3:$G$502,,0)</f>
        <v>PT Global Office Supply</v>
      </c>
      <c r="R353" t="str">
        <f t="shared" si="23"/>
        <v>MINUS</v>
      </c>
    </row>
    <row r="354" spans="1:18" x14ac:dyDescent="0.25">
      <c r="A354" t="s">
        <v>532</v>
      </c>
      <c r="B354" t="s">
        <v>488</v>
      </c>
      <c r="C354" t="s">
        <v>468</v>
      </c>
      <c r="D354" t="s">
        <v>469</v>
      </c>
      <c r="E354">
        <v>27</v>
      </c>
      <c r="F354">
        <v>11</v>
      </c>
      <c r="G354">
        <v>35</v>
      </c>
      <c r="H354" s="2">
        <v>82000</v>
      </c>
      <c r="I354" t="s">
        <v>106</v>
      </c>
      <c r="J354">
        <f>SUMIF('STOCK IN'!$C:$C, A354, 'STOCK IN'!$E:$E)</f>
        <v>289</v>
      </c>
      <c r="K354">
        <f>SUMIF('STOCK OUT'!$C:$C, A354, 'STOCK OUT'!$E:$E)</f>
        <v>295</v>
      </c>
      <c r="L354">
        <f t="shared" si="20"/>
        <v>21</v>
      </c>
      <c r="M354" t="str" cm="1">
        <f t="array" ref="M354">_xlfn.IFS(L354&lt;=0, "OUT OF STOCK", L354&lt;=F354, "REORDER", L354&lt;=G354, "LOW STOCK", TRUE, "IN STOCK")</f>
        <v>LOW STOCK</v>
      </c>
      <c r="N354" s="2">
        <f t="shared" si="21"/>
        <v>1722000</v>
      </c>
      <c r="O354">
        <v>18</v>
      </c>
      <c r="P354">
        <f t="shared" si="22"/>
        <v>-3</v>
      </c>
      <c r="Q354" t="str">
        <f>_xlfn.XLOOKUP(A354, 'Item Master'!$B$3:$B$502, 'Item Master'!$G$3:$G$502,,0)</f>
        <v>PT Sumber Teknologi Nusantara</v>
      </c>
      <c r="R354" t="str">
        <f t="shared" si="23"/>
        <v>MINUS</v>
      </c>
    </row>
    <row r="355" spans="1:18" x14ac:dyDescent="0.25">
      <c r="A355" t="s">
        <v>533</v>
      </c>
      <c r="B355" t="s">
        <v>474</v>
      </c>
      <c r="C355" t="s">
        <v>468</v>
      </c>
      <c r="D355" t="s">
        <v>2</v>
      </c>
      <c r="E355">
        <v>199</v>
      </c>
      <c r="F355">
        <v>7</v>
      </c>
      <c r="G355">
        <v>49</v>
      </c>
      <c r="H355" s="2">
        <v>5000</v>
      </c>
      <c r="I355" t="s">
        <v>59</v>
      </c>
      <c r="J355">
        <f>SUMIF('STOCK IN'!$C:$C, A355, 'STOCK IN'!$E:$E)</f>
        <v>186</v>
      </c>
      <c r="K355">
        <f>SUMIF('STOCK OUT'!$C:$C, A355, 'STOCK OUT'!$E:$E)</f>
        <v>150</v>
      </c>
      <c r="L355">
        <f t="shared" si="20"/>
        <v>235</v>
      </c>
      <c r="M355" t="str" cm="1">
        <f t="array" ref="M355">_xlfn.IFS(L355&lt;=0, "OUT OF STOCK", L355&lt;=F355, "REORDER", L355&lt;=G355, "LOW STOCK", TRUE, "IN STOCK")</f>
        <v>IN STOCK</v>
      </c>
      <c r="N355" s="2">
        <f t="shared" si="21"/>
        <v>1175000</v>
      </c>
      <c r="O355">
        <v>235</v>
      </c>
      <c r="P355">
        <f t="shared" si="22"/>
        <v>0</v>
      </c>
      <c r="Q355" t="str">
        <f>_xlfn.XLOOKUP(A355, 'Item Master'!$B$3:$B$502, 'Item Master'!$G$3:$G$502,,0)</f>
        <v>CV Karya Mandiri</v>
      </c>
      <c r="R355" t="str">
        <f t="shared" si="23"/>
        <v>CONFORM</v>
      </c>
    </row>
    <row r="356" spans="1:18" x14ac:dyDescent="0.25">
      <c r="A356" t="s">
        <v>534</v>
      </c>
      <c r="B356" t="s">
        <v>488</v>
      </c>
      <c r="C356" t="s">
        <v>468</v>
      </c>
      <c r="D356" t="s">
        <v>469</v>
      </c>
      <c r="E356">
        <v>45</v>
      </c>
      <c r="F356">
        <v>37</v>
      </c>
      <c r="G356">
        <v>51</v>
      </c>
      <c r="H356" s="2">
        <v>44000</v>
      </c>
      <c r="I356" t="s">
        <v>89</v>
      </c>
      <c r="J356">
        <f>SUMIF('STOCK IN'!$C:$C, A356, 'STOCK IN'!$E:$E)</f>
        <v>80</v>
      </c>
      <c r="K356">
        <f>SUMIF('STOCK OUT'!$C:$C, A356, 'STOCK OUT'!$E:$E)</f>
        <v>53</v>
      </c>
      <c r="L356">
        <f t="shared" si="20"/>
        <v>72</v>
      </c>
      <c r="M356" t="str" cm="1">
        <f t="array" ref="M356">_xlfn.IFS(L356&lt;=0, "OUT OF STOCK", L356&lt;=F356, "REORDER", L356&lt;=G356, "LOW STOCK", TRUE, "IN STOCK")</f>
        <v>IN STOCK</v>
      </c>
      <c r="N356" s="2">
        <f t="shared" si="21"/>
        <v>3168000</v>
      </c>
      <c r="O356">
        <v>72</v>
      </c>
      <c r="P356">
        <f t="shared" si="22"/>
        <v>0</v>
      </c>
      <c r="Q356" t="str">
        <f>_xlfn.XLOOKUP(A356, 'Item Master'!$B$3:$B$502, 'Item Master'!$G$3:$G$502,,0)</f>
        <v>CV Prima Logistik</v>
      </c>
      <c r="R356" t="str">
        <f t="shared" si="23"/>
        <v>CONFORM</v>
      </c>
    </row>
    <row r="357" spans="1:18" x14ac:dyDescent="0.25">
      <c r="A357" t="s">
        <v>535</v>
      </c>
      <c r="B357" t="s">
        <v>467</v>
      </c>
      <c r="C357" t="s">
        <v>468</v>
      </c>
      <c r="D357" t="s">
        <v>469</v>
      </c>
      <c r="E357">
        <v>163</v>
      </c>
      <c r="F357">
        <v>48</v>
      </c>
      <c r="G357">
        <v>63</v>
      </c>
      <c r="H357" s="2">
        <v>46000</v>
      </c>
      <c r="I357" t="s">
        <v>327</v>
      </c>
      <c r="J357">
        <f>SUMIF('STOCK IN'!$C:$C, A357, 'STOCK IN'!$E:$E)</f>
        <v>214</v>
      </c>
      <c r="K357">
        <f>SUMIF('STOCK OUT'!$C:$C, A357, 'STOCK OUT'!$E:$E)</f>
        <v>45</v>
      </c>
      <c r="L357">
        <f t="shared" si="20"/>
        <v>332</v>
      </c>
      <c r="M357" t="str" cm="1">
        <f t="array" ref="M357">_xlfn.IFS(L357&lt;=0, "OUT OF STOCK", L357&lt;=F357, "REORDER", L357&lt;=G357, "LOW STOCK", TRUE, "IN STOCK")</f>
        <v>IN STOCK</v>
      </c>
      <c r="N357" s="2">
        <f t="shared" si="21"/>
        <v>15272000</v>
      </c>
      <c r="O357">
        <v>332</v>
      </c>
      <c r="P357">
        <f t="shared" si="22"/>
        <v>0</v>
      </c>
      <c r="Q357" t="str">
        <f>_xlfn.XLOOKUP(A357, 'Item Master'!$B$3:$B$502, 'Item Master'!$G$3:$G$502,,0)</f>
        <v>CV Prima Logistik</v>
      </c>
      <c r="R357" t="str">
        <f t="shared" si="23"/>
        <v>CONFORM</v>
      </c>
    </row>
    <row r="358" spans="1:18" x14ac:dyDescent="0.25">
      <c r="A358" t="s">
        <v>536</v>
      </c>
      <c r="B358" t="s">
        <v>481</v>
      </c>
      <c r="C358" t="s">
        <v>468</v>
      </c>
      <c r="D358" t="s">
        <v>2</v>
      </c>
      <c r="E358">
        <v>115</v>
      </c>
      <c r="F358">
        <v>24</v>
      </c>
      <c r="G358">
        <v>37</v>
      </c>
      <c r="H358" s="2">
        <v>193000</v>
      </c>
      <c r="I358" t="s">
        <v>221</v>
      </c>
      <c r="J358">
        <f>SUMIF('STOCK IN'!$C:$C, A358, 'STOCK IN'!$E:$E)</f>
        <v>252</v>
      </c>
      <c r="K358">
        <f>SUMIF('STOCK OUT'!$C:$C, A358, 'STOCK OUT'!$E:$E)</f>
        <v>107</v>
      </c>
      <c r="L358">
        <f t="shared" si="20"/>
        <v>260</v>
      </c>
      <c r="M358" t="str" cm="1">
        <f t="array" ref="M358">_xlfn.IFS(L358&lt;=0, "OUT OF STOCK", L358&lt;=F358, "REORDER", L358&lt;=G358, "LOW STOCK", TRUE, "IN STOCK")</f>
        <v>IN STOCK</v>
      </c>
      <c r="N358" s="2">
        <f t="shared" si="21"/>
        <v>50180000</v>
      </c>
      <c r="O358">
        <v>259</v>
      </c>
      <c r="P358">
        <f t="shared" si="22"/>
        <v>-1</v>
      </c>
      <c r="Q358" t="str">
        <f>_xlfn.XLOOKUP(A358, 'Item Master'!$B$3:$B$502, 'Item Master'!$G$3:$G$502,,0)</f>
        <v>PT Sumber Teknologi Nusantara</v>
      </c>
      <c r="R358" t="str">
        <f t="shared" si="23"/>
        <v>MINUS</v>
      </c>
    </row>
    <row r="359" spans="1:18" x14ac:dyDescent="0.25">
      <c r="A359" t="s">
        <v>537</v>
      </c>
      <c r="B359" t="s">
        <v>479</v>
      </c>
      <c r="C359" t="s">
        <v>468</v>
      </c>
      <c r="D359" t="s">
        <v>469</v>
      </c>
      <c r="E359">
        <v>183</v>
      </c>
      <c r="F359">
        <v>32</v>
      </c>
      <c r="G359">
        <v>54</v>
      </c>
      <c r="H359" s="2">
        <v>28000</v>
      </c>
      <c r="I359" t="s">
        <v>173</v>
      </c>
      <c r="J359">
        <f>SUMIF('STOCK IN'!$C:$C, A359, 'STOCK IN'!$E:$E)</f>
        <v>295</v>
      </c>
      <c r="K359">
        <f>SUMIF('STOCK OUT'!$C:$C, A359, 'STOCK OUT'!$E:$E)</f>
        <v>99</v>
      </c>
      <c r="L359">
        <f t="shared" si="20"/>
        <v>379</v>
      </c>
      <c r="M359" t="str" cm="1">
        <f t="array" ref="M359">_xlfn.IFS(L359&lt;=0, "OUT OF STOCK", L359&lt;=F359, "REORDER", L359&lt;=G359, "LOW STOCK", TRUE, "IN STOCK")</f>
        <v>IN STOCK</v>
      </c>
      <c r="N359" s="2">
        <f t="shared" si="21"/>
        <v>10612000</v>
      </c>
      <c r="O359">
        <v>380</v>
      </c>
      <c r="P359">
        <f t="shared" si="22"/>
        <v>1</v>
      </c>
      <c r="Q359" t="str">
        <f>_xlfn.XLOOKUP(A359, 'Item Master'!$B$3:$B$502, 'Item Master'!$G$3:$G$502,,0)</f>
        <v>CV Karya Mandiri</v>
      </c>
      <c r="R359" t="str">
        <f t="shared" si="23"/>
        <v>SURPLUS</v>
      </c>
    </row>
    <row r="360" spans="1:18" x14ac:dyDescent="0.25">
      <c r="A360" t="s">
        <v>538</v>
      </c>
      <c r="B360" t="s">
        <v>490</v>
      </c>
      <c r="C360" t="s">
        <v>468</v>
      </c>
      <c r="D360" t="s">
        <v>355</v>
      </c>
      <c r="E360">
        <v>188</v>
      </c>
      <c r="F360">
        <v>31</v>
      </c>
      <c r="G360">
        <v>49</v>
      </c>
      <c r="H360" s="2">
        <v>28000</v>
      </c>
      <c r="I360" t="s">
        <v>327</v>
      </c>
      <c r="J360">
        <f>SUMIF('STOCK IN'!$C:$C, A360, 'STOCK IN'!$E:$E)</f>
        <v>370</v>
      </c>
      <c r="K360">
        <f>SUMIF('STOCK OUT'!$C:$C, A360, 'STOCK OUT'!$E:$E)</f>
        <v>190</v>
      </c>
      <c r="L360">
        <f t="shared" si="20"/>
        <v>368</v>
      </c>
      <c r="M360" t="str" cm="1">
        <f t="array" ref="M360">_xlfn.IFS(L360&lt;=0, "OUT OF STOCK", L360&lt;=F360, "REORDER", L360&lt;=G360, "LOW STOCK", TRUE, "IN STOCK")</f>
        <v>IN STOCK</v>
      </c>
      <c r="N360" s="2">
        <f t="shared" si="21"/>
        <v>10304000</v>
      </c>
      <c r="O360">
        <v>370</v>
      </c>
      <c r="P360">
        <f t="shared" si="22"/>
        <v>2</v>
      </c>
      <c r="Q360" t="str">
        <f>_xlfn.XLOOKUP(A360, 'Item Master'!$B$3:$B$502, 'Item Master'!$G$3:$G$502,,0)</f>
        <v>PT Sentosa Distribusi</v>
      </c>
      <c r="R360" t="str">
        <f t="shared" si="23"/>
        <v>SURPLUS</v>
      </c>
    </row>
    <row r="361" spans="1:18" x14ac:dyDescent="0.25">
      <c r="A361" t="s">
        <v>539</v>
      </c>
      <c r="B361" t="s">
        <v>479</v>
      </c>
      <c r="C361" t="s">
        <v>468</v>
      </c>
      <c r="D361" t="s">
        <v>469</v>
      </c>
      <c r="E361">
        <v>147</v>
      </c>
      <c r="F361">
        <v>35</v>
      </c>
      <c r="G361">
        <v>47</v>
      </c>
      <c r="H361" s="2">
        <v>32000</v>
      </c>
      <c r="I361" t="s">
        <v>327</v>
      </c>
      <c r="J361">
        <f>SUMIF('STOCK IN'!$C:$C, A361, 'STOCK IN'!$E:$E)</f>
        <v>213</v>
      </c>
      <c r="K361">
        <f>SUMIF('STOCK OUT'!$C:$C, A361, 'STOCK OUT'!$E:$E)</f>
        <v>48</v>
      </c>
      <c r="L361">
        <f t="shared" si="20"/>
        <v>312</v>
      </c>
      <c r="M361" t="str" cm="1">
        <f t="array" ref="M361">_xlfn.IFS(L361&lt;=0, "OUT OF STOCK", L361&lt;=F361, "REORDER", L361&lt;=G361, "LOW STOCK", TRUE, "IN STOCK")</f>
        <v>IN STOCK</v>
      </c>
      <c r="N361" s="2">
        <f t="shared" si="21"/>
        <v>9984000</v>
      </c>
      <c r="O361">
        <v>311</v>
      </c>
      <c r="P361">
        <f t="shared" si="22"/>
        <v>-1</v>
      </c>
      <c r="Q361" t="str">
        <f>_xlfn.XLOOKUP(A361, 'Item Master'!$B$3:$B$502, 'Item Master'!$G$3:$G$502,,0)</f>
        <v>CV Prima Logistik</v>
      </c>
      <c r="R361" t="str">
        <f t="shared" si="23"/>
        <v>MINUS</v>
      </c>
    </row>
    <row r="362" spans="1:18" x14ac:dyDescent="0.25">
      <c r="A362" t="s">
        <v>540</v>
      </c>
      <c r="B362" t="s">
        <v>476</v>
      </c>
      <c r="C362" t="s">
        <v>468</v>
      </c>
      <c r="D362" t="s">
        <v>477</v>
      </c>
      <c r="E362">
        <v>153</v>
      </c>
      <c r="F362">
        <v>31</v>
      </c>
      <c r="G362">
        <v>49</v>
      </c>
      <c r="H362" s="2">
        <v>4000</v>
      </c>
      <c r="I362" t="s">
        <v>324</v>
      </c>
      <c r="J362">
        <f>SUMIF('STOCK IN'!$C:$C, A362, 'STOCK IN'!$E:$E)</f>
        <v>152</v>
      </c>
      <c r="K362">
        <f>SUMIF('STOCK OUT'!$C:$C, A362, 'STOCK OUT'!$E:$E)</f>
        <v>98</v>
      </c>
      <c r="L362">
        <f t="shared" si="20"/>
        <v>207</v>
      </c>
      <c r="M362" t="str" cm="1">
        <f t="array" ref="M362">_xlfn.IFS(L362&lt;=0, "OUT OF STOCK", L362&lt;=F362, "REORDER", L362&lt;=G362, "LOW STOCK", TRUE, "IN STOCK")</f>
        <v>IN STOCK</v>
      </c>
      <c r="N362" s="2">
        <f t="shared" si="21"/>
        <v>828000</v>
      </c>
      <c r="O362">
        <v>207</v>
      </c>
      <c r="P362">
        <f t="shared" si="22"/>
        <v>0</v>
      </c>
      <c r="Q362" t="str">
        <f>_xlfn.XLOOKUP(A362, 'Item Master'!$B$3:$B$502, 'Item Master'!$G$3:$G$502,,0)</f>
        <v>PT Indo Elektrik</v>
      </c>
      <c r="R362" t="str">
        <f t="shared" si="23"/>
        <v>CONFORM</v>
      </c>
    </row>
    <row r="363" spans="1:18" x14ac:dyDescent="0.25">
      <c r="A363" t="s">
        <v>541</v>
      </c>
      <c r="B363" t="s">
        <v>490</v>
      </c>
      <c r="C363" t="s">
        <v>468</v>
      </c>
      <c r="D363" t="s">
        <v>355</v>
      </c>
      <c r="E363">
        <v>75</v>
      </c>
      <c r="F363">
        <v>18</v>
      </c>
      <c r="G363">
        <v>33</v>
      </c>
      <c r="H363" s="2">
        <v>23000</v>
      </c>
      <c r="I363" t="s">
        <v>106</v>
      </c>
      <c r="J363">
        <f>SUMIF('STOCK IN'!$C:$C, A363, 'STOCK IN'!$E:$E)</f>
        <v>81</v>
      </c>
      <c r="K363">
        <f>SUMIF('STOCK OUT'!$C:$C, A363, 'STOCK OUT'!$E:$E)</f>
        <v>75</v>
      </c>
      <c r="L363">
        <f t="shared" si="20"/>
        <v>81</v>
      </c>
      <c r="M363" t="str" cm="1">
        <f t="array" ref="M363">_xlfn.IFS(L363&lt;=0, "OUT OF STOCK", L363&lt;=F363, "REORDER", L363&lt;=G363, "LOW STOCK", TRUE, "IN STOCK")</f>
        <v>IN STOCK</v>
      </c>
      <c r="N363" s="2">
        <f t="shared" si="21"/>
        <v>1863000</v>
      </c>
      <c r="O363">
        <v>81</v>
      </c>
      <c r="P363">
        <f t="shared" si="22"/>
        <v>0</v>
      </c>
      <c r="Q363" t="str">
        <f>_xlfn.XLOOKUP(A363, 'Item Master'!$B$3:$B$502, 'Item Master'!$G$3:$G$502,,0)</f>
        <v>CV Mitra Perkasa</v>
      </c>
      <c r="R363" t="str">
        <f t="shared" si="23"/>
        <v>CONFORM</v>
      </c>
    </row>
    <row r="364" spans="1:18" x14ac:dyDescent="0.25">
      <c r="A364" t="s">
        <v>542</v>
      </c>
      <c r="B364" t="s">
        <v>502</v>
      </c>
      <c r="C364" t="s">
        <v>468</v>
      </c>
      <c r="D364" t="s">
        <v>469</v>
      </c>
      <c r="E364">
        <v>195</v>
      </c>
      <c r="F364">
        <v>17</v>
      </c>
      <c r="G364">
        <v>48</v>
      </c>
      <c r="H364" s="2">
        <v>93000</v>
      </c>
      <c r="I364" t="s">
        <v>57</v>
      </c>
      <c r="J364">
        <f>SUMIF('STOCK IN'!$C:$C, A364, 'STOCK IN'!$E:$E)</f>
        <v>46</v>
      </c>
      <c r="K364">
        <f>SUMIF('STOCK OUT'!$C:$C, A364, 'STOCK OUT'!$E:$E)</f>
        <v>52</v>
      </c>
      <c r="L364">
        <f t="shared" si="20"/>
        <v>189</v>
      </c>
      <c r="M364" t="str" cm="1">
        <f t="array" ref="M364">_xlfn.IFS(L364&lt;=0, "OUT OF STOCK", L364&lt;=F364, "REORDER", L364&lt;=G364, "LOW STOCK", TRUE, "IN STOCK")</f>
        <v>IN STOCK</v>
      </c>
      <c r="N364" s="2">
        <f t="shared" si="21"/>
        <v>17577000</v>
      </c>
      <c r="O364">
        <v>190</v>
      </c>
      <c r="P364">
        <f t="shared" si="22"/>
        <v>1</v>
      </c>
      <c r="Q364" t="str">
        <f>_xlfn.XLOOKUP(A364, 'Item Master'!$B$3:$B$502, 'Item Master'!$G$3:$G$502,,0)</f>
        <v>PT Cipta Sarana Niaga</v>
      </c>
      <c r="R364" t="str">
        <f t="shared" si="23"/>
        <v>SURPLUS</v>
      </c>
    </row>
    <row r="365" spans="1:18" x14ac:dyDescent="0.25">
      <c r="A365" t="s">
        <v>543</v>
      </c>
      <c r="B365" t="s">
        <v>484</v>
      </c>
      <c r="C365" t="s">
        <v>468</v>
      </c>
      <c r="D365" t="s">
        <v>469</v>
      </c>
      <c r="E365">
        <v>233</v>
      </c>
      <c r="F365">
        <v>9</v>
      </c>
      <c r="G365">
        <v>58</v>
      </c>
      <c r="H365" s="2">
        <v>25000</v>
      </c>
      <c r="I365" t="s">
        <v>77</v>
      </c>
      <c r="J365">
        <f>SUMIF('STOCK IN'!$C:$C, A365, 'STOCK IN'!$E:$E)</f>
        <v>242</v>
      </c>
      <c r="K365">
        <f>SUMIF('STOCK OUT'!$C:$C, A365, 'STOCK OUT'!$E:$E)</f>
        <v>68</v>
      </c>
      <c r="L365">
        <f t="shared" si="20"/>
        <v>407</v>
      </c>
      <c r="M365" t="str" cm="1">
        <f t="array" ref="M365">_xlfn.IFS(L365&lt;=0, "OUT OF STOCK", L365&lt;=F365, "REORDER", L365&lt;=G365, "LOW STOCK", TRUE, "IN STOCK")</f>
        <v>IN STOCK</v>
      </c>
      <c r="N365" s="2">
        <f t="shared" si="21"/>
        <v>10175000</v>
      </c>
      <c r="O365">
        <v>407</v>
      </c>
      <c r="P365">
        <f t="shared" si="22"/>
        <v>0</v>
      </c>
      <c r="Q365" t="str">
        <f>_xlfn.XLOOKUP(A365, 'Item Master'!$B$3:$B$502, 'Item Master'!$G$3:$G$502,,0)</f>
        <v>PT Solusi Komputer</v>
      </c>
      <c r="R365" t="str">
        <f t="shared" si="23"/>
        <v>CONFORM</v>
      </c>
    </row>
    <row r="366" spans="1:18" x14ac:dyDescent="0.25">
      <c r="A366" t="s">
        <v>544</v>
      </c>
      <c r="B366" t="s">
        <v>488</v>
      </c>
      <c r="C366" t="s">
        <v>468</v>
      </c>
      <c r="D366" t="s">
        <v>469</v>
      </c>
      <c r="E366">
        <v>63</v>
      </c>
      <c r="F366">
        <v>26</v>
      </c>
      <c r="G366">
        <v>40</v>
      </c>
      <c r="H366" s="2">
        <v>152000</v>
      </c>
      <c r="I366" t="s">
        <v>219</v>
      </c>
      <c r="J366">
        <f>SUMIF('STOCK IN'!$C:$C, A366, 'STOCK IN'!$E:$E)</f>
        <v>152</v>
      </c>
      <c r="K366">
        <f>SUMIF('STOCK OUT'!$C:$C, A366, 'STOCK OUT'!$E:$E)</f>
        <v>167</v>
      </c>
      <c r="L366">
        <f t="shared" si="20"/>
        <v>48</v>
      </c>
      <c r="M366" t="str" cm="1">
        <f t="array" ref="M366">_xlfn.IFS(L366&lt;=0, "OUT OF STOCK", L366&lt;=F366, "REORDER", L366&lt;=G366, "LOW STOCK", TRUE, "IN STOCK")</f>
        <v>IN STOCK</v>
      </c>
      <c r="N366" s="2">
        <f t="shared" si="21"/>
        <v>7296000</v>
      </c>
      <c r="O366">
        <v>46</v>
      </c>
      <c r="P366">
        <f t="shared" si="22"/>
        <v>-2</v>
      </c>
      <c r="Q366" t="str">
        <f>_xlfn.XLOOKUP(A366, 'Item Master'!$B$3:$B$502, 'Item Master'!$G$3:$G$502,,0)</f>
        <v>PT Sumber Teknologi Nusantara</v>
      </c>
      <c r="R366" t="str">
        <f t="shared" si="23"/>
        <v>MINUS</v>
      </c>
    </row>
    <row r="367" spans="1:18" x14ac:dyDescent="0.25">
      <c r="A367" t="s">
        <v>545</v>
      </c>
      <c r="B367" t="s">
        <v>502</v>
      </c>
      <c r="C367" t="s">
        <v>468</v>
      </c>
      <c r="D367" t="s">
        <v>469</v>
      </c>
      <c r="E367">
        <v>203</v>
      </c>
      <c r="F367">
        <v>35</v>
      </c>
      <c r="G367">
        <v>50</v>
      </c>
      <c r="H367" s="2">
        <v>120000</v>
      </c>
      <c r="I367" t="s">
        <v>183</v>
      </c>
      <c r="J367">
        <f>SUMIF('STOCK IN'!$C:$C, A367, 'STOCK IN'!$E:$E)</f>
        <v>138</v>
      </c>
      <c r="K367">
        <f>SUMIF('STOCK OUT'!$C:$C, A367, 'STOCK OUT'!$E:$E)</f>
        <v>203</v>
      </c>
      <c r="L367">
        <f t="shared" si="20"/>
        <v>138</v>
      </c>
      <c r="M367" t="str" cm="1">
        <f t="array" ref="M367">_xlfn.IFS(L367&lt;=0, "OUT OF STOCK", L367&lt;=F367, "REORDER", L367&lt;=G367, "LOW STOCK", TRUE, "IN STOCK")</f>
        <v>IN STOCK</v>
      </c>
      <c r="N367" s="2">
        <f t="shared" si="21"/>
        <v>16560000</v>
      </c>
      <c r="O367">
        <v>140</v>
      </c>
      <c r="P367">
        <f t="shared" si="22"/>
        <v>2</v>
      </c>
      <c r="Q367" t="str">
        <f>_xlfn.XLOOKUP(A367, 'Item Master'!$B$3:$B$502, 'Item Master'!$G$3:$G$502,,0)</f>
        <v>PT Solusi Komputer</v>
      </c>
      <c r="R367" t="str">
        <f t="shared" si="23"/>
        <v>SURPLUS</v>
      </c>
    </row>
    <row r="368" spans="1:18" x14ac:dyDescent="0.25">
      <c r="A368" t="s">
        <v>546</v>
      </c>
      <c r="B368" t="s">
        <v>490</v>
      </c>
      <c r="C368" t="s">
        <v>468</v>
      </c>
      <c r="D368" t="s">
        <v>355</v>
      </c>
      <c r="E368">
        <v>151</v>
      </c>
      <c r="F368">
        <v>25</v>
      </c>
      <c r="G368">
        <v>54</v>
      </c>
      <c r="H368" s="2">
        <v>23000</v>
      </c>
      <c r="I368" t="s">
        <v>57</v>
      </c>
      <c r="J368">
        <f>SUMIF('STOCK IN'!$C:$C, A368, 'STOCK IN'!$E:$E)</f>
        <v>87</v>
      </c>
      <c r="K368">
        <f>SUMIF('STOCK OUT'!$C:$C, A368, 'STOCK OUT'!$E:$E)</f>
        <v>70</v>
      </c>
      <c r="L368">
        <f t="shared" si="20"/>
        <v>168</v>
      </c>
      <c r="M368" t="str" cm="1">
        <f t="array" ref="M368">_xlfn.IFS(L368&lt;=0, "OUT OF STOCK", L368&lt;=F368, "REORDER", L368&lt;=G368, "LOW STOCK", TRUE, "IN STOCK")</f>
        <v>IN STOCK</v>
      </c>
      <c r="N368" s="2">
        <f t="shared" si="21"/>
        <v>3864000</v>
      </c>
      <c r="O368">
        <v>167</v>
      </c>
      <c r="P368">
        <f t="shared" si="22"/>
        <v>-1</v>
      </c>
      <c r="Q368" t="str">
        <f>_xlfn.XLOOKUP(A368, 'Item Master'!$B$3:$B$502, 'Item Master'!$G$3:$G$502,,0)</f>
        <v>PT Cipta Sarana Niaga</v>
      </c>
      <c r="R368" t="str">
        <f t="shared" si="23"/>
        <v>MINUS</v>
      </c>
    </row>
    <row r="369" spans="1:18" x14ac:dyDescent="0.25">
      <c r="A369" t="s">
        <v>547</v>
      </c>
      <c r="B369" t="s">
        <v>481</v>
      </c>
      <c r="C369" t="s">
        <v>468</v>
      </c>
      <c r="D369" t="s">
        <v>2</v>
      </c>
      <c r="E369">
        <v>88</v>
      </c>
      <c r="F369">
        <v>21</v>
      </c>
      <c r="G369">
        <v>37</v>
      </c>
      <c r="H369" s="2">
        <v>263000</v>
      </c>
      <c r="I369" t="s">
        <v>69</v>
      </c>
      <c r="J369">
        <f>SUMIF('STOCK IN'!$C:$C, A369, 'STOCK IN'!$E:$E)</f>
        <v>116</v>
      </c>
      <c r="K369">
        <f>SUMIF('STOCK OUT'!$C:$C, A369, 'STOCK OUT'!$E:$E)</f>
        <v>156</v>
      </c>
      <c r="L369">
        <f t="shared" si="20"/>
        <v>48</v>
      </c>
      <c r="M369" t="str" cm="1">
        <f t="array" ref="M369">_xlfn.IFS(L369&lt;=0, "OUT OF STOCK", L369&lt;=F369, "REORDER", L369&lt;=G369, "LOW STOCK", TRUE, "IN STOCK")</f>
        <v>IN STOCK</v>
      </c>
      <c r="N369" s="2">
        <f t="shared" si="21"/>
        <v>12624000</v>
      </c>
      <c r="O369">
        <v>48</v>
      </c>
      <c r="P369">
        <f t="shared" si="22"/>
        <v>0</v>
      </c>
      <c r="Q369" t="str">
        <f>_xlfn.XLOOKUP(A369, 'Item Master'!$B$3:$B$502, 'Item Master'!$G$3:$G$502,,0)</f>
        <v>PT Indo Elektrik</v>
      </c>
      <c r="R369" t="str">
        <f t="shared" si="23"/>
        <v>CONFORM</v>
      </c>
    </row>
    <row r="370" spans="1:18" x14ac:dyDescent="0.25">
      <c r="A370" t="s">
        <v>548</v>
      </c>
      <c r="B370" t="s">
        <v>502</v>
      </c>
      <c r="C370" t="s">
        <v>468</v>
      </c>
      <c r="D370" t="s">
        <v>469</v>
      </c>
      <c r="E370">
        <v>130</v>
      </c>
      <c r="F370">
        <v>25</v>
      </c>
      <c r="G370">
        <v>36</v>
      </c>
      <c r="H370" s="2">
        <v>117000</v>
      </c>
      <c r="I370" t="s">
        <v>181</v>
      </c>
      <c r="J370">
        <f>SUMIF('STOCK IN'!$C:$C, A370, 'STOCK IN'!$E:$E)</f>
        <v>63</v>
      </c>
      <c r="K370">
        <f>SUMIF('STOCK OUT'!$C:$C, A370, 'STOCK OUT'!$E:$E)</f>
        <v>114</v>
      </c>
      <c r="L370">
        <f t="shared" si="20"/>
        <v>79</v>
      </c>
      <c r="M370" t="str" cm="1">
        <f t="array" ref="M370">_xlfn.IFS(L370&lt;=0, "OUT OF STOCK", L370&lt;=F370, "REORDER", L370&lt;=G370, "LOW STOCK", TRUE, "IN STOCK")</f>
        <v>IN STOCK</v>
      </c>
      <c r="N370" s="2">
        <f t="shared" si="21"/>
        <v>9243000</v>
      </c>
      <c r="O370">
        <v>81</v>
      </c>
      <c r="P370">
        <f t="shared" si="22"/>
        <v>2</v>
      </c>
      <c r="Q370" t="str">
        <f>_xlfn.XLOOKUP(A370, 'Item Master'!$B$3:$B$502, 'Item Master'!$G$3:$G$502,,0)</f>
        <v>CV Berkah Jaya</v>
      </c>
      <c r="R370" t="str">
        <f t="shared" si="23"/>
        <v>SURPLUS</v>
      </c>
    </row>
    <row r="371" spans="1:18" x14ac:dyDescent="0.25">
      <c r="A371" t="s">
        <v>549</v>
      </c>
      <c r="B371" t="s">
        <v>474</v>
      </c>
      <c r="C371" t="s">
        <v>468</v>
      </c>
      <c r="D371" t="s">
        <v>2</v>
      </c>
      <c r="E371">
        <v>231</v>
      </c>
      <c r="F371">
        <v>19</v>
      </c>
      <c r="G371">
        <v>57</v>
      </c>
      <c r="H371" s="2">
        <v>11000</v>
      </c>
      <c r="I371" t="s">
        <v>297</v>
      </c>
      <c r="J371">
        <f>SUMIF('STOCK IN'!$C:$C, A371, 'STOCK IN'!$E:$E)</f>
        <v>150</v>
      </c>
      <c r="K371">
        <f>SUMIF('STOCK OUT'!$C:$C, A371, 'STOCK OUT'!$E:$E)</f>
        <v>28</v>
      </c>
      <c r="L371">
        <f t="shared" si="20"/>
        <v>353</v>
      </c>
      <c r="M371" t="str" cm="1">
        <f t="array" ref="M371">_xlfn.IFS(L371&lt;=0, "OUT OF STOCK", L371&lt;=F371, "REORDER", L371&lt;=G371, "LOW STOCK", TRUE, "IN STOCK")</f>
        <v>IN STOCK</v>
      </c>
      <c r="N371" s="2">
        <f t="shared" si="21"/>
        <v>3883000</v>
      </c>
      <c r="O371">
        <v>354</v>
      </c>
      <c r="P371">
        <f t="shared" si="22"/>
        <v>1</v>
      </c>
      <c r="Q371" t="str">
        <f>_xlfn.XLOOKUP(A371, 'Item Master'!$B$3:$B$502, 'Item Master'!$G$3:$G$502,,0)</f>
        <v>PT Sentosa Distribusi</v>
      </c>
      <c r="R371" t="str">
        <f t="shared" si="23"/>
        <v>SURPLUS</v>
      </c>
    </row>
    <row r="372" spans="1:18" x14ac:dyDescent="0.25">
      <c r="A372" t="s">
        <v>550</v>
      </c>
      <c r="B372" t="s">
        <v>481</v>
      </c>
      <c r="C372" t="s">
        <v>468</v>
      </c>
      <c r="D372" t="s">
        <v>2</v>
      </c>
      <c r="E372">
        <v>85</v>
      </c>
      <c r="F372">
        <v>14</v>
      </c>
      <c r="G372">
        <v>25</v>
      </c>
      <c r="H372" s="2">
        <v>293000</v>
      </c>
      <c r="I372" t="s">
        <v>59</v>
      </c>
      <c r="J372">
        <f>SUMIF('STOCK IN'!$C:$C, A372, 'STOCK IN'!$E:$E)</f>
        <v>102</v>
      </c>
      <c r="K372">
        <f>SUMIF('STOCK OUT'!$C:$C, A372, 'STOCK OUT'!$E:$E)</f>
        <v>303</v>
      </c>
      <c r="L372">
        <f t="shared" si="20"/>
        <v>-116</v>
      </c>
      <c r="M372" t="str" cm="1">
        <f t="array" ref="M372">_xlfn.IFS(L372&lt;=0, "OUT OF STOCK", L372&lt;=F372, "REORDER", L372&lt;=G372, "LOW STOCK", TRUE, "IN STOCK")</f>
        <v>OUT OF STOCK</v>
      </c>
      <c r="N372" s="2">
        <f t="shared" si="21"/>
        <v>-33988000</v>
      </c>
      <c r="O372">
        <v>0</v>
      </c>
      <c r="P372">
        <f t="shared" si="22"/>
        <v>0</v>
      </c>
      <c r="Q372" t="str">
        <f>_xlfn.XLOOKUP(A372, 'Item Master'!$B$3:$B$502, 'Item Master'!$G$3:$G$502,,0)</f>
        <v>CV Berkah Jaya</v>
      </c>
      <c r="R372" t="str">
        <f t="shared" si="23"/>
        <v>CONFORM</v>
      </c>
    </row>
    <row r="373" spans="1:18" x14ac:dyDescent="0.25">
      <c r="A373" t="s">
        <v>551</v>
      </c>
      <c r="B373" t="s">
        <v>484</v>
      </c>
      <c r="C373" t="s">
        <v>468</v>
      </c>
      <c r="D373" t="s">
        <v>469</v>
      </c>
      <c r="E373">
        <v>137</v>
      </c>
      <c r="F373">
        <v>40</v>
      </c>
      <c r="G373">
        <v>65</v>
      </c>
      <c r="H373" s="2">
        <v>51000</v>
      </c>
      <c r="I373" t="s">
        <v>230</v>
      </c>
      <c r="J373">
        <f>SUMIF('STOCK IN'!$C:$C, A373, 'STOCK IN'!$E:$E)</f>
        <v>119</v>
      </c>
      <c r="K373">
        <f>SUMIF('STOCK OUT'!$C:$C, A373, 'STOCK OUT'!$E:$E)</f>
        <v>54</v>
      </c>
      <c r="L373">
        <f t="shared" si="20"/>
        <v>202</v>
      </c>
      <c r="M373" t="str" cm="1">
        <f t="array" ref="M373">_xlfn.IFS(L373&lt;=0, "OUT OF STOCK", L373&lt;=F373, "REORDER", L373&lt;=G373, "LOW STOCK", TRUE, "IN STOCK")</f>
        <v>IN STOCK</v>
      </c>
      <c r="N373" s="2">
        <f t="shared" si="21"/>
        <v>10302000</v>
      </c>
      <c r="O373">
        <v>205</v>
      </c>
      <c r="P373">
        <f t="shared" si="22"/>
        <v>3</v>
      </c>
      <c r="Q373" t="str">
        <f>_xlfn.XLOOKUP(A373, 'Item Master'!$B$3:$B$502, 'Item Master'!$G$3:$G$502,,0)</f>
        <v>CV Berkah Jaya</v>
      </c>
      <c r="R373" t="str">
        <f t="shared" si="23"/>
        <v>SURPLUS</v>
      </c>
    </row>
    <row r="374" spans="1:18" x14ac:dyDescent="0.25">
      <c r="A374" t="s">
        <v>552</v>
      </c>
      <c r="B374" t="s">
        <v>476</v>
      </c>
      <c r="C374" t="s">
        <v>468</v>
      </c>
      <c r="D374" t="s">
        <v>477</v>
      </c>
      <c r="E374">
        <v>53</v>
      </c>
      <c r="F374">
        <v>27</v>
      </c>
      <c r="G374">
        <v>37</v>
      </c>
      <c r="H374" s="2">
        <v>17000</v>
      </c>
      <c r="I374" t="s">
        <v>77</v>
      </c>
      <c r="J374">
        <f>SUMIF('STOCK IN'!$C:$C, A374, 'STOCK IN'!$E:$E)</f>
        <v>74</v>
      </c>
      <c r="K374">
        <f>SUMIF('STOCK OUT'!$C:$C, A374, 'STOCK OUT'!$E:$E)</f>
        <v>51</v>
      </c>
      <c r="L374">
        <f t="shared" si="20"/>
        <v>76</v>
      </c>
      <c r="M374" t="str" cm="1">
        <f t="array" ref="M374">_xlfn.IFS(L374&lt;=0, "OUT OF STOCK", L374&lt;=F374, "REORDER", L374&lt;=G374, "LOW STOCK", TRUE, "IN STOCK")</f>
        <v>IN STOCK</v>
      </c>
      <c r="N374" s="2">
        <f t="shared" si="21"/>
        <v>1292000</v>
      </c>
      <c r="O374">
        <v>73</v>
      </c>
      <c r="P374">
        <f t="shared" si="22"/>
        <v>-3</v>
      </c>
      <c r="Q374" t="str">
        <f>_xlfn.XLOOKUP(A374, 'Item Master'!$B$3:$B$502, 'Item Master'!$G$3:$G$502,,0)</f>
        <v>PT Sentosa Distribusi</v>
      </c>
      <c r="R374" t="str">
        <f t="shared" si="23"/>
        <v>MINUS</v>
      </c>
    </row>
    <row r="375" spans="1:18" x14ac:dyDescent="0.25">
      <c r="A375" t="s">
        <v>553</v>
      </c>
      <c r="B375" t="s">
        <v>476</v>
      </c>
      <c r="C375" t="s">
        <v>468</v>
      </c>
      <c r="D375" t="s">
        <v>477</v>
      </c>
      <c r="E375">
        <v>244</v>
      </c>
      <c r="F375">
        <v>39</v>
      </c>
      <c r="G375">
        <v>64</v>
      </c>
      <c r="H375" s="2">
        <v>8000</v>
      </c>
      <c r="I375" t="s">
        <v>324</v>
      </c>
      <c r="J375">
        <f>SUMIF('STOCK IN'!$C:$C, A375, 'STOCK IN'!$E:$E)</f>
        <v>87</v>
      </c>
      <c r="K375">
        <f>SUMIF('STOCK OUT'!$C:$C, A375, 'STOCK OUT'!$E:$E)</f>
        <v>116</v>
      </c>
      <c r="L375">
        <f t="shared" si="20"/>
        <v>215</v>
      </c>
      <c r="M375" t="str" cm="1">
        <f t="array" ref="M375">_xlfn.IFS(L375&lt;=0, "OUT OF STOCK", L375&lt;=F375, "REORDER", L375&lt;=G375, "LOW STOCK", TRUE, "IN STOCK")</f>
        <v>IN STOCK</v>
      </c>
      <c r="N375" s="2">
        <f t="shared" si="21"/>
        <v>1720000</v>
      </c>
      <c r="O375">
        <v>218</v>
      </c>
      <c r="P375">
        <f t="shared" si="22"/>
        <v>3</v>
      </c>
      <c r="Q375" t="str">
        <f>_xlfn.XLOOKUP(A375, 'Item Master'!$B$3:$B$502, 'Item Master'!$G$3:$G$502,,0)</f>
        <v>PT Sumber Teknologi Nusantara</v>
      </c>
      <c r="R375" t="str">
        <f t="shared" si="23"/>
        <v>SURPLUS</v>
      </c>
    </row>
    <row r="376" spans="1:18" x14ac:dyDescent="0.25">
      <c r="A376" t="s">
        <v>554</v>
      </c>
      <c r="B376" t="s">
        <v>502</v>
      </c>
      <c r="C376" t="s">
        <v>468</v>
      </c>
      <c r="D376" t="s">
        <v>469</v>
      </c>
      <c r="E376">
        <v>22</v>
      </c>
      <c r="F376">
        <v>5</v>
      </c>
      <c r="G376">
        <v>23</v>
      </c>
      <c r="H376" s="2">
        <v>110000</v>
      </c>
      <c r="I376" t="s">
        <v>265</v>
      </c>
      <c r="J376">
        <f>SUMIF('STOCK IN'!$C:$C, A376, 'STOCK IN'!$E:$E)</f>
        <v>112</v>
      </c>
      <c r="K376">
        <f>SUMIF('STOCK OUT'!$C:$C, A376, 'STOCK OUT'!$E:$E)</f>
        <v>206</v>
      </c>
      <c r="L376">
        <f t="shared" si="20"/>
        <v>-72</v>
      </c>
      <c r="M376" t="str" cm="1">
        <f t="array" ref="M376">_xlfn.IFS(L376&lt;=0, "OUT OF STOCK", L376&lt;=F376, "REORDER", L376&lt;=G376, "LOW STOCK", TRUE, "IN STOCK")</f>
        <v>OUT OF STOCK</v>
      </c>
      <c r="N376" s="2">
        <f t="shared" si="21"/>
        <v>-7920000</v>
      </c>
      <c r="O376">
        <v>0</v>
      </c>
      <c r="P376">
        <f t="shared" si="22"/>
        <v>0</v>
      </c>
      <c r="Q376" t="str">
        <f>_xlfn.XLOOKUP(A376, 'Item Master'!$B$3:$B$502, 'Item Master'!$G$3:$G$502,,0)</f>
        <v>PT Sentosa Distribusi</v>
      </c>
      <c r="R376" t="str">
        <f t="shared" si="23"/>
        <v>CONFORM</v>
      </c>
    </row>
    <row r="377" spans="1:18" x14ac:dyDescent="0.25">
      <c r="A377" t="s">
        <v>555</v>
      </c>
      <c r="B377" t="s">
        <v>502</v>
      </c>
      <c r="C377" t="s">
        <v>468</v>
      </c>
      <c r="D377" t="s">
        <v>469</v>
      </c>
      <c r="E377">
        <v>48</v>
      </c>
      <c r="F377">
        <v>5</v>
      </c>
      <c r="G377">
        <v>16</v>
      </c>
      <c r="H377" s="2">
        <v>115000</v>
      </c>
      <c r="I377" t="s">
        <v>124</v>
      </c>
      <c r="J377">
        <f>SUMIF('STOCK IN'!$C:$C, A377, 'STOCK IN'!$E:$E)</f>
        <v>214</v>
      </c>
      <c r="K377">
        <f>SUMIF('STOCK OUT'!$C:$C, A377, 'STOCK OUT'!$E:$E)</f>
        <v>103</v>
      </c>
      <c r="L377">
        <f t="shared" si="20"/>
        <v>159</v>
      </c>
      <c r="M377" t="str" cm="1">
        <f t="array" ref="M377">_xlfn.IFS(L377&lt;=0, "OUT OF STOCK", L377&lt;=F377, "REORDER", L377&lt;=G377, "LOW STOCK", TRUE, "IN STOCK")</f>
        <v>IN STOCK</v>
      </c>
      <c r="N377" s="2">
        <f t="shared" si="21"/>
        <v>18285000</v>
      </c>
      <c r="O377">
        <v>156</v>
      </c>
      <c r="P377">
        <f t="shared" si="22"/>
        <v>-3</v>
      </c>
      <c r="Q377" t="str">
        <f>_xlfn.XLOOKUP(A377, 'Item Master'!$B$3:$B$502, 'Item Master'!$G$3:$G$502,,0)</f>
        <v>PT Indo Elektrik</v>
      </c>
      <c r="R377" t="str">
        <f t="shared" si="23"/>
        <v>MINUS</v>
      </c>
    </row>
    <row r="378" spans="1:18" x14ac:dyDescent="0.25">
      <c r="A378" t="s">
        <v>556</v>
      </c>
      <c r="B378" t="s">
        <v>474</v>
      </c>
      <c r="C378" t="s">
        <v>468</v>
      </c>
      <c r="D378" t="s">
        <v>2</v>
      </c>
      <c r="E378">
        <v>173</v>
      </c>
      <c r="F378">
        <v>47</v>
      </c>
      <c r="G378">
        <v>71</v>
      </c>
      <c r="H378" s="2">
        <v>11000</v>
      </c>
      <c r="I378" t="s">
        <v>45</v>
      </c>
      <c r="J378">
        <f>SUMIF('STOCK IN'!$C:$C, A378, 'STOCK IN'!$E:$E)</f>
        <v>289</v>
      </c>
      <c r="K378">
        <f>SUMIF('STOCK OUT'!$C:$C, A378, 'STOCK OUT'!$E:$E)</f>
        <v>37</v>
      </c>
      <c r="L378">
        <f t="shared" si="20"/>
        <v>425</v>
      </c>
      <c r="M378" t="str" cm="1">
        <f t="array" ref="M378">_xlfn.IFS(L378&lt;=0, "OUT OF STOCK", L378&lt;=F378, "REORDER", L378&lt;=G378, "LOW STOCK", TRUE, "IN STOCK")</f>
        <v>IN STOCK</v>
      </c>
      <c r="N378" s="2">
        <f t="shared" si="21"/>
        <v>4675000</v>
      </c>
      <c r="O378">
        <v>426</v>
      </c>
      <c r="P378">
        <f t="shared" si="22"/>
        <v>1</v>
      </c>
      <c r="Q378" t="str">
        <f>_xlfn.XLOOKUP(A378, 'Item Master'!$B$3:$B$502, 'Item Master'!$G$3:$G$502,,0)</f>
        <v>CV Karya Mandiri</v>
      </c>
      <c r="R378" t="str">
        <f t="shared" si="23"/>
        <v>SURPLUS</v>
      </c>
    </row>
    <row r="379" spans="1:18" x14ac:dyDescent="0.25">
      <c r="A379" t="s">
        <v>557</v>
      </c>
      <c r="B379" t="s">
        <v>474</v>
      </c>
      <c r="C379" t="s">
        <v>468</v>
      </c>
      <c r="D379" t="s">
        <v>2</v>
      </c>
      <c r="E379">
        <v>146</v>
      </c>
      <c r="F379">
        <v>40</v>
      </c>
      <c r="G379">
        <v>58</v>
      </c>
      <c r="H379" s="2">
        <v>2000</v>
      </c>
      <c r="I379" t="s">
        <v>297</v>
      </c>
      <c r="J379">
        <f>SUMIF('STOCK IN'!$C:$C, A379, 'STOCK IN'!$E:$E)</f>
        <v>227</v>
      </c>
      <c r="K379">
        <f>SUMIF('STOCK OUT'!$C:$C, A379, 'STOCK OUT'!$E:$E)</f>
        <v>104</v>
      </c>
      <c r="L379">
        <f t="shared" si="20"/>
        <v>269</v>
      </c>
      <c r="M379" t="str" cm="1">
        <f t="array" ref="M379">_xlfn.IFS(L379&lt;=0, "OUT OF STOCK", L379&lt;=F379, "REORDER", L379&lt;=G379, "LOW STOCK", TRUE, "IN STOCK")</f>
        <v>IN STOCK</v>
      </c>
      <c r="N379" s="2">
        <f t="shared" si="21"/>
        <v>538000</v>
      </c>
      <c r="O379">
        <v>269</v>
      </c>
      <c r="P379">
        <f t="shared" si="22"/>
        <v>0</v>
      </c>
      <c r="Q379" t="str">
        <f>_xlfn.XLOOKUP(A379, 'Item Master'!$B$3:$B$502, 'Item Master'!$G$3:$G$502,,0)</f>
        <v>PT Sumber Teknologi Nusantara</v>
      </c>
      <c r="R379" t="str">
        <f t="shared" si="23"/>
        <v>CONFORM</v>
      </c>
    </row>
    <row r="380" spans="1:18" x14ac:dyDescent="0.25">
      <c r="A380" t="s">
        <v>558</v>
      </c>
      <c r="B380" t="s">
        <v>471</v>
      </c>
      <c r="C380" t="s">
        <v>468</v>
      </c>
      <c r="D380" t="s">
        <v>355</v>
      </c>
      <c r="E380">
        <v>14</v>
      </c>
      <c r="F380">
        <v>37</v>
      </c>
      <c r="G380">
        <v>64</v>
      </c>
      <c r="H380" s="2">
        <v>51000</v>
      </c>
      <c r="I380" t="s">
        <v>246</v>
      </c>
      <c r="J380">
        <f>SUMIF('STOCK IN'!$C:$C, A380, 'STOCK IN'!$E:$E)</f>
        <v>164</v>
      </c>
      <c r="K380">
        <f>SUMIF('STOCK OUT'!$C:$C, A380, 'STOCK OUT'!$E:$E)</f>
        <v>87</v>
      </c>
      <c r="L380">
        <f t="shared" si="20"/>
        <v>91</v>
      </c>
      <c r="M380" t="str" cm="1">
        <f t="array" ref="M380">_xlfn.IFS(L380&lt;=0, "OUT OF STOCK", L380&lt;=F380, "REORDER", L380&lt;=G380, "LOW STOCK", TRUE, "IN STOCK")</f>
        <v>IN STOCK</v>
      </c>
      <c r="N380" s="2">
        <f t="shared" si="21"/>
        <v>4641000</v>
      </c>
      <c r="O380">
        <v>91</v>
      </c>
      <c r="P380">
        <f t="shared" si="22"/>
        <v>0</v>
      </c>
      <c r="Q380" t="str">
        <f>_xlfn.XLOOKUP(A380, 'Item Master'!$B$3:$B$502, 'Item Master'!$G$3:$G$502,,0)</f>
        <v>PT Global Office Supply</v>
      </c>
      <c r="R380" t="str">
        <f t="shared" si="23"/>
        <v>CONFORM</v>
      </c>
    </row>
    <row r="381" spans="1:18" x14ac:dyDescent="0.25">
      <c r="A381" t="s">
        <v>559</v>
      </c>
      <c r="B381" t="s">
        <v>502</v>
      </c>
      <c r="C381" t="s">
        <v>468</v>
      </c>
      <c r="D381" t="s">
        <v>469</v>
      </c>
      <c r="E381">
        <v>48</v>
      </c>
      <c r="F381">
        <v>20</v>
      </c>
      <c r="G381">
        <v>31</v>
      </c>
      <c r="H381" s="2">
        <v>92000</v>
      </c>
      <c r="I381" t="s">
        <v>324</v>
      </c>
      <c r="J381">
        <f>SUMIF('STOCK IN'!$C:$C, A381, 'STOCK IN'!$E:$E)</f>
        <v>237</v>
      </c>
      <c r="K381">
        <f>SUMIF('STOCK OUT'!$C:$C, A381, 'STOCK OUT'!$E:$E)</f>
        <v>167</v>
      </c>
      <c r="L381">
        <f t="shared" si="20"/>
        <v>118</v>
      </c>
      <c r="M381" t="str" cm="1">
        <f t="array" ref="M381">_xlfn.IFS(L381&lt;=0, "OUT OF STOCK", L381&lt;=F381, "REORDER", L381&lt;=G381, "LOW STOCK", TRUE, "IN STOCK")</f>
        <v>IN STOCK</v>
      </c>
      <c r="N381" s="2">
        <f t="shared" si="21"/>
        <v>10856000</v>
      </c>
      <c r="O381">
        <v>115</v>
      </c>
      <c r="P381">
        <f t="shared" si="22"/>
        <v>-3</v>
      </c>
      <c r="Q381" t="str">
        <f>_xlfn.XLOOKUP(A381, 'Item Master'!$B$3:$B$502, 'Item Master'!$G$3:$G$502,,0)</f>
        <v>PT Solusi Komputer</v>
      </c>
      <c r="R381" t="str">
        <f t="shared" si="23"/>
        <v>MINUS</v>
      </c>
    </row>
    <row r="382" spans="1:18" x14ac:dyDescent="0.25">
      <c r="A382" t="s">
        <v>560</v>
      </c>
      <c r="B382" t="s">
        <v>467</v>
      </c>
      <c r="C382" t="s">
        <v>468</v>
      </c>
      <c r="D382" t="s">
        <v>469</v>
      </c>
      <c r="E382">
        <v>213</v>
      </c>
      <c r="F382">
        <v>30</v>
      </c>
      <c r="G382">
        <v>53</v>
      </c>
      <c r="H382" s="2">
        <v>27000</v>
      </c>
      <c r="I382" t="s">
        <v>119</v>
      </c>
      <c r="J382">
        <f>SUMIF('STOCK IN'!$C:$C, A382, 'STOCK IN'!$E:$E)</f>
        <v>230</v>
      </c>
      <c r="K382">
        <f>SUMIF('STOCK OUT'!$C:$C, A382, 'STOCK OUT'!$E:$E)</f>
        <v>63</v>
      </c>
      <c r="L382">
        <f t="shared" si="20"/>
        <v>380</v>
      </c>
      <c r="M382" t="str" cm="1">
        <f t="array" ref="M382">_xlfn.IFS(L382&lt;=0, "OUT OF STOCK", L382&lt;=F382, "REORDER", L382&lt;=G382, "LOW STOCK", TRUE, "IN STOCK")</f>
        <v>IN STOCK</v>
      </c>
      <c r="N382" s="2">
        <f t="shared" si="21"/>
        <v>10260000</v>
      </c>
      <c r="O382">
        <v>379</v>
      </c>
      <c r="P382">
        <f t="shared" si="22"/>
        <v>-1</v>
      </c>
      <c r="Q382" t="str">
        <f>_xlfn.XLOOKUP(A382, 'Item Master'!$B$3:$B$502, 'Item Master'!$G$3:$G$502,,0)</f>
        <v>CV Berkah Jaya</v>
      </c>
      <c r="R382" t="str">
        <f t="shared" si="23"/>
        <v>MINUS</v>
      </c>
    </row>
    <row r="383" spans="1:18" x14ac:dyDescent="0.25">
      <c r="A383" t="s">
        <v>561</v>
      </c>
      <c r="B383" t="s">
        <v>484</v>
      </c>
      <c r="C383" t="s">
        <v>468</v>
      </c>
      <c r="D383" t="s">
        <v>469</v>
      </c>
      <c r="E383">
        <v>188</v>
      </c>
      <c r="F383">
        <v>19</v>
      </c>
      <c r="G383">
        <v>47</v>
      </c>
      <c r="H383" s="2">
        <v>51000</v>
      </c>
      <c r="I383" t="s">
        <v>310</v>
      </c>
      <c r="J383">
        <f>SUMIF('STOCK IN'!$C:$C, A383, 'STOCK IN'!$E:$E)</f>
        <v>166</v>
      </c>
      <c r="K383">
        <f>SUMIF('STOCK OUT'!$C:$C, A383, 'STOCK OUT'!$E:$E)</f>
        <v>47</v>
      </c>
      <c r="L383">
        <f t="shared" si="20"/>
        <v>307</v>
      </c>
      <c r="M383" t="str" cm="1">
        <f t="array" ref="M383">_xlfn.IFS(L383&lt;=0, "OUT OF STOCK", L383&lt;=F383, "REORDER", L383&lt;=G383, "LOW STOCK", TRUE, "IN STOCK")</f>
        <v>IN STOCK</v>
      </c>
      <c r="N383" s="2">
        <f t="shared" si="21"/>
        <v>15657000</v>
      </c>
      <c r="O383">
        <v>307</v>
      </c>
      <c r="P383">
        <f t="shared" si="22"/>
        <v>0</v>
      </c>
      <c r="Q383" t="str">
        <f>_xlfn.XLOOKUP(A383, 'Item Master'!$B$3:$B$502, 'Item Master'!$G$3:$G$502,,0)</f>
        <v>CV Mitra Perkasa</v>
      </c>
      <c r="R383" t="str">
        <f t="shared" si="23"/>
        <v>CONFORM</v>
      </c>
    </row>
    <row r="384" spans="1:18" x14ac:dyDescent="0.25">
      <c r="A384" t="s">
        <v>562</v>
      </c>
      <c r="B384" t="s">
        <v>502</v>
      </c>
      <c r="C384" t="s">
        <v>468</v>
      </c>
      <c r="D384" t="s">
        <v>469</v>
      </c>
      <c r="E384">
        <v>107</v>
      </c>
      <c r="F384">
        <v>29</v>
      </c>
      <c r="G384">
        <v>51</v>
      </c>
      <c r="H384" s="2">
        <v>76000</v>
      </c>
      <c r="I384" t="s">
        <v>104</v>
      </c>
      <c r="J384">
        <f>SUMIF('STOCK IN'!$C:$C, A384, 'STOCK IN'!$E:$E)</f>
        <v>145</v>
      </c>
      <c r="K384">
        <f>SUMIF('STOCK OUT'!$C:$C, A384, 'STOCK OUT'!$E:$E)</f>
        <v>52</v>
      </c>
      <c r="L384">
        <f t="shared" si="20"/>
        <v>200</v>
      </c>
      <c r="M384" t="str" cm="1">
        <f t="array" ref="M384">_xlfn.IFS(L384&lt;=0, "OUT OF STOCK", L384&lt;=F384, "REORDER", L384&lt;=G384, "LOW STOCK", TRUE, "IN STOCK")</f>
        <v>IN STOCK</v>
      </c>
      <c r="N384" s="2">
        <f t="shared" si="21"/>
        <v>15200000</v>
      </c>
      <c r="O384">
        <v>203</v>
      </c>
      <c r="P384">
        <f t="shared" si="22"/>
        <v>3</v>
      </c>
      <c r="Q384" t="str">
        <f>_xlfn.XLOOKUP(A384, 'Item Master'!$B$3:$B$502, 'Item Master'!$G$3:$G$502,,0)</f>
        <v>CV Karya Mandiri</v>
      </c>
      <c r="R384" t="str">
        <f t="shared" si="23"/>
        <v>SURPLUS</v>
      </c>
    </row>
    <row r="385" spans="1:18" x14ac:dyDescent="0.25">
      <c r="A385" t="s">
        <v>563</v>
      </c>
      <c r="B385" t="s">
        <v>479</v>
      </c>
      <c r="C385" t="s">
        <v>468</v>
      </c>
      <c r="D385" t="s">
        <v>469</v>
      </c>
      <c r="E385">
        <v>137</v>
      </c>
      <c r="F385">
        <v>32</v>
      </c>
      <c r="G385">
        <v>57</v>
      </c>
      <c r="H385" s="2">
        <v>10000</v>
      </c>
      <c r="I385" t="s">
        <v>287</v>
      </c>
      <c r="J385">
        <f>SUMIF('STOCK IN'!$C:$C, A385, 'STOCK IN'!$E:$E)</f>
        <v>86</v>
      </c>
      <c r="K385">
        <f>SUMIF('STOCK OUT'!$C:$C, A385, 'STOCK OUT'!$E:$E)</f>
        <v>128</v>
      </c>
      <c r="L385">
        <f t="shared" si="20"/>
        <v>95</v>
      </c>
      <c r="M385" t="str" cm="1">
        <f t="array" ref="M385">_xlfn.IFS(L385&lt;=0, "OUT OF STOCK", L385&lt;=F385, "REORDER", L385&lt;=G385, "LOW STOCK", TRUE, "IN STOCK")</f>
        <v>IN STOCK</v>
      </c>
      <c r="N385" s="2">
        <f t="shared" si="21"/>
        <v>950000</v>
      </c>
      <c r="O385">
        <v>95</v>
      </c>
      <c r="P385">
        <f t="shared" si="22"/>
        <v>0</v>
      </c>
      <c r="Q385" t="str">
        <f>_xlfn.XLOOKUP(A385, 'Item Master'!$B$3:$B$502, 'Item Master'!$G$3:$G$502,,0)</f>
        <v>CV Berkah Jaya</v>
      </c>
      <c r="R385" t="str">
        <f t="shared" si="23"/>
        <v>CONFORM</v>
      </c>
    </row>
    <row r="386" spans="1:18" x14ac:dyDescent="0.25">
      <c r="A386" t="s">
        <v>564</v>
      </c>
      <c r="B386" t="s">
        <v>481</v>
      </c>
      <c r="C386" t="s">
        <v>468</v>
      </c>
      <c r="D386" t="s">
        <v>2</v>
      </c>
      <c r="E386">
        <v>68</v>
      </c>
      <c r="F386">
        <v>18</v>
      </c>
      <c r="G386">
        <v>45</v>
      </c>
      <c r="H386" s="2">
        <v>101000</v>
      </c>
      <c r="I386" t="s">
        <v>164</v>
      </c>
      <c r="J386">
        <f>SUMIF('STOCK IN'!$C:$C, A386, 'STOCK IN'!$E:$E)</f>
        <v>90</v>
      </c>
      <c r="K386">
        <f>SUMIF('STOCK OUT'!$C:$C, A386, 'STOCK OUT'!$E:$E)</f>
        <v>228</v>
      </c>
      <c r="L386">
        <f t="shared" si="20"/>
        <v>-70</v>
      </c>
      <c r="M386" t="str" cm="1">
        <f t="array" ref="M386">_xlfn.IFS(L386&lt;=0, "OUT OF STOCK", L386&lt;=F386, "REORDER", L386&lt;=G386, "LOW STOCK", TRUE, "IN STOCK")</f>
        <v>OUT OF STOCK</v>
      </c>
      <c r="N386" s="2">
        <f t="shared" si="21"/>
        <v>-7070000</v>
      </c>
      <c r="O386">
        <v>0</v>
      </c>
      <c r="P386">
        <f t="shared" si="22"/>
        <v>0</v>
      </c>
      <c r="Q386" t="str">
        <f>_xlfn.XLOOKUP(A386, 'Item Master'!$B$3:$B$502, 'Item Master'!$G$3:$G$502,,0)</f>
        <v>PT Solusi Komputer</v>
      </c>
      <c r="R386" t="str">
        <f t="shared" si="23"/>
        <v>CONFORM</v>
      </c>
    </row>
    <row r="387" spans="1:18" x14ac:dyDescent="0.25">
      <c r="A387" t="s">
        <v>565</v>
      </c>
      <c r="B387" t="s">
        <v>474</v>
      </c>
      <c r="C387" t="s">
        <v>468</v>
      </c>
      <c r="D387" t="s">
        <v>2</v>
      </c>
      <c r="E387">
        <v>185</v>
      </c>
      <c r="F387">
        <v>22</v>
      </c>
      <c r="G387">
        <v>46</v>
      </c>
      <c r="H387" s="2">
        <v>3000</v>
      </c>
      <c r="I387" t="s">
        <v>45</v>
      </c>
      <c r="J387">
        <f>SUMIF('STOCK IN'!$C:$C, A387, 'STOCK IN'!$E:$E)</f>
        <v>65</v>
      </c>
      <c r="K387">
        <f>SUMIF('STOCK OUT'!$C:$C, A387, 'STOCK OUT'!$E:$E)</f>
        <v>138</v>
      </c>
      <c r="L387">
        <f t="shared" ref="L387:L450" si="24">E387+J387-K387</f>
        <v>112</v>
      </c>
      <c r="M387" t="str" cm="1">
        <f t="array" ref="M387">_xlfn.IFS(L387&lt;=0, "OUT OF STOCK", L387&lt;=F387, "REORDER", L387&lt;=G387, "LOW STOCK", TRUE, "IN STOCK")</f>
        <v>IN STOCK</v>
      </c>
      <c r="N387" s="2">
        <f t="shared" ref="N387:N450" si="25">L387*H387</f>
        <v>336000</v>
      </c>
      <c r="O387">
        <v>112</v>
      </c>
      <c r="P387">
        <f t="shared" ref="P387:P450" si="26">IF(L387&lt;0, 0, O387 - L387)</f>
        <v>0</v>
      </c>
      <c r="Q387" t="str">
        <f>_xlfn.XLOOKUP(A387, 'Item Master'!$B$3:$B$502, 'Item Master'!$G$3:$G$502,,0)</f>
        <v>PT Solusi Komputer</v>
      </c>
      <c r="R387" t="str">
        <f t="shared" ref="R387:R450" si="27">IF(P387=0, "CONFORM", IF(P387&gt;0, "SURPLUS", "MINUS"))</f>
        <v>CONFORM</v>
      </c>
    </row>
    <row r="388" spans="1:18" x14ac:dyDescent="0.25">
      <c r="A388" t="s">
        <v>566</v>
      </c>
      <c r="B388" t="s">
        <v>479</v>
      </c>
      <c r="C388" t="s">
        <v>468</v>
      </c>
      <c r="D388" t="s">
        <v>469</v>
      </c>
      <c r="E388">
        <v>90</v>
      </c>
      <c r="F388">
        <v>6</v>
      </c>
      <c r="G388">
        <v>22</v>
      </c>
      <c r="H388" s="2">
        <v>35000</v>
      </c>
      <c r="I388" t="s">
        <v>64</v>
      </c>
      <c r="J388">
        <f>SUMIF('STOCK IN'!$C:$C, A388, 'STOCK IN'!$E:$E)</f>
        <v>141</v>
      </c>
      <c r="K388">
        <f>SUMIF('STOCK OUT'!$C:$C, A388, 'STOCK OUT'!$E:$E)</f>
        <v>70</v>
      </c>
      <c r="L388">
        <f t="shared" si="24"/>
        <v>161</v>
      </c>
      <c r="M388" t="str" cm="1">
        <f t="array" ref="M388">_xlfn.IFS(L388&lt;=0, "OUT OF STOCK", L388&lt;=F388, "REORDER", L388&lt;=G388, "LOW STOCK", TRUE, "IN STOCK")</f>
        <v>IN STOCK</v>
      </c>
      <c r="N388" s="2">
        <f t="shared" si="25"/>
        <v>5635000</v>
      </c>
      <c r="O388">
        <v>161</v>
      </c>
      <c r="P388">
        <f t="shared" si="26"/>
        <v>0</v>
      </c>
      <c r="Q388" t="str">
        <f>_xlfn.XLOOKUP(A388, 'Item Master'!$B$3:$B$502, 'Item Master'!$G$3:$G$502,,0)</f>
        <v>PT Solusi Komputer</v>
      </c>
      <c r="R388" t="str">
        <f t="shared" si="27"/>
        <v>CONFORM</v>
      </c>
    </row>
    <row r="389" spans="1:18" x14ac:dyDescent="0.25">
      <c r="A389" t="s">
        <v>567</v>
      </c>
      <c r="B389" t="s">
        <v>502</v>
      </c>
      <c r="C389" t="s">
        <v>468</v>
      </c>
      <c r="D389" t="s">
        <v>469</v>
      </c>
      <c r="E389">
        <v>51</v>
      </c>
      <c r="F389">
        <v>41</v>
      </c>
      <c r="G389">
        <v>53</v>
      </c>
      <c r="H389" s="2">
        <v>63000</v>
      </c>
      <c r="I389" t="s">
        <v>152</v>
      </c>
      <c r="J389">
        <f>SUMIF('STOCK IN'!$C:$C, A389, 'STOCK IN'!$E:$E)</f>
        <v>169</v>
      </c>
      <c r="K389">
        <f>SUMIF('STOCK OUT'!$C:$C, A389, 'STOCK OUT'!$E:$E)</f>
        <v>154</v>
      </c>
      <c r="L389">
        <f t="shared" si="24"/>
        <v>66</v>
      </c>
      <c r="M389" t="str" cm="1">
        <f t="array" ref="M389">_xlfn.IFS(L389&lt;=0, "OUT OF STOCK", L389&lt;=F389, "REORDER", L389&lt;=G389, "LOW STOCK", TRUE, "IN STOCK")</f>
        <v>IN STOCK</v>
      </c>
      <c r="N389" s="2">
        <f t="shared" si="25"/>
        <v>4158000</v>
      </c>
      <c r="O389">
        <v>65</v>
      </c>
      <c r="P389">
        <f t="shared" si="26"/>
        <v>-1</v>
      </c>
      <c r="Q389" t="str">
        <f>_xlfn.XLOOKUP(A389, 'Item Master'!$B$3:$B$502, 'Item Master'!$G$3:$G$502,,0)</f>
        <v>PT Solusi Komputer</v>
      </c>
      <c r="R389" t="str">
        <f t="shared" si="27"/>
        <v>MINUS</v>
      </c>
    </row>
    <row r="390" spans="1:18" x14ac:dyDescent="0.25">
      <c r="A390" t="s">
        <v>568</v>
      </c>
      <c r="B390" t="s">
        <v>467</v>
      </c>
      <c r="C390" t="s">
        <v>468</v>
      </c>
      <c r="D390" t="s">
        <v>469</v>
      </c>
      <c r="E390">
        <v>203</v>
      </c>
      <c r="F390">
        <v>13</v>
      </c>
      <c r="G390">
        <v>50</v>
      </c>
      <c r="H390" s="2">
        <v>34000</v>
      </c>
      <c r="I390" t="s">
        <v>133</v>
      </c>
      <c r="J390">
        <f>SUMIF('STOCK IN'!$C:$C, A390, 'STOCK IN'!$E:$E)</f>
        <v>0</v>
      </c>
      <c r="K390">
        <f>SUMIF('STOCK OUT'!$C:$C, A390, 'STOCK OUT'!$E:$E)</f>
        <v>25</v>
      </c>
      <c r="L390">
        <f t="shared" si="24"/>
        <v>178</v>
      </c>
      <c r="M390" t="str" cm="1">
        <f t="array" ref="M390">_xlfn.IFS(L390&lt;=0, "OUT OF STOCK", L390&lt;=F390, "REORDER", L390&lt;=G390, "LOW STOCK", TRUE, "IN STOCK")</f>
        <v>IN STOCK</v>
      </c>
      <c r="N390" s="2">
        <f t="shared" si="25"/>
        <v>6052000</v>
      </c>
      <c r="O390">
        <v>180</v>
      </c>
      <c r="P390">
        <f t="shared" si="26"/>
        <v>2</v>
      </c>
      <c r="Q390" t="str">
        <f>_xlfn.XLOOKUP(A390, 'Item Master'!$B$3:$B$502, 'Item Master'!$G$3:$G$502,,0)</f>
        <v>CV Mitra Perkasa</v>
      </c>
      <c r="R390" t="str">
        <f t="shared" si="27"/>
        <v>SURPLUS</v>
      </c>
    </row>
    <row r="391" spans="1:18" x14ac:dyDescent="0.25">
      <c r="A391" t="s">
        <v>569</v>
      </c>
      <c r="B391" t="s">
        <v>474</v>
      </c>
      <c r="C391" t="s">
        <v>468</v>
      </c>
      <c r="D391" t="s">
        <v>2</v>
      </c>
      <c r="E391">
        <v>121</v>
      </c>
      <c r="F391">
        <v>19</v>
      </c>
      <c r="G391">
        <v>30</v>
      </c>
      <c r="H391" s="2">
        <v>3000</v>
      </c>
      <c r="I391" t="s">
        <v>161</v>
      </c>
      <c r="J391">
        <f>SUMIF('STOCK IN'!$C:$C, A391, 'STOCK IN'!$E:$E)</f>
        <v>150</v>
      </c>
      <c r="K391">
        <f>SUMIF('STOCK OUT'!$C:$C, A391, 'STOCK OUT'!$E:$E)</f>
        <v>85</v>
      </c>
      <c r="L391">
        <f t="shared" si="24"/>
        <v>186</v>
      </c>
      <c r="M391" t="str" cm="1">
        <f t="array" ref="M391">_xlfn.IFS(L391&lt;=0, "OUT OF STOCK", L391&lt;=F391, "REORDER", L391&lt;=G391, "LOW STOCK", TRUE, "IN STOCK")</f>
        <v>IN STOCK</v>
      </c>
      <c r="N391" s="2">
        <f t="shared" si="25"/>
        <v>558000</v>
      </c>
      <c r="O391">
        <v>185</v>
      </c>
      <c r="P391">
        <f t="shared" si="26"/>
        <v>-1</v>
      </c>
      <c r="Q391" t="str">
        <f>_xlfn.XLOOKUP(A391, 'Item Master'!$B$3:$B$502, 'Item Master'!$G$3:$G$502,,0)</f>
        <v>CV Berkah Jaya</v>
      </c>
      <c r="R391" t="str">
        <f t="shared" si="27"/>
        <v>MINUS</v>
      </c>
    </row>
    <row r="392" spans="1:18" x14ac:dyDescent="0.25">
      <c r="A392" t="s">
        <v>570</v>
      </c>
      <c r="B392" t="s">
        <v>484</v>
      </c>
      <c r="C392" t="s">
        <v>468</v>
      </c>
      <c r="D392" t="s">
        <v>469</v>
      </c>
      <c r="E392">
        <v>208</v>
      </c>
      <c r="F392">
        <v>25</v>
      </c>
      <c r="G392">
        <v>52</v>
      </c>
      <c r="H392" s="2">
        <v>70000</v>
      </c>
      <c r="I392" t="s">
        <v>106</v>
      </c>
      <c r="J392">
        <f>SUMIF('STOCK IN'!$C:$C, A392, 'STOCK IN'!$E:$E)</f>
        <v>57</v>
      </c>
      <c r="K392">
        <f>SUMIF('STOCK OUT'!$C:$C, A392, 'STOCK OUT'!$E:$E)</f>
        <v>174</v>
      </c>
      <c r="L392">
        <f t="shared" si="24"/>
        <v>91</v>
      </c>
      <c r="M392" t="str" cm="1">
        <f t="array" ref="M392">_xlfn.IFS(L392&lt;=0, "OUT OF STOCK", L392&lt;=F392, "REORDER", L392&lt;=G392, "LOW STOCK", TRUE, "IN STOCK")</f>
        <v>IN STOCK</v>
      </c>
      <c r="N392" s="2">
        <f t="shared" si="25"/>
        <v>6370000</v>
      </c>
      <c r="O392">
        <v>93</v>
      </c>
      <c r="P392">
        <f t="shared" si="26"/>
        <v>2</v>
      </c>
      <c r="Q392" t="str">
        <f>_xlfn.XLOOKUP(A392, 'Item Master'!$B$3:$B$502, 'Item Master'!$G$3:$G$502,,0)</f>
        <v>PT Cipta Sarana Niaga</v>
      </c>
      <c r="R392" t="str">
        <f t="shared" si="27"/>
        <v>SURPLUS</v>
      </c>
    </row>
    <row r="393" spans="1:18" x14ac:dyDescent="0.25">
      <c r="A393" t="s">
        <v>571</v>
      </c>
      <c r="B393" t="s">
        <v>488</v>
      </c>
      <c r="C393" t="s">
        <v>468</v>
      </c>
      <c r="D393" t="s">
        <v>469</v>
      </c>
      <c r="E393">
        <v>151</v>
      </c>
      <c r="F393">
        <v>29</v>
      </c>
      <c r="G393">
        <v>47</v>
      </c>
      <c r="H393" s="2">
        <v>121000</v>
      </c>
      <c r="I393" t="s">
        <v>289</v>
      </c>
      <c r="J393">
        <f>SUMIF('STOCK IN'!$C:$C, A393, 'STOCK IN'!$E:$E)</f>
        <v>209</v>
      </c>
      <c r="K393">
        <f>SUMIF('STOCK OUT'!$C:$C, A393, 'STOCK OUT'!$E:$E)</f>
        <v>166</v>
      </c>
      <c r="L393">
        <f t="shared" si="24"/>
        <v>194</v>
      </c>
      <c r="M393" t="str" cm="1">
        <f t="array" ref="M393">_xlfn.IFS(L393&lt;=0, "OUT OF STOCK", L393&lt;=F393, "REORDER", L393&lt;=G393, "LOW STOCK", TRUE, "IN STOCK")</f>
        <v>IN STOCK</v>
      </c>
      <c r="N393" s="2">
        <f t="shared" si="25"/>
        <v>23474000</v>
      </c>
      <c r="O393">
        <v>193</v>
      </c>
      <c r="P393">
        <f t="shared" si="26"/>
        <v>-1</v>
      </c>
      <c r="Q393" t="str">
        <f>_xlfn.XLOOKUP(A393, 'Item Master'!$B$3:$B$502, 'Item Master'!$G$3:$G$502,,0)</f>
        <v>PT Sentosa Distribusi</v>
      </c>
      <c r="R393" t="str">
        <f t="shared" si="27"/>
        <v>MINUS</v>
      </c>
    </row>
    <row r="394" spans="1:18" x14ac:dyDescent="0.25">
      <c r="A394" t="s">
        <v>572</v>
      </c>
      <c r="B394" t="s">
        <v>490</v>
      </c>
      <c r="C394" t="s">
        <v>468</v>
      </c>
      <c r="D394" t="s">
        <v>355</v>
      </c>
      <c r="E394">
        <v>207</v>
      </c>
      <c r="F394">
        <v>44</v>
      </c>
      <c r="G394">
        <v>58</v>
      </c>
      <c r="H394" s="2">
        <v>13000</v>
      </c>
      <c r="I394" t="s">
        <v>27</v>
      </c>
      <c r="J394">
        <f>SUMIF('STOCK IN'!$C:$C, A394, 'STOCK IN'!$E:$E)</f>
        <v>122</v>
      </c>
      <c r="K394">
        <f>SUMIF('STOCK OUT'!$C:$C, A394, 'STOCK OUT'!$E:$E)</f>
        <v>109</v>
      </c>
      <c r="L394">
        <f t="shared" si="24"/>
        <v>220</v>
      </c>
      <c r="M394" t="str" cm="1">
        <f t="array" ref="M394">_xlfn.IFS(L394&lt;=0, "OUT OF STOCK", L394&lt;=F394, "REORDER", L394&lt;=G394, "LOW STOCK", TRUE, "IN STOCK")</f>
        <v>IN STOCK</v>
      </c>
      <c r="N394" s="2">
        <f t="shared" si="25"/>
        <v>2860000</v>
      </c>
      <c r="O394">
        <v>223</v>
      </c>
      <c r="P394">
        <f t="shared" si="26"/>
        <v>3</v>
      </c>
      <c r="Q394" t="str">
        <f>_xlfn.XLOOKUP(A394, 'Item Master'!$B$3:$B$502, 'Item Master'!$G$3:$G$502,,0)</f>
        <v>CV Prima Logistik</v>
      </c>
      <c r="R394" t="str">
        <f t="shared" si="27"/>
        <v>SURPLUS</v>
      </c>
    </row>
    <row r="395" spans="1:18" x14ac:dyDescent="0.25">
      <c r="A395" t="s">
        <v>573</v>
      </c>
      <c r="B395" t="s">
        <v>502</v>
      </c>
      <c r="C395" t="s">
        <v>468</v>
      </c>
      <c r="D395" t="s">
        <v>469</v>
      </c>
      <c r="E395">
        <v>49</v>
      </c>
      <c r="F395">
        <v>29</v>
      </c>
      <c r="G395">
        <v>56</v>
      </c>
      <c r="H395" s="2">
        <v>59000</v>
      </c>
      <c r="I395" t="s">
        <v>574</v>
      </c>
      <c r="J395">
        <f>SUMIF('STOCK IN'!$C:$C, A395, 'STOCK IN'!$E:$E)</f>
        <v>92</v>
      </c>
      <c r="K395">
        <f>SUMIF('STOCK OUT'!$C:$C, A395, 'STOCK OUT'!$E:$E)</f>
        <v>49</v>
      </c>
      <c r="L395">
        <f t="shared" si="24"/>
        <v>92</v>
      </c>
      <c r="M395" t="str" cm="1">
        <f t="array" ref="M395">_xlfn.IFS(L395&lt;=0, "OUT OF STOCK", L395&lt;=F395, "REORDER", L395&lt;=G395, "LOW STOCK", TRUE, "IN STOCK")</f>
        <v>IN STOCK</v>
      </c>
      <c r="N395" s="2">
        <f t="shared" si="25"/>
        <v>5428000</v>
      </c>
      <c r="O395">
        <v>90</v>
      </c>
      <c r="P395">
        <f t="shared" si="26"/>
        <v>-2</v>
      </c>
      <c r="Q395" t="str">
        <f>_xlfn.XLOOKUP(A395, 'Item Master'!$B$3:$B$502, 'Item Master'!$G$3:$G$502,,0)</f>
        <v>PT Sentosa Distribusi</v>
      </c>
      <c r="R395" t="str">
        <f t="shared" si="27"/>
        <v>MINUS</v>
      </c>
    </row>
    <row r="396" spans="1:18" x14ac:dyDescent="0.25">
      <c r="A396" t="s">
        <v>575</v>
      </c>
      <c r="B396" t="s">
        <v>467</v>
      </c>
      <c r="C396" t="s">
        <v>468</v>
      </c>
      <c r="D396" t="s">
        <v>469</v>
      </c>
      <c r="E396">
        <v>37</v>
      </c>
      <c r="F396">
        <v>10</v>
      </c>
      <c r="G396">
        <v>15</v>
      </c>
      <c r="H396" s="2">
        <v>33000</v>
      </c>
      <c r="I396" t="s">
        <v>108</v>
      </c>
      <c r="J396">
        <f>SUMIF('STOCK IN'!$C:$C, A396, 'STOCK IN'!$E:$E)</f>
        <v>268</v>
      </c>
      <c r="K396">
        <f>SUMIF('STOCK OUT'!$C:$C, A396, 'STOCK OUT'!$E:$E)</f>
        <v>176</v>
      </c>
      <c r="L396">
        <f t="shared" si="24"/>
        <v>129</v>
      </c>
      <c r="M396" t="str" cm="1">
        <f t="array" ref="M396">_xlfn.IFS(L396&lt;=0, "OUT OF STOCK", L396&lt;=F396, "REORDER", L396&lt;=G396, "LOW STOCK", TRUE, "IN STOCK")</f>
        <v>IN STOCK</v>
      </c>
      <c r="N396" s="2">
        <f t="shared" si="25"/>
        <v>4257000</v>
      </c>
      <c r="O396">
        <v>128</v>
      </c>
      <c r="P396">
        <f t="shared" si="26"/>
        <v>-1</v>
      </c>
      <c r="Q396" t="str">
        <f>_xlfn.XLOOKUP(A396, 'Item Master'!$B$3:$B$502, 'Item Master'!$G$3:$G$502,,0)</f>
        <v>PT Cipta Sarana Niaga</v>
      </c>
      <c r="R396" t="str">
        <f t="shared" si="27"/>
        <v>MINUS</v>
      </c>
    </row>
    <row r="397" spans="1:18" x14ac:dyDescent="0.25">
      <c r="A397" t="s">
        <v>576</v>
      </c>
      <c r="B397" t="s">
        <v>471</v>
      </c>
      <c r="C397" t="s">
        <v>468</v>
      </c>
      <c r="D397" t="s">
        <v>355</v>
      </c>
      <c r="E397">
        <v>43</v>
      </c>
      <c r="F397">
        <v>10</v>
      </c>
      <c r="G397">
        <v>20</v>
      </c>
      <c r="H397" s="2">
        <v>28000</v>
      </c>
      <c r="I397" t="s">
        <v>106</v>
      </c>
      <c r="J397">
        <f>SUMIF('STOCK IN'!$C:$C, A397, 'STOCK IN'!$E:$E)</f>
        <v>68</v>
      </c>
      <c r="K397">
        <f>SUMIF('STOCK OUT'!$C:$C, A397, 'STOCK OUT'!$E:$E)</f>
        <v>121</v>
      </c>
      <c r="L397">
        <f t="shared" si="24"/>
        <v>-10</v>
      </c>
      <c r="M397" t="str" cm="1">
        <f t="array" ref="M397">_xlfn.IFS(L397&lt;=0, "OUT OF STOCK", L397&lt;=F397, "REORDER", L397&lt;=G397, "LOW STOCK", TRUE, "IN STOCK")</f>
        <v>OUT OF STOCK</v>
      </c>
      <c r="N397" s="2">
        <f t="shared" si="25"/>
        <v>-280000</v>
      </c>
      <c r="O397">
        <v>0</v>
      </c>
      <c r="P397">
        <f t="shared" si="26"/>
        <v>0</v>
      </c>
      <c r="Q397" t="str">
        <f>_xlfn.XLOOKUP(A397, 'Item Master'!$B$3:$B$502, 'Item Master'!$G$3:$G$502,,0)</f>
        <v>PT Global Office Supply</v>
      </c>
      <c r="R397" t="str">
        <f t="shared" si="27"/>
        <v>CONFORM</v>
      </c>
    </row>
    <row r="398" spans="1:18" x14ac:dyDescent="0.25">
      <c r="A398" t="s">
        <v>577</v>
      </c>
      <c r="B398" t="s">
        <v>481</v>
      </c>
      <c r="C398" t="s">
        <v>468</v>
      </c>
      <c r="D398" t="s">
        <v>2</v>
      </c>
      <c r="E398">
        <v>114</v>
      </c>
      <c r="F398">
        <v>11</v>
      </c>
      <c r="G398">
        <v>28</v>
      </c>
      <c r="H398" s="2">
        <v>342000</v>
      </c>
      <c r="I398" t="s">
        <v>102</v>
      </c>
      <c r="J398">
        <f>SUMIF('STOCK IN'!$C:$C, A398, 'STOCK IN'!$E:$E)</f>
        <v>228</v>
      </c>
      <c r="K398">
        <f>SUMIF('STOCK OUT'!$C:$C, A398, 'STOCK OUT'!$E:$E)</f>
        <v>173</v>
      </c>
      <c r="L398">
        <f t="shared" si="24"/>
        <v>169</v>
      </c>
      <c r="M398" t="str" cm="1">
        <f t="array" ref="M398">_xlfn.IFS(L398&lt;=0, "OUT OF STOCK", L398&lt;=F398, "REORDER", L398&lt;=G398, "LOW STOCK", TRUE, "IN STOCK")</f>
        <v>IN STOCK</v>
      </c>
      <c r="N398" s="2">
        <f t="shared" si="25"/>
        <v>57798000</v>
      </c>
      <c r="O398">
        <v>170</v>
      </c>
      <c r="P398">
        <f t="shared" si="26"/>
        <v>1</v>
      </c>
      <c r="Q398" t="str">
        <f>_xlfn.XLOOKUP(A398, 'Item Master'!$B$3:$B$502, 'Item Master'!$G$3:$G$502,,0)</f>
        <v>CV Mitra Perkasa</v>
      </c>
      <c r="R398" t="str">
        <f t="shared" si="27"/>
        <v>SURPLUS</v>
      </c>
    </row>
    <row r="399" spans="1:18" x14ac:dyDescent="0.25">
      <c r="A399" t="s">
        <v>578</v>
      </c>
      <c r="B399" t="s">
        <v>502</v>
      </c>
      <c r="C399" t="s">
        <v>468</v>
      </c>
      <c r="D399" t="s">
        <v>469</v>
      </c>
      <c r="E399">
        <v>163</v>
      </c>
      <c r="F399">
        <v>25</v>
      </c>
      <c r="G399">
        <v>42</v>
      </c>
      <c r="H399" s="2">
        <v>101000</v>
      </c>
      <c r="I399" t="s">
        <v>42</v>
      </c>
      <c r="J399">
        <f>SUMIF('STOCK IN'!$C:$C, A399, 'STOCK IN'!$E:$E)</f>
        <v>93</v>
      </c>
      <c r="K399">
        <f>SUMIF('STOCK OUT'!$C:$C, A399, 'STOCK OUT'!$E:$E)</f>
        <v>170</v>
      </c>
      <c r="L399">
        <f t="shared" si="24"/>
        <v>86</v>
      </c>
      <c r="M399" t="str" cm="1">
        <f t="array" ref="M399">_xlfn.IFS(L399&lt;=0, "OUT OF STOCK", L399&lt;=F399, "REORDER", L399&lt;=G399, "LOW STOCK", TRUE, "IN STOCK")</f>
        <v>IN STOCK</v>
      </c>
      <c r="N399" s="2">
        <f t="shared" si="25"/>
        <v>8686000</v>
      </c>
      <c r="O399">
        <v>86</v>
      </c>
      <c r="P399">
        <f t="shared" si="26"/>
        <v>0</v>
      </c>
      <c r="Q399" t="str">
        <f>_xlfn.XLOOKUP(A399, 'Item Master'!$B$3:$B$502, 'Item Master'!$G$3:$G$502,,0)</f>
        <v>PT Sumber Teknologi Nusantara</v>
      </c>
      <c r="R399" t="str">
        <f t="shared" si="27"/>
        <v>CONFORM</v>
      </c>
    </row>
    <row r="400" spans="1:18" x14ac:dyDescent="0.25">
      <c r="A400" t="s">
        <v>579</v>
      </c>
      <c r="B400" t="s">
        <v>490</v>
      </c>
      <c r="C400" t="s">
        <v>468</v>
      </c>
      <c r="D400" t="s">
        <v>355</v>
      </c>
      <c r="E400">
        <v>195</v>
      </c>
      <c r="F400">
        <v>40</v>
      </c>
      <c r="G400">
        <v>52</v>
      </c>
      <c r="H400" s="2">
        <v>13000</v>
      </c>
      <c r="I400" t="s">
        <v>93</v>
      </c>
      <c r="J400">
        <f>SUMIF('STOCK IN'!$C:$C, A400, 'STOCK IN'!$E:$E)</f>
        <v>170</v>
      </c>
      <c r="K400">
        <f>SUMIF('STOCK OUT'!$C:$C, A400, 'STOCK OUT'!$E:$E)</f>
        <v>252</v>
      </c>
      <c r="L400">
        <f t="shared" si="24"/>
        <v>113</v>
      </c>
      <c r="M400" t="str" cm="1">
        <f t="array" ref="M400">_xlfn.IFS(L400&lt;=0, "OUT OF STOCK", L400&lt;=F400, "REORDER", L400&lt;=G400, "LOW STOCK", TRUE, "IN STOCK")</f>
        <v>IN STOCK</v>
      </c>
      <c r="N400" s="2">
        <f t="shared" si="25"/>
        <v>1469000</v>
      </c>
      <c r="O400">
        <v>113</v>
      </c>
      <c r="P400">
        <f t="shared" si="26"/>
        <v>0</v>
      </c>
      <c r="Q400" t="str">
        <f>_xlfn.XLOOKUP(A400, 'Item Master'!$B$3:$B$502, 'Item Master'!$G$3:$G$502,,0)</f>
        <v>PT Solusi Komputer</v>
      </c>
      <c r="R400" t="str">
        <f t="shared" si="27"/>
        <v>CONFORM</v>
      </c>
    </row>
    <row r="401" spans="1:18" x14ac:dyDescent="0.25">
      <c r="A401" t="s">
        <v>580</v>
      </c>
      <c r="B401" t="s">
        <v>490</v>
      </c>
      <c r="C401" t="s">
        <v>468</v>
      </c>
      <c r="D401" t="s">
        <v>355</v>
      </c>
      <c r="E401">
        <v>45</v>
      </c>
      <c r="F401">
        <v>22</v>
      </c>
      <c r="G401">
        <v>36</v>
      </c>
      <c r="H401" s="2">
        <v>18000</v>
      </c>
      <c r="I401" t="s">
        <v>69</v>
      </c>
      <c r="J401">
        <f>SUMIF('STOCK IN'!$C:$C, A401, 'STOCK IN'!$E:$E)</f>
        <v>158</v>
      </c>
      <c r="K401">
        <f>SUMIF('STOCK OUT'!$C:$C, A401, 'STOCK OUT'!$E:$E)</f>
        <v>89</v>
      </c>
      <c r="L401">
        <f t="shared" si="24"/>
        <v>114</v>
      </c>
      <c r="M401" t="str" cm="1">
        <f t="array" ref="M401">_xlfn.IFS(L401&lt;=0, "OUT OF STOCK", L401&lt;=F401, "REORDER", L401&lt;=G401, "LOW STOCK", TRUE, "IN STOCK")</f>
        <v>IN STOCK</v>
      </c>
      <c r="N401" s="2">
        <f t="shared" si="25"/>
        <v>2052000</v>
      </c>
      <c r="O401">
        <v>111</v>
      </c>
      <c r="P401">
        <f t="shared" si="26"/>
        <v>-3</v>
      </c>
      <c r="Q401" t="str">
        <f>_xlfn.XLOOKUP(A401, 'Item Master'!$B$3:$B$502, 'Item Master'!$G$3:$G$502,,0)</f>
        <v>PT Cipta Sarana Niaga</v>
      </c>
      <c r="R401" t="str">
        <f t="shared" si="27"/>
        <v>MINUS</v>
      </c>
    </row>
    <row r="402" spans="1:18" x14ac:dyDescent="0.25">
      <c r="A402" t="s">
        <v>581</v>
      </c>
      <c r="B402" t="s">
        <v>582</v>
      </c>
      <c r="C402" t="s">
        <v>583</v>
      </c>
      <c r="D402" t="s">
        <v>2</v>
      </c>
      <c r="E402">
        <v>121</v>
      </c>
      <c r="F402">
        <v>22</v>
      </c>
      <c r="G402">
        <v>40</v>
      </c>
      <c r="H402" s="2">
        <v>87000</v>
      </c>
      <c r="I402" t="s">
        <v>512</v>
      </c>
      <c r="J402">
        <f>SUMIF('STOCK IN'!$C:$C, A402, 'STOCK IN'!$E:$E)</f>
        <v>201</v>
      </c>
      <c r="K402">
        <f>SUMIF('STOCK OUT'!$C:$C, A402, 'STOCK OUT'!$E:$E)</f>
        <v>122</v>
      </c>
      <c r="L402">
        <f t="shared" si="24"/>
        <v>200</v>
      </c>
      <c r="M402" t="str" cm="1">
        <f t="array" ref="M402">_xlfn.IFS(L402&lt;=0, "OUT OF STOCK", L402&lt;=F402, "REORDER", L402&lt;=G402, "LOW STOCK", TRUE, "IN STOCK")</f>
        <v>IN STOCK</v>
      </c>
      <c r="N402" s="2">
        <f t="shared" si="25"/>
        <v>17400000</v>
      </c>
      <c r="O402">
        <v>200</v>
      </c>
      <c r="P402">
        <f t="shared" si="26"/>
        <v>0</v>
      </c>
      <c r="Q402" t="str">
        <f>_xlfn.XLOOKUP(A402, 'Item Master'!$B$3:$B$502, 'Item Master'!$G$3:$G$502,,0)</f>
        <v>PT Cipta Sarana Niaga</v>
      </c>
      <c r="R402" t="str">
        <f t="shared" si="27"/>
        <v>CONFORM</v>
      </c>
    </row>
    <row r="403" spans="1:18" x14ac:dyDescent="0.25">
      <c r="A403" t="s">
        <v>584</v>
      </c>
      <c r="B403" t="s">
        <v>585</v>
      </c>
      <c r="C403" t="s">
        <v>583</v>
      </c>
      <c r="D403" t="s">
        <v>355</v>
      </c>
      <c r="E403">
        <v>73</v>
      </c>
      <c r="F403">
        <v>45</v>
      </c>
      <c r="G403">
        <v>65</v>
      </c>
      <c r="H403" s="2">
        <v>16000</v>
      </c>
      <c r="I403" t="s">
        <v>129</v>
      </c>
      <c r="J403">
        <f>SUMIF('STOCK IN'!$C:$C, A403, 'STOCK IN'!$E:$E)</f>
        <v>64</v>
      </c>
      <c r="K403">
        <f>SUMIF('STOCK OUT'!$C:$C, A403, 'STOCK OUT'!$E:$E)</f>
        <v>161</v>
      </c>
      <c r="L403">
        <f t="shared" si="24"/>
        <v>-24</v>
      </c>
      <c r="M403" t="str" cm="1">
        <f t="array" ref="M403">_xlfn.IFS(L403&lt;=0, "OUT OF STOCK", L403&lt;=F403, "REORDER", L403&lt;=G403, "LOW STOCK", TRUE, "IN STOCK")</f>
        <v>OUT OF STOCK</v>
      </c>
      <c r="N403" s="2">
        <f t="shared" si="25"/>
        <v>-384000</v>
      </c>
      <c r="O403">
        <v>0</v>
      </c>
      <c r="P403">
        <f t="shared" si="26"/>
        <v>0</v>
      </c>
      <c r="Q403" t="str">
        <f>_xlfn.XLOOKUP(A403, 'Item Master'!$B$3:$B$502, 'Item Master'!$G$3:$G$502,,0)</f>
        <v>PT Solusi Komputer</v>
      </c>
      <c r="R403" t="str">
        <f t="shared" si="27"/>
        <v>CONFORM</v>
      </c>
    </row>
    <row r="404" spans="1:18" x14ac:dyDescent="0.25">
      <c r="A404" t="s">
        <v>586</v>
      </c>
      <c r="B404" t="s">
        <v>587</v>
      </c>
      <c r="C404" t="s">
        <v>583</v>
      </c>
      <c r="D404" t="s">
        <v>2</v>
      </c>
      <c r="E404">
        <v>44</v>
      </c>
      <c r="F404">
        <v>24</v>
      </c>
      <c r="G404">
        <v>29</v>
      </c>
      <c r="H404" s="2">
        <v>16000</v>
      </c>
      <c r="I404" t="s">
        <v>166</v>
      </c>
      <c r="J404">
        <f>SUMIF('STOCK IN'!$C:$C, A404, 'STOCK IN'!$E:$E)</f>
        <v>152</v>
      </c>
      <c r="K404">
        <f>SUMIF('STOCK OUT'!$C:$C, A404, 'STOCK OUT'!$E:$E)</f>
        <v>177</v>
      </c>
      <c r="L404">
        <f t="shared" si="24"/>
        <v>19</v>
      </c>
      <c r="M404" t="str" cm="1">
        <f t="array" ref="M404">_xlfn.IFS(L404&lt;=0, "OUT OF STOCK", L404&lt;=F404, "REORDER", L404&lt;=G404, "LOW STOCK", TRUE, "IN STOCK")</f>
        <v>REORDER</v>
      </c>
      <c r="N404" s="2">
        <f t="shared" si="25"/>
        <v>304000</v>
      </c>
      <c r="O404">
        <v>16</v>
      </c>
      <c r="P404">
        <f t="shared" si="26"/>
        <v>-3</v>
      </c>
      <c r="Q404" t="str">
        <f>_xlfn.XLOOKUP(A404, 'Item Master'!$B$3:$B$502, 'Item Master'!$G$3:$G$502,,0)</f>
        <v>PT Global Office Supply</v>
      </c>
      <c r="R404" t="str">
        <f t="shared" si="27"/>
        <v>MINUS</v>
      </c>
    </row>
    <row r="405" spans="1:18" x14ac:dyDescent="0.25">
      <c r="A405" t="s">
        <v>588</v>
      </c>
      <c r="B405" t="s">
        <v>589</v>
      </c>
      <c r="C405" t="s">
        <v>583</v>
      </c>
      <c r="D405" t="s">
        <v>469</v>
      </c>
      <c r="E405">
        <v>122</v>
      </c>
      <c r="F405">
        <v>26</v>
      </c>
      <c r="G405">
        <v>44</v>
      </c>
      <c r="H405" s="2">
        <v>15000</v>
      </c>
      <c r="I405" t="s">
        <v>19</v>
      </c>
      <c r="J405">
        <f>SUMIF('STOCK IN'!$C:$C, A405, 'STOCK IN'!$E:$E)</f>
        <v>11</v>
      </c>
      <c r="K405">
        <f>SUMIF('STOCK OUT'!$C:$C, A405, 'STOCK OUT'!$E:$E)</f>
        <v>112</v>
      </c>
      <c r="L405">
        <f t="shared" si="24"/>
        <v>21</v>
      </c>
      <c r="M405" t="str" cm="1">
        <f t="array" ref="M405">_xlfn.IFS(L405&lt;=0, "OUT OF STOCK", L405&lt;=F405, "REORDER", L405&lt;=G405, "LOW STOCK", TRUE, "IN STOCK")</f>
        <v>REORDER</v>
      </c>
      <c r="N405" s="2">
        <f t="shared" si="25"/>
        <v>315000</v>
      </c>
      <c r="O405">
        <v>20</v>
      </c>
      <c r="P405">
        <f t="shared" si="26"/>
        <v>-1</v>
      </c>
      <c r="Q405" t="str">
        <f>_xlfn.XLOOKUP(A405, 'Item Master'!$B$3:$B$502, 'Item Master'!$G$3:$G$502,,0)</f>
        <v>PT Solusi Komputer</v>
      </c>
      <c r="R405" t="str">
        <f t="shared" si="27"/>
        <v>MINUS</v>
      </c>
    </row>
    <row r="406" spans="1:18" x14ac:dyDescent="0.25">
      <c r="A406" t="s">
        <v>590</v>
      </c>
      <c r="B406" t="s">
        <v>585</v>
      </c>
      <c r="C406" t="s">
        <v>583</v>
      </c>
      <c r="D406" t="s">
        <v>355</v>
      </c>
      <c r="E406">
        <v>187</v>
      </c>
      <c r="F406">
        <v>17</v>
      </c>
      <c r="G406">
        <v>46</v>
      </c>
      <c r="H406" s="2">
        <v>27000</v>
      </c>
      <c r="I406" t="s">
        <v>246</v>
      </c>
      <c r="J406">
        <f>SUMIF('STOCK IN'!$C:$C, A406, 'STOCK IN'!$E:$E)</f>
        <v>224</v>
      </c>
      <c r="K406">
        <f>SUMIF('STOCK OUT'!$C:$C, A406, 'STOCK OUT'!$E:$E)</f>
        <v>106</v>
      </c>
      <c r="L406">
        <f t="shared" si="24"/>
        <v>305</v>
      </c>
      <c r="M406" t="str" cm="1">
        <f t="array" ref="M406">_xlfn.IFS(L406&lt;=0, "OUT OF STOCK", L406&lt;=F406, "REORDER", L406&lt;=G406, "LOW STOCK", TRUE, "IN STOCK")</f>
        <v>IN STOCK</v>
      </c>
      <c r="N406" s="2">
        <f t="shared" si="25"/>
        <v>8235000</v>
      </c>
      <c r="O406">
        <v>306</v>
      </c>
      <c r="P406">
        <f t="shared" si="26"/>
        <v>1</v>
      </c>
      <c r="Q406" t="str">
        <f>_xlfn.XLOOKUP(A406, 'Item Master'!$B$3:$B$502, 'Item Master'!$G$3:$G$502,,0)</f>
        <v>CV Berkah Jaya</v>
      </c>
      <c r="R406" t="str">
        <f t="shared" si="27"/>
        <v>SURPLUS</v>
      </c>
    </row>
    <row r="407" spans="1:18" x14ac:dyDescent="0.25">
      <c r="A407" t="s">
        <v>591</v>
      </c>
      <c r="B407" t="s">
        <v>585</v>
      </c>
      <c r="C407" t="s">
        <v>583</v>
      </c>
      <c r="D407" t="s">
        <v>355</v>
      </c>
      <c r="E407">
        <v>198</v>
      </c>
      <c r="F407">
        <v>49</v>
      </c>
      <c r="G407">
        <v>74</v>
      </c>
      <c r="H407" s="2">
        <v>17000</v>
      </c>
      <c r="I407" t="s">
        <v>368</v>
      </c>
      <c r="J407">
        <f>SUMIF('STOCK IN'!$C:$C, A407, 'STOCK IN'!$E:$E)</f>
        <v>163</v>
      </c>
      <c r="K407">
        <f>SUMIF('STOCK OUT'!$C:$C, A407, 'STOCK OUT'!$E:$E)</f>
        <v>75</v>
      </c>
      <c r="L407">
        <f t="shared" si="24"/>
        <v>286</v>
      </c>
      <c r="M407" t="str" cm="1">
        <f t="array" ref="M407">_xlfn.IFS(L407&lt;=0, "OUT OF STOCK", L407&lt;=F407, "REORDER", L407&lt;=G407, "LOW STOCK", TRUE, "IN STOCK")</f>
        <v>IN STOCK</v>
      </c>
      <c r="N407" s="2">
        <f t="shared" si="25"/>
        <v>4862000</v>
      </c>
      <c r="O407">
        <v>287</v>
      </c>
      <c r="P407">
        <f t="shared" si="26"/>
        <v>1</v>
      </c>
      <c r="Q407" t="str">
        <f>_xlfn.XLOOKUP(A407, 'Item Master'!$B$3:$B$502, 'Item Master'!$G$3:$G$502,,0)</f>
        <v>CV Karya Mandiri</v>
      </c>
      <c r="R407" t="str">
        <f t="shared" si="27"/>
        <v>SURPLUS</v>
      </c>
    </row>
    <row r="408" spans="1:18" x14ac:dyDescent="0.25">
      <c r="A408" t="s">
        <v>592</v>
      </c>
      <c r="B408" t="s">
        <v>585</v>
      </c>
      <c r="C408" t="s">
        <v>583</v>
      </c>
      <c r="D408" t="s">
        <v>355</v>
      </c>
      <c r="E408">
        <v>81</v>
      </c>
      <c r="F408">
        <v>30</v>
      </c>
      <c r="G408">
        <v>46</v>
      </c>
      <c r="H408" s="2">
        <v>20000</v>
      </c>
      <c r="I408" t="s">
        <v>287</v>
      </c>
      <c r="J408">
        <f>SUMIF('STOCK IN'!$C:$C, A408, 'STOCK IN'!$E:$E)</f>
        <v>104</v>
      </c>
      <c r="K408">
        <f>SUMIF('STOCK OUT'!$C:$C, A408, 'STOCK OUT'!$E:$E)</f>
        <v>21</v>
      </c>
      <c r="L408">
        <f t="shared" si="24"/>
        <v>164</v>
      </c>
      <c r="M408" t="str" cm="1">
        <f t="array" ref="M408">_xlfn.IFS(L408&lt;=0, "OUT OF STOCK", L408&lt;=F408, "REORDER", L408&lt;=G408, "LOW STOCK", TRUE, "IN STOCK")</f>
        <v>IN STOCK</v>
      </c>
      <c r="N408" s="2">
        <f t="shared" si="25"/>
        <v>3280000</v>
      </c>
      <c r="O408">
        <v>166</v>
      </c>
      <c r="P408">
        <f t="shared" si="26"/>
        <v>2</v>
      </c>
      <c r="Q408" t="str">
        <f>_xlfn.XLOOKUP(A408, 'Item Master'!$B$3:$B$502, 'Item Master'!$G$3:$G$502,,0)</f>
        <v>CV Mitra Perkasa</v>
      </c>
      <c r="R408" t="str">
        <f t="shared" si="27"/>
        <v>SURPLUS</v>
      </c>
    </row>
    <row r="409" spans="1:18" x14ac:dyDescent="0.25">
      <c r="A409" t="s">
        <v>593</v>
      </c>
      <c r="B409" t="s">
        <v>594</v>
      </c>
      <c r="C409" t="s">
        <v>583</v>
      </c>
      <c r="D409" t="s">
        <v>595</v>
      </c>
      <c r="E409">
        <v>56</v>
      </c>
      <c r="F409">
        <v>48</v>
      </c>
      <c r="G409">
        <v>77</v>
      </c>
      <c r="H409" s="2">
        <v>12000</v>
      </c>
      <c r="I409" t="s">
        <v>149</v>
      </c>
      <c r="J409">
        <f>SUMIF('STOCK IN'!$C:$C, A409, 'STOCK IN'!$E:$E)</f>
        <v>69</v>
      </c>
      <c r="K409">
        <f>SUMIF('STOCK OUT'!$C:$C, A409, 'STOCK OUT'!$E:$E)</f>
        <v>129</v>
      </c>
      <c r="L409">
        <f t="shared" si="24"/>
        <v>-4</v>
      </c>
      <c r="M409" t="str" cm="1">
        <f t="array" ref="M409">_xlfn.IFS(L409&lt;=0, "OUT OF STOCK", L409&lt;=F409, "REORDER", L409&lt;=G409, "LOW STOCK", TRUE, "IN STOCK")</f>
        <v>OUT OF STOCK</v>
      </c>
      <c r="N409" s="2">
        <f t="shared" si="25"/>
        <v>-48000</v>
      </c>
      <c r="O409">
        <v>0</v>
      </c>
      <c r="P409">
        <f t="shared" si="26"/>
        <v>0</v>
      </c>
      <c r="Q409" t="str">
        <f>_xlfn.XLOOKUP(A409, 'Item Master'!$B$3:$B$502, 'Item Master'!$G$3:$G$502,,0)</f>
        <v>PT Indo Elektrik</v>
      </c>
      <c r="R409" t="str">
        <f t="shared" si="27"/>
        <v>CONFORM</v>
      </c>
    </row>
    <row r="410" spans="1:18" x14ac:dyDescent="0.25">
      <c r="A410" t="s">
        <v>596</v>
      </c>
      <c r="B410" t="s">
        <v>597</v>
      </c>
      <c r="C410" t="s">
        <v>583</v>
      </c>
      <c r="D410" t="s">
        <v>355</v>
      </c>
      <c r="E410">
        <v>214</v>
      </c>
      <c r="F410">
        <v>23</v>
      </c>
      <c r="G410">
        <v>53</v>
      </c>
      <c r="H410" s="2">
        <v>43000</v>
      </c>
      <c r="I410" t="s">
        <v>142</v>
      </c>
      <c r="J410">
        <f>SUMIF('STOCK IN'!$C:$C, A410, 'STOCK IN'!$E:$E)</f>
        <v>87</v>
      </c>
      <c r="K410">
        <f>SUMIF('STOCK OUT'!$C:$C, A410, 'STOCK OUT'!$E:$E)</f>
        <v>251</v>
      </c>
      <c r="L410">
        <f t="shared" si="24"/>
        <v>50</v>
      </c>
      <c r="M410" t="str" cm="1">
        <f t="array" ref="M410">_xlfn.IFS(L410&lt;=0, "OUT OF STOCK", L410&lt;=F410, "REORDER", L410&lt;=G410, "LOW STOCK", TRUE, "IN STOCK")</f>
        <v>LOW STOCK</v>
      </c>
      <c r="N410" s="2">
        <f t="shared" si="25"/>
        <v>2150000</v>
      </c>
      <c r="O410">
        <v>50</v>
      </c>
      <c r="P410">
        <f t="shared" si="26"/>
        <v>0</v>
      </c>
      <c r="Q410" t="str">
        <f>_xlfn.XLOOKUP(A410, 'Item Master'!$B$3:$B$502, 'Item Master'!$G$3:$G$502,,0)</f>
        <v>CV Mitra Perkasa</v>
      </c>
      <c r="R410" t="str">
        <f t="shared" si="27"/>
        <v>CONFORM</v>
      </c>
    </row>
    <row r="411" spans="1:18" x14ac:dyDescent="0.25">
      <c r="A411" t="s">
        <v>598</v>
      </c>
      <c r="B411" t="s">
        <v>599</v>
      </c>
      <c r="C411" t="s">
        <v>583</v>
      </c>
      <c r="D411" t="s">
        <v>2</v>
      </c>
      <c r="E411">
        <v>87</v>
      </c>
      <c r="F411">
        <v>20</v>
      </c>
      <c r="G411">
        <v>33</v>
      </c>
      <c r="H411" s="2">
        <v>116000</v>
      </c>
      <c r="I411" t="s">
        <v>27</v>
      </c>
      <c r="J411">
        <f>SUMIF('STOCK IN'!$C:$C, A411, 'STOCK IN'!$E:$E)</f>
        <v>27</v>
      </c>
      <c r="K411">
        <f>SUMIF('STOCK OUT'!$C:$C, A411, 'STOCK OUT'!$E:$E)</f>
        <v>100</v>
      </c>
      <c r="L411">
        <f t="shared" si="24"/>
        <v>14</v>
      </c>
      <c r="M411" t="str" cm="1">
        <f t="array" ref="M411">_xlfn.IFS(L411&lt;=0, "OUT OF STOCK", L411&lt;=F411, "REORDER", L411&lt;=G411, "LOW STOCK", TRUE, "IN STOCK")</f>
        <v>REORDER</v>
      </c>
      <c r="N411" s="2">
        <f t="shared" si="25"/>
        <v>1624000</v>
      </c>
      <c r="O411">
        <v>13</v>
      </c>
      <c r="P411">
        <f t="shared" si="26"/>
        <v>-1</v>
      </c>
      <c r="Q411" t="str">
        <f>_xlfn.XLOOKUP(A411, 'Item Master'!$B$3:$B$502, 'Item Master'!$G$3:$G$502,,0)</f>
        <v>PT Sentosa Distribusi</v>
      </c>
      <c r="R411" t="str">
        <f t="shared" si="27"/>
        <v>MINUS</v>
      </c>
    </row>
    <row r="412" spans="1:18" x14ac:dyDescent="0.25">
      <c r="A412" t="s">
        <v>600</v>
      </c>
      <c r="B412" t="s">
        <v>589</v>
      </c>
      <c r="C412" t="s">
        <v>583</v>
      </c>
      <c r="D412" t="s">
        <v>469</v>
      </c>
      <c r="E412">
        <v>124</v>
      </c>
      <c r="F412">
        <v>43</v>
      </c>
      <c r="G412">
        <v>63</v>
      </c>
      <c r="H412" s="2">
        <v>7000</v>
      </c>
      <c r="I412" t="s">
        <v>119</v>
      </c>
      <c r="J412">
        <f>SUMIF('STOCK IN'!$C:$C, A412, 'STOCK IN'!$E:$E)</f>
        <v>0</v>
      </c>
      <c r="K412">
        <f>SUMIF('STOCK OUT'!$C:$C, A412, 'STOCK OUT'!$E:$E)</f>
        <v>56</v>
      </c>
      <c r="L412">
        <f t="shared" si="24"/>
        <v>68</v>
      </c>
      <c r="M412" t="str" cm="1">
        <f t="array" ref="M412">_xlfn.IFS(L412&lt;=0, "OUT OF STOCK", L412&lt;=F412, "REORDER", L412&lt;=G412, "LOW STOCK", TRUE, "IN STOCK")</f>
        <v>IN STOCK</v>
      </c>
      <c r="N412" s="2">
        <f t="shared" si="25"/>
        <v>476000</v>
      </c>
      <c r="O412">
        <v>70</v>
      </c>
      <c r="P412">
        <f t="shared" si="26"/>
        <v>2</v>
      </c>
      <c r="Q412" t="str">
        <f>_xlfn.XLOOKUP(A412, 'Item Master'!$B$3:$B$502, 'Item Master'!$G$3:$G$502,,0)</f>
        <v>PT Solusi Komputer</v>
      </c>
      <c r="R412" t="str">
        <f t="shared" si="27"/>
        <v>SURPLUS</v>
      </c>
    </row>
    <row r="413" spans="1:18" x14ac:dyDescent="0.25">
      <c r="A413" t="s">
        <v>601</v>
      </c>
      <c r="B413" t="s">
        <v>602</v>
      </c>
      <c r="C413" t="s">
        <v>583</v>
      </c>
      <c r="D413" t="s">
        <v>2</v>
      </c>
      <c r="E413">
        <v>117</v>
      </c>
      <c r="F413">
        <v>39</v>
      </c>
      <c r="G413">
        <v>45</v>
      </c>
      <c r="H413" s="2">
        <v>222000</v>
      </c>
      <c r="I413" t="s">
        <v>52</v>
      </c>
      <c r="J413">
        <f>SUMIF('STOCK IN'!$C:$C, A413, 'STOCK IN'!$E:$E)</f>
        <v>43</v>
      </c>
      <c r="K413">
        <f>SUMIF('STOCK OUT'!$C:$C, A413, 'STOCK OUT'!$E:$E)</f>
        <v>83</v>
      </c>
      <c r="L413">
        <f t="shared" si="24"/>
        <v>77</v>
      </c>
      <c r="M413" t="str" cm="1">
        <f t="array" ref="M413">_xlfn.IFS(L413&lt;=0, "OUT OF STOCK", L413&lt;=F413, "REORDER", L413&lt;=G413, "LOW STOCK", TRUE, "IN STOCK")</f>
        <v>IN STOCK</v>
      </c>
      <c r="N413" s="2">
        <f t="shared" si="25"/>
        <v>17094000</v>
      </c>
      <c r="O413">
        <v>76</v>
      </c>
      <c r="P413">
        <f t="shared" si="26"/>
        <v>-1</v>
      </c>
      <c r="Q413" t="str">
        <f>_xlfn.XLOOKUP(A413, 'Item Master'!$B$3:$B$502, 'Item Master'!$G$3:$G$502,,0)</f>
        <v>CV Berkah Jaya</v>
      </c>
      <c r="R413" t="str">
        <f t="shared" si="27"/>
        <v>MINUS</v>
      </c>
    </row>
    <row r="414" spans="1:18" x14ac:dyDescent="0.25">
      <c r="A414" t="s">
        <v>603</v>
      </c>
      <c r="B414" t="s">
        <v>594</v>
      </c>
      <c r="C414" t="s">
        <v>583</v>
      </c>
      <c r="D414" t="s">
        <v>595</v>
      </c>
      <c r="E414">
        <v>244</v>
      </c>
      <c r="F414">
        <v>10</v>
      </c>
      <c r="G414">
        <v>61</v>
      </c>
      <c r="H414" s="2">
        <v>14000</v>
      </c>
      <c r="I414" t="s">
        <v>45</v>
      </c>
      <c r="J414">
        <f>SUMIF('STOCK IN'!$C:$C, A414, 'STOCK IN'!$E:$E)</f>
        <v>137</v>
      </c>
      <c r="K414">
        <f>SUMIF('STOCK OUT'!$C:$C, A414, 'STOCK OUT'!$E:$E)</f>
        <v>111</v>
      </c>
      <c r="L414">
        <f t="shared" si="24"/>
        <v>270</v>
      </c>
      <c r="M414" t="str" cm="1">
        <f t="array" ref="M414">_xlfn.IFS(L414&lt;=0, "OUT OF STOCK", L414&lt;=F414, "REORDER", L414&lt;=G414, "LOW STOCK", TRUE, "IN STOCK")</f>
        <v>IN STOCK</v>
      </c>
      <c r="N414" s="2">
        <f t="shared" si="25"/>
        <v>3780000</v>
      </c>
      <c r="O414">
        <v>273</v>
      </c>
      <c r="P414">
        <f t="shared" si="26"/>
        <v>3</v>
      </c>
      <c r="Q414" t="str">
        <f>_xlfn.XLOOKUP(A414, 'Item Master'!$B$3:$B$502, 'Item Master'!$G$3:$G$502,,0)</f>
        <v>CV Prima Logistik</v>
      </c>
      <c r="R414" t="str">
        <f t="shared" si="27"/>
        <v>SURPLUS</v>
      </c>
    </row>
    <row r="415" spans="1:18" x14ac:dyDescent="0.25">
      <c r="A415" t="s">
        <v>604</v>
      </c>
      <c r="B415" t="s">
        <v>599</v>
      </c>
      <c r="C415" t="s">
        <v>583</v>
      </c>
      <c r="D415" t="s">
        <v>2</v>
      </c>
      <c r="E415">
        <v>166</v>
      </c>
      <c r="F415">
        <v>7</v>
      </c>
      <c r="G415">
        <v>41</v>
      </c>
      <c r="H415" s="2">
        <v>117000</v>
      </c>
      <c r="I415" t="s">
        <v>110</v>
      </c>
      <c r="J415">
        <f>SUMIF('STOCK IN'!$C:$C, A415, 'STOCK IN'!$E:$E)</f>
        <v>236</v>
      </c>
      <c r="K415">
        <f>SUMIF('STOCK OUT'!$C:$C, A415, 'STOCK OUT'!$E:$E)</f>
        <v>180</v>
      </c>
      <c r="L415">
        <f t="shared" si="24"/>
        <v>222</v>
      </c>
      <c r="M415" t="str" cm="1">
        <f t="array" ref="M415">_xlfn.IFS(L415&lt;=0, "OUT OF STOCK", L415&lt;=F415, "REORDER", L415&lt;=G415, "LOW STOCK", TRUE, "IN STOCK")</f>
        <v>IN STOCK</v>
      </c>
      <c r="N415" s="2">
        <f t="shared" si="25"/>
        <v>25974000</v>
      </c>
      <c r="O415">
        <v>222</v>
      </c>
      <c r="P415">
        <f t="shared" si="26"/>
        <v>0</v>
      </c>
      <c r="Q415" t="str">
        <f>_xlfn.XLOOKUP(A415, 'Item Master'!$B$3:$B$502, 'Item Master'!$G$3:$G$502,,0)</f>
        <v>PT Global Office Supply</v>
      </c>
      <c r="R415" t="str">
        <f t="shared" si="27"/>
        <v>CONFORM</v>
      </c>
    </row>
    <row r="416" spans="1:18" x14ac:dyDescent="0.25">
      <c r="A416" t="s">
        <v>605</v>
      </c>
      <c r="B416" t="s">
        <v>589</v>
      </c>
      <c r="C416" t="s">
        <v>583</v>
      </c>
      <c r="D416" t="s">
        <v>469</v>
      </c>
      <c r="E416">
        <v>12</v>
      </c>
      <c r="F416">
        <v>11</v>
      </c>
      <c r="G416">
        <v>24</v>
      </c>
      <c r="H416" s="2">
        <v>8000</v>
      </c>
      <c r="I416" t="s">
        <v>117</v>
      </c>
      <c r="J416">
        <f>SUMIF('STOCK IN'!$C:$C, A416, 'STOCK IN'!$E:$E)</f>
        <v>124</v>
      </c>
      <c r="K416">
        <f>SUMIF('STOCK OUT'!$C:$C, A416, 'STOCK OUT'!$E:$E)</f>
        <v>56</v>
      </c>
      <c r="L416">
        <f t="shared" si="24"/>
        <v>80</v>
      </c>
      <c r="M416" t="str" cm="1">
        <f t="array" ref="M416">_xlfn.IFS(L416&lt;=0, "OUT OF STOCK", L416&lt;=F416, "REORDER", L416&lt;=G416, "LOW STOCK", TRUE, "IN STOCK")</f>
        <v>IN STOCK</v>
      </c>
      <c r="N416" s="2">
        <f t="shared" si="25"/>
        <v>640000</v>
      </c>
      <c r="O416">
        <v>80</v>
      </c>
      <c r="P416">
        <f t="shared" si="26"/>
        <v>0</v>
      </c>
      <c r="Q416" t="str">
        <f>_xlfn.XLOOKUP(A416, 'Item Master'!$B$3:$B$502, 'Item Master'!$G$3:$G$502,,0)</f>
        <v>CV Prima Logistik</v>
      </c>
      <c r="R416" t="str">
        <f t="shared" si="27"/>
        <v>CONFORM</v>
      </c>
    </row>
    <row r="417" spans="1:18" x14ac:dyDescent="0.25">
      <c r="A417" t="s">
        <v>606</v>
      </c>
      <c r="B417" t="s">
        <v>602</v>
      </c>
      <c r="C417" t="s">
        <v>583</v>
      </c>
      <c r="D417" t="s">
        <v>2</v>
      </c>
      <c r="E417">
        <v>186</v>
      </c>
      <c r="F417">
        <v>41</v>
      </c>
      <c r="G417">
        <v>53</v>
      </c>
      <c r="H417" s="2">
        <v>193000</v>
      </c>
      <c r="I417" t="s">
        <v>314</v>
      </c>
      <c r="J417">
        <f>SUMIF('STOCK IN'!$C:$C, A417, 'STOCK IN'!$E:$E)</f>
        <v>24</v>
      </c>
      <c r="K417">
        <f>SUMIF('STOCK OUT'!$C:$C, A417, 'STOCK OUT'!$E:$E)</f>
        <v>179</v>
      </c>
      <c r="L417">
        <f t="shared" si="24"/>
        <v>31</v>
      </c>
      <c r="M417" t="str" cm="1">
        <f t="array" ref="M417">_xlfn.IFS(L417&lt;=0, "OUT OF STOCK", L417&lt;=F417, "REORDER", L417&lt;=G417, "LOW STOCK", TRUE, "IN STOCK")</f>
        <v>REORDER</v>
      </c>
      <c r="N417" s="2">
        <f t="shared" si="25"/>
        <v>5983000</v>
      </c>
      <c r="O417">
        <v>31</v>
      </c>
      <c r="P417">
        <f t="shared" si="26"/>
        <v>0</v>
      </c>
      <c r="Q417" t="str">
        <f>_xlfn.XLOOKUP(A417, 'Item Master'!$B$3:$B$502, 'Item Master'!$G$3:$G$502,,0)</f>
        <v>CV Karya Mandiri</v>
      </c>
      <c r="R417" t="str">
        <f t="shared" si="27"/>
        <v>CONFORM</v>
      </c>
    </row>
    <row r="418" spans="1:18" x14ac:dyDescent="0.25">
      <c r="A418" t="s">
        <v>607</v>
      </c>
      <c r="B418" t="s">
        <v>587</v>
      </c>
      <c r="C418" t="s">
        <v>583</v>
      </c>
      <c r="D418" t="s">
        <v>2</v>
      </c>
      <c r="E418">
        <v>186</v>
      </c>
      <c r="F418">
        <v>37</v>
      </c>
      <c r="G418">
        <v>46</v>
      </c>
      <c r="H418" s="2">
        <v>47000</v>
      </c>
      <c r="I418" t="s">
        <v>149</v>
      </c>
      <c r="J418">
        <f>SUMIF('STOCK IN'!$C:$C, A418, 'STOCK IN'!$E:$E)</f>
        <v>134</v>
      </c>
      <c r="K418">
        <f>SUMIF('STOCK OUT'!$C:$C, A418, 'STOCK OUT'!$E:$E)</f>
        <v>72</v>
      </c>
      <c r="L418">
        <f t="shared" si="24"/>
        <v>248</v>
      </c>
      <c r="M418" t="str" cm="1">
        <f t="array" ref="M418">_xlfn.IFS(L418&lt;=0, "OUT OF STOCK", L418&lt;=F418, "REORDER", L418&lt;=G418, "LOW STOCK", TRUE, "IN STOCK")</f>
        <v>IN STOCK</v>
      </c>
      <c r="N418" s="2">
        <f t="shared" si="25"/>
        <v>11656000</v>
      </c>
      <c r="O418">
        <v>250</v>
      </c>
      <c r="P418">
        <f t="shared" si="26"/>
        <v>2</v>
      </c>
      <c r="Q418" t="str">
        <f>_xlfn.XLOOKUP(A418, 'Item Master'!$B$3:$B$502, 'Item Master'!$G$3:$G$502,,0)</f>
        <v>CV Berkah Jaya</v>
      </c>
      <c r="R418" t="str">
        <f t="shared" si="27"/>
        <v>SURPLUS</v>
      </c>
    </row>
    <row r="419" spans="1:18" x14ac:dyDescent="0.25">
      <c r="A419" t="s">
        <v>608</v>
      </c>
      <c r="B419" t="s">
        <v>582</v>
      </c>
      <c r="C419" t="s">
        <v>583</v>
      </c>
      <c r="D419" t="s">
        <v>2</v>
      </c>
      <c r="E419">
        <v>116</v>
      </c>
      <c r="F419">
        <v>10</v>
      </c>
      <c r="G419">
        <v>29</v>
      </c>
      <c r="H419" s="2">
        <v>120000</v>
      </c>
      <c r="I419" t="s">
        <v>206</v>
      </c>
      <c r="J419">
        <f>SUMIF('STOCK IN'!$C:$C, A419, 'STOCK IN'!$E:$E)</f>
        <v>49</v>
      </c>
      <c r="K419">
        <f>SUMIF('STOCK OUT'!$C:$C, A419, 'STOCK OUT'!$E:$E)</f>
        <v>148</v>
      </c>
      <c r="L419">
        <f t="shared" si="24"/>
        <v>17</v>
      </c>
      <c r="M419" t="str" cm="1">
        <f t="array" ref="M419">_xlfn.IFS(L419&lt;=0, "OUT OF STOCK", L419&lt;=F419, "REORDER", L419&lt;=G419, "LOW STOCK", TRUE, "IN STOCK")</f>
        <v>LOW STOCK</v>
      </c>
      <c r="N419" s="2">
        <f t="shared" si="25"/>
        <v>2040000</v>
      </c>
      <c r="O419">
        <v>17</v>
      </c>
      <c r="P419">
        <f t="shared" si="26"/>
        <v>0</v>
      </c>
      <c r="Q419" t="str">
        <f>_xlfn.XLOOKUP(A419, 'Item Master'!$B$3:$B$502, 'Item Master'!$G$3:$G$502,,0)</f>
        <v>PT Sentosa Distribusi</v>
      </c>
      <c r="R419" t="str">
        <f t="shared" si="27"/>
        <v>CONFORM</v>
      </c>
    </row>
    <row r="420" spans="1:18" x14ac:dyDescent="0.25">
      <c r="A420" t="s">
        <v>609</v>
      </c>
      <c r="B420" t="s">
        <v>585</v>
      </c>
      <c r="C420" t="s">
        <v>583</v>
      </c>
      <c r="D420" t="s">
        <v>355</v>
      </c>
      <c r="E420">
        <v>210</v>
      </c>
      <c r="F420">
        <v>18</v>
      </c>
      <c r="G420">
        <v>52</v>
      </c>
      <c r="H420" s="2">
        <v>22000</v>
      </c>
      <c r="I420" t="s">
        <v>206</v>
      </c>
      <c r="J420">
        <f>SUMIF('STOCK IN'!$C:$C, A420, 'STOCK IN'!$E:$E)</f>
        <v>70</v>
      </c>
      <c r="K420">
        <f>SUMIF('STOCK OUT'!$C:$C, A420, 'STOCK OUT'!$E:$E)</f>
        <v>53</v>
      </c>
      <c r="L420">
        <f t="shared" si="24"/>
        <v>227</v>
      </c>
      <c r="M420" t="str" cm="1">
        <f t="array" ref="M420">_xlfn.IFS(L420&lt;=0, "OUT OF STOCK", L420&lt;=F420, "REORDER", L420&lt;=G420, "LOW STOCK", TRUE, "IN STOCK")</f>
        <v>IN STOCK</v>
      </c>
      <c r="N420" s="2">
        <f t="shared" si="25"/>
        <v>4994000</v>
      </c>
      <c r="O420">
        <v>227</v>
      </c>
      <c r="P420">
        <f t="shared" si="26"/>
        <v>0</v>
      </c>
      <c r="Q420" t="str">
        <f>_xlfn.XLOOKUP(A420, 'Item Master'!$B$3:$B$502, 'Item Master'!$G$3:$G$502,,0)</f>
        <v>CV Karya Mandiri</v>
      </c>
      <c r="R420" t="str">
        <f t="shared" si="27"/>
        <v>CONFORM</v>
      </c>
    </row>
    <row r="421" spans="1:18" x14ac:dyDescent="0.25">
      <c r="A421" t="s">
        <v>610</v>
      </c>
      <c r="B421" t="s">
        <v>582</v>
      </c>
      <c r="C421" t="s">
        <v>583</v>
      </c>
      <c r="D421" t="s">
        <v>2</v>
      </c>
      <c r="E421">
        <v>194</v>
      </c>
      <c r="F421">
        <v>49</v>
      </c>
      <c r="G421">
        <v>68</v>
      </c>
      <c r="H421" s="2">
        <v>157000</v>
      </c>
      <c r="I421" t="s">
        <v>147</v>
      </c>
      <c r="J421">
        <f>SUMIF('STOCK IN'!$C:$C, A421, 'STOCK IN'!$E:$E)</f>
        <v>149</v>
      </c>
      <c r="K421">
        <f>SUMIF('STOCK OUT'!$C:$C, A421, 'STOCK OUT'!$E:$E)</f>
        <v>20</v>
      </c>
      <c r="L421">
        <f t="shared" si="24"/>
        <v>323</v>
      </c>
      <c r="M421" t="str" cm="1">
        <f t="array" ref="M421">_xlfn.IFS(L421&lt;=0, "OUT OF STOCK", L421&lt;=F421, "REORDER", L421&lt;=G421, "LOW STOCK", TRUE, "IN STOCK")</f>
        <v>IN STOCK</v>
      </c>
      <c r="N421" s="2">
        <f t="shared" si="25"/>
        <v>50711000</v>
      </c>
      <c r="O421">
        <v>320</v>
      </c>
      <c r="P421">
        <f t="shared" si="26"/>
        <v>-3</v>
      </c>
      <c r="Q421" t="str">
        <f>_xlfn.XLOOKUP(A421, 'Item Master'!$B$3:$B$502, 'Item Master'!$G$3:$G$502,,0)</f>
        <v>CV Berkah Jaya</v>
      </c>
      <c r="R421" t="str">
        <f t="shared" si="27"/>
        <v>MINUS</v>
      </c>
    </row>
    <row r="422" spans="1:18" x14ac:dyDescent="0.25">
      <c r="A422" t="s">
        <v>611</v>
      </c>
      <c r="B422" t="s">
        <v>612</v>
      </c>
      <c r="C422" t="s">
        <v>583</v>
      </c>
      <c r="D422" t="s">
        <v>2</v>
      </c>
      <c r="E422">
        <v>39</v>
      </c>
      <c r="F422">
        <v>6</v>
      </c>
      <c r="G422">
        <v>21</v>
      </c>
      <c r="H422" s="2">
        <v>57000</v>
      </c>
      <c r="I422" t="s">
        <v>305</v>
      </c>
      <c r="J422">
        <f>SUMIF('STOCK IN'!$C:$C, A422, 'STOCK IN'!$E:$E)</f>
        <v>158</v>
      </c>
      <c r="K422">
        <f>SUMIF('STOCK OUT'!$C:$C, A422, 'STOCK OUT'!$E:$E)</f>
        <v>36</v>
      </c>
      <c r="L422">
        <f t="shared" si="24"/>
        <v>161</v>
      </c>
      <c r="M422" t="str" cm="1">
        <f t="array" ref="M422">_xlfn.IFS(L422&lt;=0, "OUT OF STOCK", L422&lt;=F422, "REORDER", L422&lt;=G422, "LOW STOCK", TRUE, "IN STOCK")</f>
        <v>IN STOCK</v>
      </c>
      <c r="N422" s="2">
        <f t="shared" si="25"/>
        <v>9177000</v>
      </c>
      <c r="O422">
        <v>163</v>
      </c>
      <c r="P422">
        <f t="shared" si="26"/>
        <v>2</v>
      </c>
      <c r="Q422" t="str">
        <f>_xlfn.XLOOKUP(A422, 'Item Master'!$B$3:$B$502, 'Item Master'!$G$3:$G$502,,0)</f>
        <v>CV Mitra Perkasa</v>
      </c>
      <c r="R422" t="str">
        <f t="shared" si="27"/>
        <v>SURPLUS</v>
      </c>
    </row>
    <row r="423" spans="1:18" x14ac:dyDescent="0.25">
      <c r="A423" t="s">
        <v>613</v>
      </c>
      <c r="B423" t="s">
        <v>597</v>
      </c>
      <c r="C423" t="s">
        <v>583</v>
      </c>
      <c r="D423" t="s">
        <v>355</v>
      </c>
      <c r="E423">
        <v>54</v>
      </c>
      <c r="F423">
        <v>40</v>
      </c>
      <c r="G423">
        <v>50</v>
      </c>
      <c r="H423" s="2">
        <v>48000</v>
      </c>
      <c r="I423" t="s">
        <v>221</v>
      </c>
      <c r="J423">
        <f>SUMIF('STOCK IN'!$C:$C, A423, 'STOCK IN'!$E:$E)</f>
        <v>233</v>
      </c>
      <c r="K423">
        <f>SUMIF('STOCK OUT'!$C:$C, A423, 'STOCK OUT'!$E:$E)</f>
        <v>167</v>
      </c>
      <c r="L423">
        <f t="shared" si="24"/>
        <v>120</v>
      </c>
      <c r="M423" t="str" cm="1">
        <f t="array" ref="M423">_xlfn.IFS(L423&lt;=0, "OUT OF STOCK", L423&lt;=F423, "REORDER", L423&lt;=G423, "LOW STOCK", TRUE, "IN STOCK")</f>
        <v>IN STOCK</v>
      </c>
      <c r="N423" s="2">
        <f t="shared" si="25"/>
        <v>5760000</v>
      </c>
      <c r="O423">
        <v>117</v>
      </c>
      <c r="P423">
        <f t="shared" si="26"/>
        <v>-3</v>
      </c>
      <c r="Q423" t="str">
        <f>_xlfn.XLOOKUP(A423, 'Item Master'!$B$3:$B$502, 'Item Master'!$G$3:$G$502,,0)</f>
        <v>CV Berkah Jaya</v>
      </c>
      <c r="R423" t="str">
        <f t="shared" si="27"/>
        <v>MINUS</v>
      </c>
    </row>
    <row r="424" spans="1:18" x14ac:dyDescent="0.25">
      <c r="A424" t="s">
        <v>614</v>
      </c>
      <c r="B424" t="s">
        <v>587</v>
      </c>
      <c r="C424" t="s">
        <v>583</v>
      </c>
      <c r="D424" t="s">
        <v>2</v>
      </c>
      <c r="E424">
        <v>214</v>
      </c>
      <c r="F424">
        <v>30</v>
      </c>
      <c r="G424">
        <v>55</v>
      </c>
      <c r="H424" s="2">
        <v>24000</v>
      </c>
      <c r="I424" t="s">
        <v>193</v>
      </c>
      <c r="J424">
        <f>SUMIF('STOCK IN'!$C:$C, A424, 'STOCK IN'!$E:$E)</f>
        <v>16</v>
      </c>
      <c r="K424">
        <f>SUMIF('STOCK OUT'!$C:$C, A424, 'STOCK OUT'!$E:$E)</f>
        <v>56</v>
      </c>
      <c r="L424">
        <f t="shared" si="24"/>
        <v>174</v>
      </c>
      <c r="M424" t="str" cm="1">
        <f t="array" ref="M424">_xlfn.IFS(L424&lt;=0, "OUT OF STOCK", L424&lt;=F424, "REORDER", L424&lt;=G424, "LOW STOCK", TRUE, "IN STOCK")</f>
        <v>IN STOCK</v>
      </c>
      <c r="N424" s="2">
        <f t="shared" si="25"/>
        <v>4176000</v>
      </c>
      <c r="O424">
        <v>177</v>
      </c>
      <c r="P424">
        <f t="shared" si="26"/>
        <v>3</v>
      </c>
      <c r="Q424" t="str">
        <f>_xlfn.XLOOKUP(A424, 'Item Master'!$B$3:$B$502, 'Item Master'!$G$3:$G$502,,0)</f>
        <v>PT Sentosa Distribusi</v>
      </c>
      <c r="R424" t="str">
        <f t="shared" si="27"/>
        <v>SURPLUS</v>
      </c>
    </row>
    <row r="425" spans="1:18" x14ac:dyDescent="0.25">
      <c r="A425" t="s">
        <v>615</v>
      </c>
      <c r="B425" t="s">
        <v>589</v>
      </c>
      <c r="C425" t="s">
        <v>583</v>
      </c>
      <c r="D425" t="s">
        <v>469</v>
      </c>
      <c r="E425">
        <v>198</v>
      </c>
      <c r="F425">
        <v>44</v>
      </c>
      <c r="G425">
        <v>55</v>
      </c>
      <c r="H425" s="2">
        <v>5000</v>
      </c>
      <c r="I425" t="s">
        <v>95</v>
      </c>
      <c r="J425">
        <f>SUMIF('STOCK IN'!$C:$C, A425, 'STOCK IN'!$E:$E)</f>
        <v>32</v>
      </c>
      <c r="K425">
        <f>SUMIF('STOCK OUT'!$C:$C, A425, 'STOCK OUT'!$E:$E)</f>
        <v>235</v>
      </c>
      <c r="L425">
        <f t="shared" si="24"/>
        <v>-5</v>
      </c>
      <c r="M425" t="str" cm="1">
        <f t="array" ref="M425">_xlfn.IFS(L425&lt;=0, "OUT OF STOCK", L425&lt;=F425, "REORDER", L425&lt;=G425, "LOW STOCK", TRUE, "IN STOCK")</f>
        <v>OUT OF STOCK</v>
      </c>
      <c r="N425" s="2">
        <f t="shared" si="25"/>
        <v>-25000</v>
      </c>
      <c r="O425">
        <v>0</v>
      </c>
      <c r="P425">
        <f t="shared" si="26"/>
        <v>0</v>
      </c>
      <c r="Q425" t="str">
        <f>_xlfn.XLOOKUP(A425, 'Item Master'!$B$3:$B$502, 'Item Master'!$G$3:$G$502,,0)</f>
        <v>CV Karya Mandiri</v>
      </c>
      <c r="R425" t="str">
        <f t="shared" si="27"/>
        <v>CONFORM</v>
      </c>
    </row>
    <row r="426" spans="1:18" x14ac:dyDescent="0.25">
      <c r="A426" t="s">
        <v>616</v>
      </c>
      <c r="B426" t="s">
        <v>589</v>
      </c>
      <c r="C426" t="s">
        <v>583</v>
      </c>
      <c r="D426" t="s">
        <v>469</v>
      </c>
      <c r="E426">
        <v>190</v>
      </c>
      <c r="F426">
        <v>18</v>
      </c>
      <c r="G426">
        <v>47</v>
      </c>
      <c r="H426" s="2">
        <v>5000</v>
      </c>
      <c r="I426" t="s">
        <v>110</v>
      </c>
      <c r="J426">
        <f>SUMIF('STOCK IN'!$C:$C, A426, 'STOCK IN'!$E:$E)</f>
        <v>96</v>
      </c>
      <c r="K426">
        <f>SUMIF('STOCK OUT'!$C:$C, A426, 'STOCK OUT'!$E:$E)</f>
        <v>94</v>
      </c>
      <c r="L426">
        <f t="shared" si="24"/>
        <v>192</v>
      </c>
      <c r="M426" t="str" cm="1">
        <f t="array" ref="M426">_xlfn.IFS(L426&lt;=0, "OUT OF STOCK", L426&lt;=F426, "REORDER", L426&lt;=G426, "LOW STOCK", TRUE, "IN STOCK")</f>
        <v>IN STOCK</v>
      </c>
      <c r="N426" s="2">
        <f t="shared" si="25"/>
        <v>960000</v>
      </c>
      <c r="O426">
        <v>193</v>
      </c>
      <c r="P426">
        <f t="shared" si="26"/>
        <v>1</v>
      </c>
      <c r="Q426" t="str">
        <f>_xlfn.XLOOKUP(A426, 'Item Master'!$B$3:$B$502, 'Item Master'!$G$3:$G$502,,0)</f>
        <v>PT Cipta Sarana Niaga</v>
      </c>
      <c r="R426" t="str">
        <f t="shared" si="27"/>
        <v>SURPLUS</v>
      </c>
    </row>
    <row r="427" spans="1:18" x14ac:dyDescent="0.25">
      <c r="A427" t="s">
        <v>617</v>
      </c>
      <c r="B427" t="s">
        <v>594</v>
      </c>
      <c r="C427" t="s">
        <v>583</v>
      </c>
      <c r="D427" t="s">
        <v>595</v>
      </c>
      <c r="E427">
        <v>214</v>
      </c>
      <c r="F427">
        <v>39</v>
      </c>
      <c r="G427">
        <v>53</v>
      </c>
      <c r="H427" s="2">
        <v>5000</v>
      </c>
      <c r="I427" t="s">
        <v>259</v>
      </c>
      <c r="J427">
        <f>SUMIF('STOCK IN'!$C:$C, A427, 'STOCK IN'!$E:$E)</f>
        <v>34</v>
      </c>
      <c r="K427">
        <f>SUMIF('STOCK OUT'!$C:$C, A427, 'STOCK OUT'!$E:$E)</f>
        <v>234</v>
      </c>
      <c r="L427">
        <f t="shared" si="24"/>
        <v>14</v>
      </c>
      <c r="M427" t="str" cm="1">
        <f t="array" ref="M427">_xlfn.IFS(L427&lt;=0, "OUT OF STOCK", L427&lt;=F427, "REORDER", L427&lt;=G427, "LOW STOCK", TRUE, "IN STOCK")</f>
        <v>REORDER</v>
      </c>
      <c r="N427" s="2">
        <f t="shared" si="25"/>
        <v>70000</v>
      </c>
      <c r="O427">
        <v>14</v>
      </c>
      <c r="P427">
        <f t="shared" si="26"/>
        <v>0</v>
      </c>
      <c r="Q427" t="str">
        <f>_xlfn.XLOOKUP(A427, 'Item Master'!$B$3:$B$502, 'Item Master'!$G$3:$G$502,,0)</f>
        <v>CV Berkah Jaya</v>
      </c>
      <c r="R427" t="str">
        <f t="shared" si="27"/>
        <v>CONFORM</v>
      </c>
    </row>
    <row r="428" spans="1:18" x14ac:dyDescent="0.25">
      <c r="A428" t="s">
        <v>618</v>
      </c>
      <c r="B428" t="s">
        <v>587</v>
      </c>
      <c r="C428" t="s">
        <v>583</v>
      </c>
      <c r="D428" t="s">
        <v>2</v>
      </c>
      <c r="E428">
        <v>77</v>
      </c>
      <c r="F428">
        <v>47</v>
      </c>
      <c r="G428">
        <v>67</v>
      </c>
      <c r="H428" s="2">
        <v>17000</v>
      </c>
      <c r="I428" t="s">
        <v>79</v>
      </c>
      <c r="J428">
        <f>SUMIF('STOCK IN'!$C:$C, A428, 'STOCK IN'!$E:$E)</f>
        <v>224</v>
      </c>
      <c r="K428">
        <f>SUMIF('STOCK OUT'!$C:$C, A428, 'STOCK OUT'!$E:$E)</f>
        <v>233</v>
      </c>
      <c r="L428">
        <f t="shared" si="24"/>
        <v>68</v>
      </c>
      <c r="M428" t="str" cm="1">
        <f t="array" ref="M428">_xlfn.IFS(L428&lt;=0, "OUT OF STOCK", L428&lt;=F428, "REORDER", L428&lt;=G428, "LOW STOCK", TRUE, "IN STOCK")</f>
        <v>IN STOCK</v>
      </c>
      <c r="N428" s="2">
        <f t="shared" si="25"/>
        <v>1156000</v>
      </c>
      <c r="O428">
        <v>65</v>
      </c>
      <c r="P428">
        <f t="shared" si="26"/>
        <v>-3</v>
      </c>
      <c r="Q428" t="str">
        <f>_xlfn.XLOOKUP(A428, 'Item Master'!$B$3:$B$502, 'Item Master'!$G$3:$G$502,,0)</f>
        <v>PT Indo Elektrik</v>
      </c>
      <c r="R428" t="str">
        <f t="shared" si="27"/>
        <v>MINUS</v>
      </c>
    </row>
    <row r="429" spans="1:18" x14ac:dyDescent="0.25">
      <c r="A429" t="s">
        <v>619</v>
      </c>
      <c r="B429" t="s">
        <v>594</v>
      </c>
      <c r="C429" t="s">
        <v>583</v>
      </c>
      <c r="D429" t="s">
        <v>595</v>
      </c>
      <c r="E429">
        <v>166</v>
      </c>
      <c r="F429">
        <v>30</v>
      </c>
      <c r="G429">
        <v>53</v>
      </c>
      <c r="H429" s="2">
        <v>10000</v>
      </c>
      <c r="I429" t="s">
        <v>206</v>
      </c>
      <c r="J429">
        <f>SUMIF('STOCK IN'!$C:$C, A429, 'STOCK IN'!$E:$E)</f>
        <v>239</v>
      </c>
      <c r="K429">
        <f>SUMIF('STOCK OUT'!$C:$C, A429, 'STOCK OUT'!$E:$E)</f>
        <v>117</v>
      </c>
      <c r="L429">
        <f t="shared" si="24"/>
        <v>288</v>
      </c>
      <c r="M429" t="str" cm="1">
        <f t="array" ref="M429">_xlfn.IFS(L429&lt;=0, "OUT OF STOCK", L429&lt;=F429, "REORDER", L429&lt;=G429, "LOW STOCK", TRUE, "IN STOCK")</f>
        <v>IN STOCK</v>
      </c>
      <c r="N429" s="2">
        <f t="shared" si="25"/>
        <v>2880000</v>
      </c>
      <c r="O429">
        <v>289</v>
      </c>
      <c r="P429">
        <f t="shared" si="26"/>
        <v>1</v>
      </c>
      <c r="Q429" t="str">
        <f>_xlfn.XLOOKUP(A429, 'Item Master'!$B$3:$B$502, 'Item Master'!$G$3:$G$502,,0)</f>
        <v>CV Mitra Perkasa</v>
      </c>
      <c r="R429" t="str">
        <f t="shared" si="27"/>
        <v>SURPLUS</v>
      </c>
    </row>
    <row r="430" spans="1:18" x14ac:dyDescent="0.25">
      <c r="A430" t="s">
        <v>620</v>
      </c>
      <c r="B430" t="s">
        <v>587</v>
      </c>
      <c r="C430" t="s">
        <v>583</v>
      </c>
      <c r="D430" t="s">
        <v>2</v>
      </c>
      <c r="E430">
        <v>54</v>
      </c>
      <c r="F430">
        <v>48</v>
      </c>
      <c r="G430">
        <v>75</v>
      </c>
      <c r="H430" s="2">
        <v>49000</v>
      </c>
      <c r="I430" t="s">
        <v>129</v>
      </c>
      <c r="J430">
        <f>SUMIF('STOCK IN'!$C:$C, A430, 'STOCK IN'!$E:$E)</f>
        <v>112</v>
      </c>
      <c r="K430">
        <f>SUMIF('STOCK OUT'!$C:$C, A430, 'STOCK OUT'!$E:$E)</f>
        <v>145</v>
      </c>
      <c r="L430">
        <f t="shared" si="24"/>
        <v>21</v>
      </c>
      <c r="M430" t="str" cm="1">
        <f t="array" ref="M430">_xlfn.IFS(L430&lt;=0, "OUT OF STOCK", L430&lt;=F430, "REORDER", L430&lt;=G430, "LOW STOCK", TRUE, "IN STOCK")</f>
        <v>REORDER</v>
      </c>
      <c r="N430" s="2">
        <f t="shared" si="25"/>
        <v>1029000</v>
      </c>
      <c r="O430">
        <v>23</v>
      </c>
      <c r="P430">
        <f t="shared" si="26"/>
        <v>2</v>
      </c>
      <c r="Q430" t="str">
        <f>_xlfn.XLOOKUP(A430, 'Item Master'!$B$3:$B$502, 'Item Master'!$G$3:$G$502,,0)</f>
        <v>PT Cipta Sarana Niaga</v>
      </c>
      <c r="R430" t="str">
        <f t="shared" si="27"/>
        <v>SURPLUS</v>
      </c>
    </row>
    <row r="431" spans="1:18" x14ac:dyDescent="0.25">
      <c r="A431" t="s">
        <v>621</v>
      </c>
      <c r="B431" t="s">
        <v>582</v>
      </c>
      <c r="C431" t="s">
        <v>583</v>
      </c>
      <c r="D431" t="s">
        <v>2</v>
      </c>
      <c r="E431">
        <v>90</v>
      </c>
      <c r="F431">
        <v>12</v>
      </c>
      <c r="G431">
        <v>24</v>
      </c>
      <c r="H431" s="2">
        <v>79000</v>
      </c>
      <c r="I431" t="s">
        <v>312</v>
      </c>
      <c r="J431">
        <f>SUMIF('STOCK IN'!$C:$C, A431, 'STOCK IN'!$E:$E)</f>
        <v>2</v>
      </c>
      <c r="K431">
        <f>SUMIF('STOCK OUT'!$C:$C, A431, 'STOCK OUT'!$E:$E)</f>
        <v>183</v>
      </c>
      <c r="L431">
        <f t="shared" si="24"/>
        <v>-91</v>
      </c>
      <c r="M431" t="str" cm="1">
        <f t="array" ref="M431">_xlfn.IFS(L431&lt;=0, "OUT OF STOCK", L431&lt;=F431, "REORDER", L431&lt;=G431, "LOW STOCK", TRUE, "IN STOCK")</f>
        <v>OUT OF STOCK</v>
      </c>
      <c r="N431" s="2">
        <f t="shared" si="25"/>
        <v>-7189000</v>
      </c>
      <c r="O431">
        <v>0</v>
      </c>
      <c r="P431">
        <f t="shared" si="26"/>
        <v>0</v>
      </c>
      <c r="Q431" t="str">
        <f>_xlfn.XLOOKUP(A431, 'Item Master'!$B$3:$B$502, 'Item Master'!$G$3:$G$502,,0)</f>
        <v>PT Cipta Sarana Niaga</v>
      </c>
      <c r="R431" t="str">
        <f t="shared" si="27"/>
        <v>CONFORM</v>
      </c>
    </row>
    <row r="432" spans="1:18" x14ac:dyDescent="0.25">
      <c r="A432" t="s">
        <v>622</v>
      </c>
      <c r="B432" t="s">
        <v>585</v>
      </c>
      <c r="C432" t="s">
        <v>583</v>
      </c>
      <c r="D432" t="s">
        <v>355</v>
      </c>
      <c r="E432">
        <v>46</v>
      </c>
      <c r="F432">
        <v>37</v>
      </c>
      <c r="G432">
        <v>54</v>
      </c>
      <c r="H432" s="2">
        <v>30000</v>
      </c>
      <c r="I432" t="s">
        <v>71</v>
      </c>
      <c r="J432">
        <f>SUMIF('STOCK IN'!$C:$C, A432, 'STOCK IN'!$E:$E)</f>
        <v>147</v>
      </c>
      <c r="K432">
        <f>SUMIF('STOCK OUT'!$C:$C, A432, 'STOCK OUT'!$E:$E)</f>
        <v>164</v>
      </c>
      <c r="L432">
        <f t="shared" si="24"/>
        <v>29</v>
      </c>
      <c r="M432" t="str" cm="1">
        <f t="array" ref="M432">_xlfn.IFS(L432&lt;=0, "OUT OF STOCK", L432&lt;=F432, "REORDER", L432&lt;=G432, "LOW STOCK", TRUE, "IN STOCK")</f>
        <v>REORDER</v>
      </c>
      <c r="N432" s="2">
        <f t="shared" si="25"/>
        <v>870000</v>
      </c>
      <c r="O432">
        <v>30</v>
      </c>
      <c r="P432">
        <f t="shared" si="26"/>
        <v>1</v>
      </c>
      <c r="Q432" t="str">
        <f>_xlfn.XLOOKUP(A432, 'Item Master'!$B$3:$B$502, 'Item Master'!$G$3:$G$502,,0)</f>
        <v>PT Global Office Supply</v>
      </c>
      <c r="R432" t="str">
        <f t="shared" si="27"/>
        <v>SURPLUS</v>
      </c>
    </row>
    <row r="433" spans="1:18" x14ac:dyDescent="0.25">
      <c r="A433" t="s">
        <v>623</v>
      </c>
      <c r="B433" t="s">
        <v>594</v>
      </c>
      <c r="C433" t="s">
        <v>583</v>
      </c>
      <c r="D433" t="s">
        <v>595</v>
      </c>
      <c r="E433">
        <v>118</v>
      </c>
      <c r="F433">
        <v>16</v>
      </c>
      <c r="G433">
        <v>36</v>
      </c>
      <c r="H433" s="2">
        <v>10000</v>
      </c>
      <c r="I433" t="s">
        <v>294</v>
      </c>
      <c r="J433">
        <f>SUMIF('STOCK IN'!$C:$C, A433, 'STOCK IN'!$E:$E)</f>
        <v>141</v>
      </c>
      <c r="K433">
        <f>SUMIF('STOCK OUT'!$C:$C, A433, 'STOCK OUT'!$E:$E)</f>
        <v>39</v>
      </c>
      <c r="L433">
        <f t="shared" si="24"/>
        <v>220</v>
      </c>
      <c r="M433" t="str" cm="1">
        <f t="array" ref="M433">_xlfn.IFS(L433&lt;=0, "OUT OF STOCK", L433&lt;=F433, "REORDER", L433&lt;=G433, "LOW STOCK", TRUE, "IN STOCK")</f>
        <v>IN STOCK</v>
      </c>
      <c r="N433" s="2">
        <f t="shared" si="25"/>
        <v>2200000</v>
      </c>
      <c r="O433">
        <v>217</v>
      </c>
      <c r="P433">
        <f t="shared" si="26"/>
        <v>-3</v>
      </c>
      <c r="Q433" t="str">
        <f>_xlfn.XLOOKUP(A433, 'Item Master'!$B$3:$B$502, 'Item Master'!$G$3:$G$502,,0)</f>
        <v>PT Indo Elektrik</v>
      </c>
      <c r="R433" t="str">
        <f t="shared" si="27"/>
        <v>MINUS</v>
      </c>
    </row>
    <row r="434" spans="1:18" x14ac:dyDescent="0.25">
      <c r="A434" t="s">
        <v>624</v>
      </c>
      <c r="B434" t="s">
        <v>602</v>
      </c>
      <c r="C434" t="s">
        <v>583</v>
      </c>
      <c r="D434" t="s">
        <v>2</v>
      </c>
      <c r="E434">
        <v>135</v>
      </c>
      <c r="F434">
        <v>23</v>
      </c>
      <c r="G434">
        <v>33</v>
      </c>
      <c r="H434" s="2">
        <v>87000</v>
      </c>
      <c r="I434" t="s">
        <v>181</v>
      </c>
      <c r="J434">
        <f>SUMIF('STOCK IN'!$C:$C, A434, 'STOCK IN'!$E:$E)</f>
        <v>71</v>
      </c>
      <c r="K434">
        <f>SUMIF('STOCK OUT'!$C:$C, A434, 'STOCK OUT'!$E:$E)</f>
        <v>155</v>
      </c>
      <c r="L434">
        <f t="shared" si="24"/>
        <v>51</v>
      </c>
      <c r="M434" t="str" cm="1">
        <f t="array" ref="M434">_xlfn.IFS(L434&lt;=0, "OUT OF STOCK", L434&lt;=F434, "REORDER", L434&lt;=G434, "LOW STOCK", TRUE, "IN STOCK")</f>
        <v>IN STOCK</v>
      </c>
      <c r="N434" s="2">
        <f t="shared" si="25"/>
        <v>4437000</v>
      </c>
      <c r="O434">
        <v>50</v>
      </c>
      <c r="P434">
        <f t="shared" si="26"/>
        <v>-1</v>
      </c>
      <c r="Q434" t="str">
        <f>_xlfn.XLOOKUP(A434, 'Item Master'!$B$3:$B$502, 'Item Master'!$G$3:$G$502,,0)</f>
        <v>PT Sentosa Distribusi</v>
      </c>
      <c r="R434" t="str">
        <f t="shared" si="27"/>
        <v>MINUS</v>
      </c>
    </row>
    <row r="435" spans="1:18" x14ac:dyDescent="0.25">
      <c r="A435" t="s">
        <v>625</v>
      </c>
      <c r="B435" t="s">
        <v>594</v>
      </c>
      <c r="C435" t="s">
        <v>583</v>
      </c>
      <c r="D435" t="s">
        <v>595</v>
      </c>
      <c r="E435">
        <v>231</v>
      </c>
      <c r="F435">
        <v>27</v>
      </c>
      <c r="G435">
        <v>57</v>
      </c>
      <c r="H435" s="2">
        <v>4000</v>
      </c>
      <c r="I435" t="s">
        <v>19</v>
      </c>
      <c r="J435">
        <f>SUMIF('STOCK IN'!$C:$C, A435, 'STOCK IN'!$E:$E)</f>
        <v>42</v>
      </c>
      <c r="K435">
        <f>SUMIF('STOCK OUT'!$C:$C, A435, 'STOCK OUT'!$E:$E)</f>
        <v>133</v>
      </c>
      <c r="L435">
        <f t="shared" si="24"/>
        <v>140</v>
      </c>
      <c r="M435" t="str" cm="1">
        <f t="array" ref="M435">_xlfn.IFS(L435&lt;=0, "OUT OF STOCK", L435&lt;=F435, "REORDER", L435&lt;=G435, "LOW STOCK", TRUE, "IN STOCK")</f>
        <v>IN STOCK</v>
      </c>
      <c r="N435" s="2">
        <f t="shared" si="25"/>
        <v>560000</v>
      </c>
      <c r="O435">
        <v>137</v>
      </c>
      <c r="P435">
        <f t="shared" si="26"/>
        <v>-3</v>
      </c>
      <c r="Q435" t="str">
        <f>_xlfn.XLOOKUP(A435, 'Item Master'!$B$3:$B$502, 'Item Master'!$G$3:$G$502,,0)</f>
        <v>CV Karya Mandiri</v>
      </c>
      <c r="R435" t="str">
        <f t="shared" si="27"/>
        <v>MINUS</v>
      </c>
    </row>
    <row r="436" spans="1:18" x14ac:dyDescent="0.25">
      <c r="A436" t="s">
        <v>626</v>
      </c>
      <c r="B436" t="s">
        <v>589</v>
      </c>
      <c r="C436" t="s">
        <v>583</v>
      </c>
      <c r="D436" t="s">
        <v>469</v>
      </c>
      <c r="E436">
        <v>139</v>
      </c>
      <c r="F436">
        <v>46</v>
      </c>
      <c r="G436">
        <v>66</v>
      </c>
      <c r="H436" s="2">
        <v>22000</v>
      </c>
      <c r="I436" t="s">
        <v>289</v>
      </c>
      <c r="J436">
        <f>SUMIF('STOCK IN'!$C:$C, A436, 'STOCK IN'!$E:$E)</f>
        <v>22</v>
      </c>
      <c r="K436">
        <f>SUMIF('STOCK OUT'!$C:$C, A436, 'STOCK OUT'!$E:$E)</f>
        <v>83</v>
      </c>
      <c r="L436">
        <f t="shared" si="24"/>
        <v>78</v>
      </c>
      <c r="M436" t="str" cm="1">
        <f t="array" ref="M436">_xlfn.IFS(L436&lt;=0, "OUT OF STOCK", L436&lt;=F436, "REORDER", L436&lt;=G436, "LOW STOCK", TRUE, "IN STOCK")</f>
        <v>IN STOCK</v>
      </c>
      <c r="N436" s="2">
        <f t="shared" si="25"/>
        <v>1716000</v>
      </c>
      <c r="O436">
        <v>81</v>
      </c>
      <c r="P436">
        <f t="shared" si="26"/>
        <v>3</v>
      </c>
      <c r="Q436" t="str">
        <f>_xlfn.XLOOKUP(A436, 'Item Master'!$B$3:$B$502, 'Item Master'!$G$3:$G$502,,0)</f>
        <v>PT Global Office Supply</v>
      </c>
      <c r="R436" t="str">
        <f t="shared" si="27"/>
        <v>SURPLUS</v>
      </c>
    </row>
    <row r="437" spans="1:18" x14ac:dyDescent="0.25">
      <c r="A437" t="s">
        <v>627</v>
      </c>
      <c r="B437" t="s">
        <v>589</v>
      </c>
      <c r="C437" t="s">
        <v>583</v>
      </c>
      <c r="D437" t="s">
        <v>469</v>
      </c>
      <c r="E437">
        <v>135</v>
      </c>
      <c r="F437">
        <v>15</v>
      </c>
      <c r="G437">
        <v>33</v>
      </c>
      <c r="H437" s="2">
        <v>19000</v>
      </c>
      <c r="I437" t="s">
        <v>149</v>
      </c>
      <c r="J437">
        <f>SUMIF('STOCK IN'!$C:$C, A437, 'STOCK IN'!$E:$E)</f>
        <v>52</v>
      </c>
      <c r="K437">
        <f>SUMIF('STOCK OUT'!$C:$C, A437, 'STOCK OUT'!$E:$E)</f>
        <v>157</v>
      </c>
      <c r="L437">
        <f t="shared" si="24"/>
        <v>30</v>
      </c>
      <c r="M437" t="str" cm="1">
        <f t="array" ref="M437">_xlfn.IFS(L437&lt;=0, "OUT OF STOCK", L437&lt;=F437, "REORDER", L437&lt;=G437, "LOW STOCK", TRUE, "IN STOCK")</f>
        <v>LOW STOCK</v>
      </c>
      <c r="N437" s="2">
        <f t="shared" si="25"/>
        <v>570000</v>
      </c>
      <c r="O437">
        <v>27</v>
      </c>
      <c r="P437">
        <f t="shared" si="26"/>
        <v>-3</v>
      </c>
      <c r="Q437" t="str">
        <f>_xlfn.XLOOKUP(A437, 'Item Master'!$B$3:$B$502, 'Item Master'!$G$3:$G$502,,0)</f>
        <v>PT Solusi Komputer</v>
      </c>
      <c r="R437" t="str">
        <f t="shared" si="27"/>
        <v>MINUS</v>
      </c>
    </row>
    <row r="438" spans="1:18" x14ac:dyDescent="0.25">
      <c r="A438" t="s">
        <v>628</v>
      </c>
      <c r="B438" t="s">
        <v>629</v>
      </c>
      <c r="C438" t="s">
        <v>583</v>
      </c>
      <c r="D438" t="s">
        <v>355</v>
      </c>
      <c r="E438">
        <v>80</v>
      </c>
      <c r="F438">
        <v>19</v>
      </c>
      <c r="G438">
        <v>41</v>
      </c>
      <c r="H438" s="2">
        <v>17000</v>
      </c>
      <c r="I438" t="s">
        <v>397</v>
      </c>
      <c r="J438">
        <f>SUMIF('STOCK IN'!$C:$C, A438, 'STOCK IN'!$E:$E)</f>
        <v>241</v>
      </c>
      <c r="K438">
        <f>SUMIF('STOCK OUT'!$C:$C, A438, 'STOCK OUT'!$E:$E)</f>
        <v>185</v>
      </c>
      <c r="L438">
        <f t="shared" si="24"/>
        <v>136</v>
      </c>
      <c r="M438" t="str" cm="1">
        <f t="array" ref="M438">_xlfn.IFS(L438&lt;=0, "OUT OF STOCK", L438&lt;=F438, "REORDER", L438&lt;=G438, "LOW STOCK", TRUE, "IN STOCK")</f>
        <v>IN STOCK</v>
      </c>
      <c r="N438" s="2">
        <f t="shared" si="25"/>
        <v>2312000</v>
      </c>
      <c r="O438">
        <v>134</v>
      </c>
      <c r="P438">
        <f t="shared" si="26"/>
        <v>-2</v>
      </c>
      <c r="Q438" t="str">
        <f>_xlfn.XLOOKUP(A438, 'Item Master'!$B$3:$B$502, 'Item Master'!$G$3:$G$502,,0)</f>
        <v>PT Cipta Sarana Niaga</v>
      </c>
      <c r="R438" t="str">
        <f t="shared" si="27"/>
        <v>MINUS</v>
      </c>
    </row>
    <row r="439" spans="1:18" x14ac:dyDescent="0.25">
      <c r="A439" t="s">
        <v>630</v>
      </c>
      <c r="B439" t="s">
        <v>594</v>
      </c>
      <c r="C439" t="s">
        <v>583</v>
      </c>
      <c r="D439" t="s">
        <v>595</v>
      </c>
      <c r="E439">
        <v>207</v>
      </c>
      <c r="F439">
        <v>36</v>
      </c>
      <c r="G439">
        <v>58</v>
      </c>
      <c r="H439" s="2">
        <v>15000</v>
      </c>
      <c r="I439" t="s">
        <v>312</v>
      </c>
      <c r="J439">
        <f>SUMIF('STOCK IN'!$C:$C, A439, 'STOCK IN'!$E:$E)</f>
        <v>70</v>
      </c>
      <c r="K439">
        <f>SUMIF('STOCK OUT'!$C:$C, A439, 'STOCK OUT'!$E:$E)</f>
        <v>159</v>
      </c>
      <c r="L439">
        <f t="shared" si="24"/>
        <v>118</v>
      </c>
      <c r="M439" t="str" cm="1">
        <f t="array" ref="M439">_xlfn.IFS(L439&lt;=0, "OUT OF STOCK", L439&lt;=F439, "REORDER", L439&lt;=G439, "LOW STOCK", TRUE, "IN STOCK")</f>
        <v>IN STOCK</v>
      </c>
      <c r="N439" s="2">
        <f t="shared" si="25"/>
        <v>1770000</v>
      </c>
      <c r="O439">
        <v>117</v>
      </c>
      <c r="P439">
        <f t="shared" si="26"/>
        <v>-1</v>
      </c>
      <c r="Q439" t="str">
        <f>_xlfn.XLOOKUP(A439, 'Item Master'!$B$3:$B$502, 'Item Master'!$G$3:$G$502,,0)</f>
        <v>PT Indo Elektrik</v>
      </c>
      <c r="R439" t="str">
        <f t="shared" si="27"/>
        <v>MINUS</v>
      </c>
    </row>
    <row r="440" spans="1:18" x14ac:dyDescent="0.25">
      <c r="A440" t="s">
        <v>631</v>
      </c>
      <c r="B440" t="s">
        <v>582</v>
      </c>
      <c r="C440" t="s">
        <v>583</v>
      </c>
      <c r="D440" t="s">
        <v>2</v>
      </c>
      <c r="E440">
        <v>208</v>
      </c>
      <c r="F440">
        <v>39</v>
      </c>
      <c r="G440">
        <v>55</v>
      </c>
      <c r="H440" s="2">
        <v>113000</v>
      </c>
      <c r="I440" t="s">
        <v>110</v>
      </c>
      <c r="J440">
        <f>SUMIF('STOCK IN'!$C:$C, A440, 'STOCK IN'!$E:$E)</f>
        <v>191</v>
      </c>
      <c r="K440">
        <f>SUMIF('STOCK OUT'!$C:$C, A440, 'STOCK OUT'!$E:$E)</f>
        <v>114</v>
      </c>
      <c r="L440">
        <f t="shared" si="24"/>
        <v>285</v>
      </c>
      <c r="M440" t="str" cm="1">
        <f t="array" ref="M440">_xlfn.IFS(L440&lt;=0, "OUT OF STOCK", L440&lt;=F440, "REORDER", L440&lt;=G440, "LOW STOCK", TRUE, "IN STOCK")</f>
        <v>IN STOCK</v>
      </c>
      <c r="N440" s="2">
        <f t="shared" si="25"/>
        <v>32205000</v>
      </c>
      <c r="O440">
        <v>282</v>
      </c>
      <c r="P440">
        <f t="shared" si="26"/>
        <v>-3</v>
      </c>
      <c r="Q440" t="str">
        <f>_xlfn.XLOOKUP(A440, 'Item Master'!$B$3:$B$502, 'Item Master'!$G$3:$G$502,,0)</f>
        <v>PT Indo Elektrik</v>
      </c>
      <c r="R440" t="str">
        <f t="shared" si="27"/>
        <v>MINUS</v>
      </c>
    </row>
    <row r="441" spans="1:18" x14ac:dyDescent="0.25">
      <c r="A441" t="s">
        <v>632</v>
      </c>
      <c r="B441" t="s">
        <v>587</v>
      </c>
      <c r="C441" t="s">
        <v>583</v>
      </c>
      <c r="D441" t="s">
        <v>2</v>
      </c>
      <c r="E441">
        <v>65</v>
      </c>
      <c r="F441">
        <v>32</v>
      </c>
      <c r="G441">
        <v>40</v>
      </c>
      <c r="H441" s="2">
        <v>44000</v>
      </c>
      <c r="I441" t="s">
        <v>327</v>
      </c>
      <c r="J441">
        <f>SUMIF('STOCK IN'!$C:$C, A441, 'STOCK IN'!$E:$E)</f>
        <v>204</v>
      </c>
      <c r="K441">
        <f>SUMIF('STOCK OUT'!$C:$C, A441, 'STOCK OUT'!$E:$E)</f>
        <v>21</v>
      </c>
      <c r="L441">
        <f t="shared" si="24"/>
        <v>248</v>
      </c>
      <c r="M441" t="str" cm="1">
        <f t="array" ref="M441">_xlfn.IFS(L441&lt;=0, "OUT OF STOCK", L441&lt;=F441, "REORDER", L441&lt;=G441, "LOW STOCK", TRUE, "IN STOCK")</f>
        <v>IN STOCK</v>
      </c>
      <c r="N441" s="2">
        <f t="shared" si="25"/>
        <v>10912000</v>
      </c>
      <c r="O441">
        <v>247</v>
      </c>
      <c r="P441">
        <f t="shared" si="26"/>
        <v>-1</v>
      </c>
      <c r="Q441" t="str">
        <f>_xlfn.XLOOKUP(A441, 'Item Master'!$B$3:$B$502, 'Item Master'!$G$3:$G$502,,0)</f>
        <v>CV Prima Logistik</v>
      </c>
      <c r="R441" t="str">
        <f t="shared" si="27"/>
        <v>MINUS</v>
      </c>
    </row>
    <row r="442" spans="1:18" x14ac:dyDescent="0.25">
      <c r="A442" t="s">
        <v>633</v>
      </c>
      <c r="B442" t="s">
        <v>587</v>
      </c>
      <c r="C442" t="s">
        <v>583</v>
      </c>
      <c r="D442" t="s">
        <v>2</v>
      </c>
      <c r="E442">
        <v>99</v>
      </c>
      <c r="F442">
        <v>10</v>
      </c>
      <c r="G442">
        <v>29</v>
      </c>
      <c r="H442" s="2">
        <v>26000</v>
      </c>
      <c r="I442" t="s">
        <v>171</v>
      </c>
      <c r="J442">
        <f>SUMIF('STOCK IN'!$C:$C, A442, 'STOCK IN'!$E:$E)</f>
        <v>41</v>
      </c>
      <c r="K442">
        <f>SUMIF('STOCK OUT'!$C:$C, A442, 'STOCK OUT'!$E:$E)</f>
        <v>54</v>
      </c>
      <c r="L442">
        <f t="shared" si="24"/>
        <v>86</v>
      </c>
      <c r="M442" t="str" cm="1">
        <f t="array" ref="M442">_xlfn.IFS(L442&lt;=0, "OUT OF STOCK", L442&lt;=F442, "REORDER", L442&lt;=G442, "LOW STOCK", TRUE, "IN STOCK")</f>
        <v>IN STOCK</v>
      </c>
      <c r="N442" s="2">
        <f t="shared" si="25"/>
        <v>2236000</v>
      </c>
      <c r="O442">
        <v>85</v>
      </c>
      <c r="P442">
        <f t="shared" si="26"/>
        <v>-1</v>
      </c>
      <c r="Q442" t="str">
        <f>_xlfn.XLOOKUP(A442, 'Item Master'!$B$3:$B$502, 'Item Master'!$G$3:$G$502,,0)</f>
        <v>CV Mitra Perkasa</v>
      </c>
      <c r="R442" t="str">
        <f t="shared" si="27"/>
        <v>MINUS</v>
      </c>
    </row>
    <row r="443" spans="1:18" x14ac:dyDescent="0.25">
      <c r="A443" t="s">
        <v>634</v>
      </c>
      <c r="B443" t="s">
        <v>597</v>
      </c>
      <c r="C443" t="s">
        <v>583</v>
      </c>
      <c r="D443" t="s">
        <v>355</v>
      </c>
      <c r="E443">
        <v>186</v>
      </c>
      <c r="F443">
        <v>27</v>
      </c>
      <c r="G443">
        <v>54</v>
      </c>
      <c r="H443" s="2">
        <v>52000</v>
      </c>
      <c r="I443" t="s">
        <v>265</v>
      </c>
      <c r="J443">
        <f>SUMIF('STOCK IN'!$C:$C, A443, 'STOCK IN'!$E:$E)</f>
        <v>122</v>
      </c>
      <c r="K443">
        <f>SUMIF('STOCK OUT'!$C:$C, A443, 'STOCK OUT'!$E:$E)</f>
        <v>82</v>
      </c>
      <c r="L443">
        <f t="shared" si="24"/>
        <v>226</v>
      </c>
      <c r="M443" t="str" cm="1">
        <f t="array" ref="M443">_xlfn.IFS(L443&lt;=0, "OUT OF STOCK", L443&lt;=F443, "REORDER", L443&lt;=G443, "LOW STOCK", TRUE, "IN STOCK")</f>
        <v>IN STOCK</v>
      </c>
      <c r="N443" s="2">
        <f t="shared" si="25"/>
        <v>11752000</v>
      </c>
      <c r="O443">
        <v>224</v>
      </c>
      <c r="P443">
        <f t="shared" si="26"/>
        <v>-2</v>
      </c>
      <c r="Q443" t="str">
        <f>_xlfn.XLOOKUP(A443, 'Item Master'!$B$3:$B$502, 'Item Master'!$G$3:$G$502,,0)</f>
        <v>PT Solusi Komputer</v>
      </c>
      <c r="R443" t="str">
        <f t="shared" si="27"/>
        <v>MINUS</v>
      </c>
    </row>
    <row r="444" spans="1:18" x14ac:dyDescent="0.25">
      <c r="A444" t="s">
        <v>635</v>
      </c>
      <c r="B444" t="s">
        <v>599</v>
      </c>
      <c r="C444" t="s">
        <v>583</v>
      </c>
      <c r="D444" t="s">
        <v>2</v>
      </c>
      <c r="E444">
        <v>45</v>
      </c>
      <c r="F444">
        <v>18</v>
      </c>
      <c r="G444">
        <v>29</v>
      </c>
      <c r="H444" s="2">
        <v>113000</v>
      </c>
      <c r="I444" t="s">
        <v>287</v>
      </c>
      <c r="J444">
        <f>SUMIF('STOCK IN'!$C:$C, A444, 'STOCK IN'!$E:$E)</f>
        <v>16</v>
      </c>
      <c r="K444">
        <f>SUMIF('STOCK OUT'!$C:$C, A444, 'STOCK OUT'!$E:$E)</f>
        <v>66</v>
      </c>
      <c r="L444">
        <f t="shared" si="24"/>
        <v>-5</v>
      </c>
      <c r="M444" t="str" cm="1">
        <f t="array" ref="M444">_xlfn.IFS(L444&lt;=0, "OUT OF STOCK", L444&lt;=F444, "REORDER", L444&lt;=G444, "LOW STOCK", TRUE, "IN STOCK")</f>
        <v>OUT OF STOCK</v>
      </c>
      <c r="N444" s="2">
        <f t="shared" si="25"/>
        <v>-565000</v>
      </c>
      <c r="O444">
        <v>0</v>
      </c>
      <c r="P444">
        <f t="shared" si="26"/>
        <v>0</v>
      </c>
      <c r="Q444" t="str">
        <f>_xlfn.XLOOKUP(A444, 'Item Master'!$B$3:$B$502, 'Item Master'!$G$3:$G$502,,0)</f>
        <v>PT Sumber Teknologi Nusantara</v>
      </c>
      <c r="R444" t="str">
        <f t="shared" si="27"/>
        <v>CONFORM</v>
      </c>
    </row>
    <row r="445" spans="1:18" x14ac:dyDescent="0.25">
      <c r="A445" t="s">
        <v>636</v>
      </c>
      <c r="B445" t="s">
        <v>602</v>
      </c>
      <c r="C445" t="s">
        <v>583</v>
      </c>
      <c r="D445" t="s">
        <v>2</v>
      </c>
      <c r="E445">
        <v>162</v>
      </c>
      <c r="F445">
        <v>39</v>
      </c>
      <c r="G445">
        <v>49</v>
      </c>
      <c r="H445" s="2">
        <v>116000</v>
      </c>
      <c r="I445" t="s">
        <v>183</v>
      </c>
      <c r="J445">
        <f>SUMIF('STOCK IN'!$C:$C, A445, 'STOCK IN'!$E:$E)</f>
        <v>198</v>
      </c>
      <c r="K445">
        <f>SUMIF('STOCK OUT'!$C:$C, A445, 'STOCK OUT'!$E:$E)</f>
        <v>63</v>
      </c>
      <c r="L445">
        <f t="shared" si="24"/>
        <v>297</v>
      </c>
      <c r="M445" t="str" cm="1">
        <f t="array" ref="M445">_xlfn.IFS(L445&lt;=0, "OUT OF STOCK", L445&lt;=F445, "REORDER", L445&lt;=G445, "LOW STOCK", TRUE, "IN STOCK")</f>
        <v>IN STOCK</v>
      </c>
      <c r="N445" s="2">
        <f t="shared" si="25"/>
        <v>34452000</v>
      </c>
      <c r="O445">
        <v>297</v>
      </c>
      <c r="P445">
        <f t="shared" si="26"/>
        <v>0</v>
      </c>
      <c r="Q445" t="str">
        <f>_xlfn.XLOOKUP(A445, 'Item Master'!$B$3:$B$502, 'Item Master'!$G$3:$G$502,,0)</f>
        <v>CV Berkah Jaya</v>
      </c>
      <c r="R445" t="str">
        <f t="shared" si="27"/>
        <v>CONFORM</v>
      </c>
    </row>
    <row r="446" spans="1:18" x14ac:dyDescent="0.25">
      <c r="A446" t="s">
        <v>637</v>
      </c>
      <c r="B446" t="s">
        <v>629</v>
      </c>
      <c r="C446" t="s">
        <v>583</v>
      </c>
      <c r="D446" t="s">
        <v>355</v>
      </c>
      <c r="E446">
        <v>78</v>
      </c>
      <c r="F446">
        <v>37</v>
      </c>
      <c r="G446">
        <v>63</v>
      </c>
      <c r="H446" s="2">
        <v>51000</v>
      </c>
      <c r="I446" t="s">
        <v>19</v>
      </c>
      <c r="J446">
        <f>SUMIF('STOCK IN'!$C:$C, A446, 'STOCK IN'!$E:$E)</f>
        <v>126</v>
      </c>
      <c r="K446">
        <f>SUMIF('STOCK OUT'!$C:$C, A446, 'STOCK OUT'!$E:$E)</f>
        <v>142</v>
      </c>
      <c r="L446">
        <f t="shared" si="24"/>
        <v>62</v>
      </c>
      <c r="M446" t="str" cm="1">
        <f t="array" ref="M446">_xlfn.IFS(L446&lt;=0, "OUT OF STOCK", L446&lt;=F446, "REORDER", L446&lt;=G446, "LOW STOCK", TRUE, "IN STOCK")</f>
        <v>LOW STOCK</v>
      </c>
      <c r="N446" s="2">
        <f t="shared" si="25"/>
        <v>3162000</v>
      </c>
      <c r="O446">
        <v>62</v>
      </c>
      <c r="P446">
        <f t="shared" si="26"/>
        <v>0</v>
      </c>
      <c r="Q446" t="str">
        <f>_xlfn.XLOOKUP(A446, 'Item Master'!$B$3:$B$502, 'Item Master'!$G$3:$G$502,,0)</f>
        <v>CV Mitra Perkasa</v>
      </c>
      <c r="R446" t="str">
        <f t="shared" si="27"/>
        <v>CONFORM</v>
      </c>
    </row>
    <row r="447" spans="1:18" x14ac:dyDescent="0.25">
      <c r="A447" t="s">
        <v>638</v>
      </c>
      <c r="B447" t="s">
        <v>612</v>
      </c>
      <c r="C447" t="s">
        <v>583</v>
      </c>
      <c r="D447" t="s">
        <v>2</v>
      </c>
      <c r="E447">
        <v>231</v>
      </c>
      <c r="F447">
        <v>46</v>
      </c>
      <c r="G447">
        <v>57</v>
      </c>
      <c r="H447" s="2">
        <v>29000</v>
      </c>
      <c r="I447" t="s">
        <v>100</v>
      </c>
      <c r="J447">
        <f>SUMIF('STOCK IN'!$C:$C, A447, 'STOCK IN'!$E:$E)</f>
        <v>89</v>
      </c>
      <c r="K447">
        <f>SUMIF('STOCK OUT'!$C:$C, A447, 'STOCK OUT'!$E:$E)</f>
        <v>113</v>
      </c>
      <c r="L447">
        <f t="shared" si="24"/>
        <v>207</v>
      </c>
      <c r="M447" t="str" cm="1">
        <f t="array" ref="M447">_xlfn.IFS(L447&lt;=0, "OUT OF STOCK", L447&lt;=F447, "REORDER", L447&lt;=G447, "LOW STOCK", TRUE, "IN STOCK")</f>
        <v>IN STOCK</v>
      </c>
      <c r="N447" s="2">
        <f t="shared" si="25"/>
        <v>6003000</v>
      </c>
      <c r="O447">
        <v>204</v>
      </c>
      <c r="P447">
        <f t="shared" si="26"/>
        <v>-3</v>
      </c>
      <c r="Q447" t="str">
        <f>_xlfn.XLOOKUP(A447, 'Item Master'!$B$3:$B$502, 'Item Master'!$G$3:$G$502,,0)</f>
        <v>PT Sentosa Distribusi</v>
      </c>
      <c r="R447" t="str">
        <f t="shared" si="27"/>
        <v>MINUS</v>
      </c>
    </row>
    <row r="448" spans="1:18" x14ac:dyDescent="0.25">
      <c r="A448" t="s">
        <v>639</v>
      </c>
      <c r="B448" t="s">
        <v>585</v>
      </c>
      <c r="C448" t="s">
        <v>583</v>
      </c>
      <c r="D448" t="s">
        <v>355</v>
      </c>
      <c r="E448">
        <v>73</v>
      </c>
      <c r="F448">
        <v>48</v>
      </c>
      <c r="G448">
        <v>65</v>
      </c>
      <c r="H448" s="2">
        <v>34000</v>
      </c>
      <c r="I448" t="s">
        <v>64</v>
      </c>
      <c r="J448">
        <f>SUMIF('STOCK IN'!$C:$C, A448, 'STOCK IN'!$E:$E)</f>
        <v>132</v>
      </c>
      <c r="K448">
        <f>SUMIF('STOCK OUT'!$C:$C, A448, 'STOCK OUT'!$E:$E)</f>
        <v>38</v>
      </c>
      <c r="L448">
        <f t="shared" si="24"/>
        <v>167</v>
      </c>
      <c r="M448" t="str" cm="1">
        <f t="array" ref="M448">_xlfn.IFS(L448&lt;=0, "OUT OF STOCK", L448&lt;=F448, "REORDER", L448&lt;=G448, "LOW STOCK", TRUE, "IN STOCK")</f>
        <v>IN STOCK</v>
      </c>
      <c r="N448" s="2">
        <f t="shared" si="25"/>
        <v>5678000</v>
      </c>
      <c r="O448">
        <v>167</v>
      </c>
      <c r="P448">
        <f t="shared" si="26"/>
        <v>0</v>
      </c>
      <c r="Q448" t="str">
        <f>_xlfn.XLOOKUP(A448, 'Item Master'!$B$3:$B$502, 'Item Master'!$G$3:$G$502,,0)</f>
        <v>CV Karya Mandiri</v>
      </c>
      <c r="R448" t="str">
        <f t="shared" si="27"/>
        <v>CONFORM</v>
      </c>
    </row>
    <row r="449" spans="1:18" x14ac:dyDescent="0.25">
      <c r="A449" t="s">
        <v>640</v>
      </c>
      <c r="B449" t="s">
        <v>629</v>
      </c>
      <c r="C449" t="s">
        <v>583</v>
      </c>
      <c r="D449" t="s">
        <v>355</v>
      </c>
      <c r="E449">
        <v>116</v>
      </c>
      <c r="F449">
        <v>29</v>
      </c>
      <c r="G449">
        <v>48</v>
      </c>
      <c r="H449" s="2">
        <v>55000</v>
      </c>
      <c r="I449" t="s">
        <v>79</v>
      </c>
      <c r="J449">
        <f>SUMIF('STOCK IN'!$C:$C, A449, 'STOCK IN'!$E:$E)</f>
        <v>67</v>
      </c>
      <c r="K449">
        <f>SUMIF('STOCK OUT'!$C:$C, A449, 'STOCK OUT'!$E:$E)</f>
        <v>303</v>
      </c>
      <c r="L449">
        <f t="shared" si="24"/>
        <v>-120</v>
      </c>
      <c r="M449" t="str" cm="1">
        <f t="array" ref="M449">_xlfn.IFS(L449&lt;=0, "OUT OF STOCK", L449&lt;=F449, "REORDER", L449&lt;=G449, "LOW STOCK", TRUE, "IN STOCK")</f>
        <v>OUT OF STOCK</v>
      </c>
      <c r="N449" s="2">
        <f t="shared" si="25"/>
        <v>-6600000</v>
      </c>
      <c r="O449">
        <v>0</v>
      </c>
      <c r="P449">
        <f t="shared" si="26"/>
        <v>0</v>
      </c>
      <c r="Q449" t="str">
        <f>_xlfn.XLOOKUP(A449, 'Item Master'!$B$3:$B$502, 'Item Master'!$G$3:$G$502,,0)</f>
        <v>CV Mitra Perkasa</v>
      </c>
      <c r="R449" t="str">
        <f t="shared" si="27"/>
        <v>CONFORM</v>
      </c>
    </row>
    <row r="450" spans="1:18" x14ac:dyDescent="0.25">
      <c r="A450" t="s">
        <v>641</v>
      </c>
      <c r="B450" t="s">
        <v>589</v>
      </c>
      <c r="C450" t="s">
        <v>583</v>
      </c>
      <c r="D450" t="s">
        <v>469</v>
      </c>
      <c r="E450">
        <v>201</v>
      </c>
      <c r="F450">
        <v>22</v>
      </c>
      <c r="G450">
        <v>50</v>
      </c>
      <c r="H450" s="2">
        <v>21000</v>
      </c>
      <c r="I450" t="s">
        <v>124</v>
      </c>
      <c r="J450">
        <f>SUMIF('STOCK IN'!$C:$C, A450, 'STOCK IN'!$E:$E)</f>
        <v>126</v>
      </c>
      <c r="K450">
        <f>SUMIF('STOCK OUT'!$C:$C, A450, 'STOCK OUT'!$E:$E)</f>
        <v>184</v>
      </c>
      <c r="L450">
        <f t="shared" si="24"/>
        <v>143</v>
      </c>
      <c r="M450" t="str" cm="1">
        <f t="array" ref="M450">_xlfn.IFS(L450&lt;=0, "OUT OF STOCK", L450&lt;=F450, "REORDER", L450&lt;=G450, "LOW STOCK", TRUE, "IN STOCK")</f>
        <v>IN STOCK</v>
      </c>
      <c r="N450" s="2">
        <f t="shared" si="25"/>
        <v>3003000</v>
      </c>
      <c r="O450">
        <v>146</v>
      </c>
      <c r="P450">
        <f t="shared" si="26"/>
        <v>3</v>
      </c>
      <c r="Q450" t="str">
        <f>_xlfn.XLOOKUP(A450, 'Item Master'!$B$3:$B$502, 'Item Master'!$G$3:$G$502,,0)</f>
        <v>CV Berkah Jaya</v>
      </c>
      <c r="R450" t="str">
        <f t="shared" si="27"/>
        <v>SURPLUS</v>
      </c>
    </row>
    <row r="451" spans="1:18" x14ac:dyDescent="0.25">
      <c r="A451" t="s">
        <v>642</v>
      </c>
      <c r="B451" t="s">
        <v>585</v>
      </c>
      <c r="C451" t="s">
        <v>583</v>
      </c>
      <c r="D451" t="s">
        <v>355</v>
      </c>
      <c r="E451">
        <v>10</v>
      </c>
      <c r="F451">
        <v>10</v>
      </c>
      <c r="G451">
        <v>38</v>
      </c>
      <c r="H451" s="2">
        <v>26000</v>
      </c>
      <c r="I451" t="s">
        <v>79</v>
      </c>
      <c r="J451">
        <f>SUMIF('STOCK IN'!$C:$C, A451, 'STOCK IN'!$E:$E)</f>
        <v>155</v>
      </c>
      <c r="K451">
        <f>SUMIF('STOCK OUT'!$C:$C, A451, 'STOCK OUT'!$E:$E)</f>
        <v>105</v>
      </c>
      <c r="L451">
        <f t="shared" ref="L451:L501" si="28">E451+J451-K451</f>
        <v>60</v>
      </c>
      <c r="M451" t="str" cm="1">
        <f t="array" ref="M451">_xlfn.IFS(L451&lt;=0, "OUT OF STOCK", L451&lt;=F451, "REORDER", L451&lt;=G451, "LOW STOCK", TRUE, "IN STOCK")</f>
        <v>IN STOCK</v>
      </c>
      <c r="N451" s="2">
        <f t="shared" ref="N451:N501" si="29">L451*H451</f>
        <v>1560000</v>
      </c>
      <c r="O451">
        <v>57</v>
      </c>
      <c r="P451">
        <f t="shared" ref="P451:P501" si="30">IF(L451&lt;0, 0, O451 - L451)</f>
        <v>-3</v>
      </c>
      <c r="Q451" t="str">
        <f>_xlfn.XLOOKUP(A451, 'Item Master'!$B$3:$B$502, 'Item Master'!$G$3:$G$502,,0)</f>
        <v>CV Karya Mandiri</v>
      </c>
      <c r="R451" t="str">
        <f t="shared" ref="R451:R501" si="31">IF(P451=0, "CONFORM", IF(P451&gt;0, "SURPLUS", "MINUS"))</f>
        <v>MINUS</v>
      </c>
    </row>
    <row r="452" spans="1:18" x14ac:dyDescent="0.25">
      <c r="A452" t="s">
        <v>643</v>
      </c>
      <c r="B452" t="s">
        <v>582</v>
      </c>
      <c r="C452" t="s">
        <v>583</v>
      </c>
      <c r="D452" t="s">
        <v>2</v>
      </c>
      <c r="E452">
        <v>65</v>
      </c>
      <c r="F452">
        <v>32</v>
      </c>
      <c r="G452">
        <v>43</v>
      </c>
      <c r="H452" s="2">
        <v>146000</v>
      </c>
      <c r="I452" t="s">
        <v>423</v>
      </c>
      <c r="J452">
        <f>SUMIF('STOCK IN'!$C:$C, A452, 'STOCK IN'!$E:$E)</f>
        <v>98</v>
      </c>
      <c r="K452">
        <f>SUMIF('STOCK OUT'!$C:$C, A452, 'STOCK OUT'!$E:$E)</f>
        <v>0</v>
      </c>
      <c r="L452">
        <f t="shared" si="28"/>
        <v>163</v>
      </c>
      <c r="M452" t="str" cm="1">
        <f t="array" ref="M452">_xlfn.IFS(L452&lt;=0, "OUT OF STOCK", L452&lt;=F452, "REORDER", L452&lt;=G452, "LOW STOCK", TRUE, "IN STOCK")</f>
        <v>IN STOCK</v>
      </c>
      <c r="N452" s="2">
        <f t="shared" si="29"/>
        <v>23798000</v>
      </c>
      <c r="O452">
        <v>163</v>
      </c>
      <c r="P452">
        <f t="shared" si="30"/>
        <v>0</v>
      </c>
      <c r="Q452" t="str">
        <f>_xlfn.XLOOKUP(A452, 'Item Master'!$B$3:$B$502, 'Item Master'!$G$3:$G$502,,0)</f>
        <v>CV Karya Mandiri</v>
      </c>
      <c r="R452" t="str">
        <f t="shared" si="31"/>
        <v>CONFORM</v>
      </c>
    </row>
    <row r="453" spans="1:18" x14ac:dyDescent="0.25">
      <c r="A453" t="s">
        <v>644</v>
      </c>
      <c r="B453" t="s">
        <v>629</v>
      </c>
      <c r="C453" t="s">
        <v>583</v>
      </c>
      <c r="D453" t="s">
        <v>355</v>
      </c>
      <c r="E453">
        <v>150</v>
      </c>
      <c r="F453">
        <v>41</v>
      </c>
      <c r="G453">
        <v>50</v>
      </c>
      <c r="H453" s="2">
        <v>36000</v>
      </c>
      <c r="I453" t="s">
        <v>189</v>
      </c>
      <c r="J453">
        <f>SUMIF('STOCK IN'!$C:$C, A453, 'STOCK IN'!$E:$E)</f>
        <v>254</v>
      </c>
      <c r="K453">
        <f>SUMIF('STOCK OUT'!$C:$C, A453, 'STOCK OUT'!$E:$E)</f>
        <v>11</v>
      </c>
      <c r="L453">
        <f t="shared" si="28"/>
        <v>393</v>
      </c>
      <c r="M453" t="str" cm="1">
        <f t="array" ref="M453">_xlfn.IFS(L453&lt;=0, "OUT OF STOCK", L453&lt;=F453, "REORDER", L453&lt;=G453, "LOW STOCK", TRUE, "IN STOCK")</f>
        <v>IN STOCK</v>
      </c>
      <c r="N453" s="2">
        <f t="shared" si="29"/>
        <v>14148000</v>
      </c>
      <c r="O453">
        <v>392</v>
      </c>
      <c r="P453">
        <f t="shared" si="30"/>
        <v>-1</v>
      </c>
      <c r="Q453" t="str">
        <f>_xlfn.XLOOKUP(A453, 'Item Master'!$B$3:$B$502, 'Item Master'!$G$3:$G$502,,0)</f>
        <v>PT Solusi Komputer</v>
      </c>
      <c r="R453" t="str">
        <f t="shared" si="31"/>
        <v>MINUS</v>
      </c>
    </row>
    <row r="454" spans="1:18" x14ac:dyDescent="0.25">
      <c r="A454" t="s">
        <v>645</v>
      </c>
      <c r="B454" t="s">
        <v>612</v>
      </c>
      <c r="C454" t="s">
        <v>583</v>
      </c>
      <c r="D454" t="s">
        <v>2</v>
      </c>
      <c r="E454">
        <v>35</v>
      </c>
      <c r="F454">
        <v>45</v>
      </c>
      <c r="G454">
        <v>75</v>
      </c>
      <c r="H454" s="2">
        <v>14000</v>
      </c>
      <c r="I454" t="s">
        <v>297</v>
      </c>
      <c r="J454">
        <f>SUMIF('STOCK IN'!$C:$C, A454, 'STOCK IN'!$E:$E)</f>
        <v>174</v>
      </c>
      <c r="K454">
        <f>SUMIF('STOCK OUT'!$C:$C, A454, 'STOCK OUT'!$E:$E)</f>
        <v>134</v>
      </c>
      <c r="L454">
        <f t="shared" si="28"/>
        <v>75</v>
      </c>
      <c r="M454" t="str" cm="1">
        <f t="array" ref="M454">_xlfn.IFS(L454&lt;=0, "OUT OF STOCK", L454&lt;=F454, "REORDER", L454&lt;=G454, "LOW STOCK", TRUE, "IN STOCK")</f>
        <v>LOW STOCK</v>
      </c>
      <c r="N454" s="2">
        <f t="shared" si="29"/>
        <v>1050000</v>
      </c>
      <c r="O454">
        <v>74</v>
      </c>
      <c r="P454">
        <f t="shared" si="30"/>
        <v>-1</v>
      </c>
      <c r="Q454" t="str">
        <f>_xlfn.XLOOKUP(A454, 'Item Master'!$B$3:$B$502, 'Item Master'!$G$3:$G$502,,0)</f>
        <v>CV Karya Mandiri</v>
      </c>
      <c r="R454" t="str">
        <f t="shared" si="31"/>
        <v>MINUS</v>
      </c>
    </row>
    <row r="455" spans="1:18" x14ac:dyDescent="0.25">
      <c r="A455" t="s">
        <v>646</v>
      </c>
      <c r="B455" t="s">
        <v>599</v>
      </c>
      <c r="C455" t="s">
        <v>583</v>
      </c>
      <c r="D455" t="s">
        <v>2</v>
      </c>
      <c r="E455">
        <v>126</v>
      </c>
      <c r="F455">
        <v>5</v>
      </c>
      <c r="G455">
        <v>31</v>
      </c>
      <c r="H455" s="2">
        <v>91000</v>
      </c>
      <c r="I455" t="s">
        <v>294</v>
      </c>
      <c r="J455">
        <f>SUMIF('STOCK IN'!$C:$C, A455, 'STOCK IN'!$E:$E)</f>
        <v>81</v>
      </c>
      <c r="K455">
        <f>SUMIF('STOCK OUT'!$C:$C, A455, 'STOCK OUT'!$E:$E)</f>
        <v>206</v>
      </c>
      <c r="L455">
        <f t="shared" si="28"/>
        <v>1</v>
      </c>
      <c r="M455" t="str" cm="1">
        <f t="array" ref="M455">_xlfn.IFS(L455&lt;=0, "OUT OF STOCK", L455&lt;=F455, "REORDER", L455&lt;=G455, "LOW STOCK", TRUE, "IN STOCK")</f>
        <v>REORDER</v>
      </c>
      <c r="N455" s="2">
        <f t="shared" si="29"/>
        <v>91000</v>
      </c>
      <c r="O455">
        <v>1</v>
      </c>
      <c r="P455">
        <f t="shared" si="30"/>
        <v>0</v>
      </c>
      <c r="Q455" t="str">
        <f>_xlfn.XLOOKUP(A455, 'Item Master'!$B$3:$B$502, 'Item Master'!$G$3:$G$502,,0)</f>
        <v>CV Prima Logistik</v>
      </c>
      <c r="R455" t="str">
        <f t="shared" si="31"/>
        <v>CONFORM</v>
      </c>
    </row>
    <row r="456" spans="1:18" x14ac:dyDescent="0.25">
      <c r="A456" t="s">
        <v>647</v>
      </c>
      <c r="B456" t="s">
        <v>629</v>
      </c>
      <c r="C456" t="s">
        <v>583</v>
      </c>
      <c r="D456" t="s">
        <v>355</v>
      </c>
      <c r="E456">
        <v>233</v>
      </c>
      <c r="F456">
        <v>22</v>
      </c>
      <c r="G456">
        <v>58</v>
      </c>
      <c r="H456" s="2">
        <v>25000</v>
      </c>
      <c r="I456" t="s">
        <v>230</v>
      </c>
      <c r="J456">
        <f>SUMIF('STOCK IN'!$C:$C, A456, 'STOCK IN'!$E:$E)</f>
        <v>49</v>
      </c>
      <c r="K456">
        <f>SUMIF('STOCK OUT'!$C:$C, A456, 'STOCK OUT'!$E:$E)</f>
        <v>167</v>
      </c>
      <c r="L456">
        <f t="shared" si="28"/>
        <v>115</v>
      </c>
      <c r="M456" t="str" cm="1">
        <f t="array" ref="M456">_xlfn.IFS(L456&lt;=0, "OUT OF STOCK", L456&lt;=F456, "REORDER", L456&lt;=G456, "LOW STOCK", TRUE, "IN STOCK")</f>
        <v>IN STOCK</v>
      </c>
      <c r="N456" s="2">
        <f t="shared" si="29"/>
        <v>2875000</v>
      </c>
      <c r="O456">
        <v>115</v>
      </c>
      <c r="P456">
        <f t="shared" si="30"/>
        <v>0</v>
      </c>
      <c r="Q456" t="str">
        <f>_xlfn.XLOOKUP(A456, 'Item Master'!$B$3:$B$502, 'Item Master'!$G$3:$G$502,,0)</f>
        <v>CV Berkah Jaya</v>
      </c>
      <c r="R456" t="str">
        <f t="shared" si="31"/>
        <v>CONFORM</v>
      </c>
    </row>
    <row r="457" spans="1:18" x14ac:dyDescent="0.25">
      <c r="A457" t="s">
        <v>648</v>
      </c>
      <c r="B457" t="s">
        <v>585</v>
      </c>
      <c r="C457" t="s">
        <v>583</v>
      </c>
      <c r="D457" t="s">
        <v>355</v>
      </c>
      <c r="E457">
        <v>241</v>
      </c>
      <c r="F457">
        <v>46</v>
      </c>
      <c r="G457">
        <v>60</v>
      </c>
      <c r="H457" s="2">
        <v>29000</v>
      </c>
      <c r="I457" t="s">
        <v>203</v>
      </c>
      <c r="J457">
        <f>SUMIF('STOCK IN'!$C:$C, A457, 'STOCK IN'!$E:$E)</f>
        <v>193</v>
      </c>
      <c r="K457">
        <f>SUMIF('STOCK OUT'!$C:$C, A457, 'STOCK OUT'!$E:$E)</f>
        <v>214</v>
      </c>
      <c r="L457">
        <f t="shared" si="28"/>
        <v>220</v>
      </c>
      <c r="M457" t="str" cm="1">
        <f t="array" ref="M457">_xlfn.IFS(L457&lt;=0, "OUT OF STOCK", L457&lt;=F457, "REORDER", L457&lt;=G457, "LOW STOCK", TRUE, "IN STOCK")</f>
        <v>IN STOCK</v>
      </c>
      <c r="N457" s="2">
        <f t="shared" si="29"/>
        <v>6380000</v>
      </c>
      <c r="O457">
        <v>220</v>
      </c>
      <c r="P457">
        <f t="shared" si="30"/>
        <v>0</v>
      </c>
      <c r="Q457" t="str">
        <f>_xlfn.XLOOKUP(A457, 'Item Master'!$B$3:$B$502, 'Item Master'!$G$3:$G$502,,0)</f>
        <v>PT Sumber Teknologi Nusantara</v>
      </c>
      <c r="R457" t="str">
        <f t="shared" si="31"/>
        <v>CONFORM</v>
      </c>
    </row>
    <row r="458" spans="1:18" x14ac:dyDescent="0.25">
      <c r="A458" t="s">
        <v>649</v>
      </c>
      <c r="B458" t="s">
        <v>597</v>
      </c>
      <c r="C458" t="s">
        <v>583</v>
      </c>
      <c r="D458" t="s">
        <v>355</v>
      </c>
      <c r="E458">
        <v>177</v>
      </c>
      <c r="F458">
        <v>10</v>
      </c>
      <c r="G458">
        <v>44</v>
      </c>
      <c r="H458" s="2">
        <v>42000</v>
      </c>
      <c r="I458" t="s">
        <v>361</v>
      </c>
      <c r="J458">
        <f>SUMIF('STOCK IN'!$C:$C, A458, 'STOCK IN'!$E:$E)</f>
        <v>277</v>
      </c>
      <c r="K458">
        <f>SUMIF('STOCK OUT'!$C:$C, A458, 'STOCK OUT'!$E:$E)</f>
        <v>144</v>
      </c>
      <c r="L458">
        <f t="shared" si="28"/>
        <v>310</v>
      </c>
      <c r="M458" t="str" cm="1">
        <f t="array" ref="M458">_xlfn.IFS(L458&lt;=0, "OUT OF STOCK", L458&lt;=F458, "REORDER", L458&lt;=G458, "LOW STOCK", TRUE, "IN STOCK")</f>
        <v>IN STOCK</v>
      </c>
      <c r="N458" s="2">
        <f t="shared" si="29"/>
        <v>13020000</v>
      </c>
      <c r="O458">
        <v>310</v>
      </c>
      <c r="P458">
        <f t="shared" si="30"/>
        <v>0</v>
      </c>
      <c r="Q458" t="str">
        <f>_xlfn.XLOOKUP(A458, 'Item Master'!$B$3:$B$502, 'Item Master'!$G$3:$G$502,,0)</f>
        <v>CV Mitra Perkasa</v>
      </c>
      <c r="R458" t="str">
        <f t="shared" si="31"/>
        <v>CONFORM</v>
      </c>
    </row>
    <row r="459" spans="1:18" x14ac:dyDescent="0.25">
      <c r="A459" t="s">
        <v>650</v>
      </c>
      <c r="B459" t="s">
        <v>587</v>
      </c>
      <c r="C459" t="s">
        <v>583</v>
      </c>
      <c r="D459" t="s">
        <v>2</v>
      </c>
      <c r="E459">
        <v>43</v>
      </c>
      <c r="F459">
        <v>42</v>
      </c>
      <c r="G459">
        <v>54</v>
      </c>
      <c r="H459" s="2">
        <v>14000</v>
      </c>
      <c r="I459" t="s">
        <v>289</v>
      </c>
      <c r="J459">
        <f>SUMIF('STOCK IN'!$C:$C, A459, 'STOCK IN'!$E:$E)</f>
        <v>171</v>
      </c>
      <c r="K459">
        <f>SUMIF('STOCK OUT'!$C:$C, A459, 'STOCK OUT'!$E:$E)</f>
        <v>146</v>
      </c>
      <c r="L459">
        <f t="shared" si="28"/>
        <v>68</v>
      </c>
      <c r="M459" t="str" cm="1">
        <f t="array" ref="M459">_xlfn.IFS(L459&lt;=0, "OUT OF STOCK", L459&lt;=F459, "REORDER", L459&lt;=G459, "LOW STOCK", TRUE, "IN STOCK")</f>
        <v>IN STOCK</v>
      </c>
      <c r="N459" s="2">
        <f t="shared" si="29"/>
        <v>952000</v>
      </c>
      <c r="O459">
        <v>67</v>
      </c>
      <c r="P459">
        <f t="shared" si="30"/>
        <v>-1</v>
      </c>
      <c r="Q459" t="str">
        <f>_xlfn.XLOOKUP(A459, 'Item Master'!$B$3:$B$502, 'Item Master'!$G$3:$G$502,,0)</f>
        <v>PT Indo Elektrik</v>
      </c>
      <c r="R459" t="str">
        <f t="shared" si="31"/>
        <v>MINUS</v>
      </c>
    </row>
    <row r="460" spans="1:18" x14ac:dyDescent="0.25">
      <c r="A460" t="s">
        <v>651</v>
      </c>
      <c r="B460" t="s">
        <v>612</v>
      </c>
      <c r="C460" t="s">
        <v>583</v>
      </c>
      <c r="D460" t="s">
        <v>2</v>
      </c>
      <c r="E460">
        <v>188</v>
      </c>
      <c r="F460">
        <v>26</v>
      </c>
      <c r="G460">
        <v>47</v>
      </c>
      <c r="H460" s="2">
        <v>12000</v>
      </c>
      <c r="I460" t="s">
        <v>294</v>
      </c>
      <c r="J460">
        <f>SUMIF('STOCK IN'!$C:$C, A460, 'STOCK IN'!$E:$E)</f>
        <v>69</v>
      </c>
      <c r="K460">
        <f>SUMIF('STOCK OUT'!$C:$C, A460, 'STOCK OUT'!$E:$E)</f>
        <v>152</v>
      </c>
      <c r="L460">
        <f t="shared" si="28"/>
        <v>105</v>
      </c>
      <c r="M460" t="str" cm="1">
        <f t="array" ref="M460">_xlfn.IFS(L460&lt;=0, "OUT OF STOCK", L460&lt;=F460, "REORDER", L460&lt;=G460, "LOW STOCK", TRUE, "IN STOCK")</f>
        <v>IN STOCK</v>
      </c>
      <c r="N460" s="2">
        <f t="shared" si="29"/>
        <v>1260000</v>
      </c>
      <c r="O460">
        <v>102</v>
      </c>
      <c r="P460">
        <f t="shared" si="30"/>
        <v>-3</v>
      </c>
      <c r="Q460" t="str">
        <f>_xlfn.XLOOKUP(A460, 'Item Master'!$B$3:$B$502, 'Item Master'!$G$3:$G$502,,0)</f>
        <v>PT Global Office Supply</v>
      </c>
      <c r="R460" t="str">
        <f t="shared" si="31"/>
        <v>MINUS</v>
      </c>
    </row>
    <row r="461" spans="1:18" x14ac:dyDescent="0.25">
      <c r="A461" t="s">
        <v>652</v>
      </c>
      <c r="B461" t="s">
        <v>587</v>
      </c>
      <c r="C461" t="s">
        <v>583</v>
      </c>
      <c r="D461" t="s">
        <v>2</v>
      </c>
      <c r="E461">
        <v>68</v>
      </c>
      <c r="F461">
        <v>29</v>
      </c>
      <c r="G461">
        <v>36</v>
      </c>
      <c r="H461" s="2">
        <v>14000</v>
      </c>
      <c r="I461" t="s">
        <v>34</v>
      </c>
      <c r="J461">
        <f>SUMIF('STOCK IN'!$C:$C, A461, 'STOCK IN'!$E:$E)</f>
        <v>220</v>
      </c>
      <c r="K461">
        <f>SUMIF('STOCK OUT'!$C:$C, A461, 'STOCK OUT'!$E:$E)</f>
        <v>45</v>
      </c>
      <c r="L461">
        <f t="shared" si="28"/>
        <v>243</v>
      </c>
      <c r="M461" t="str" cm="1">
        <f t="array" ref="M461">_xlfn.IFS(L461&lt;=0, "OUT OF STOCK", L461&lt;=F461, "REORDER", L461&lt;=G461, "LOW STOCK", TRUE, "IN STOCK")</f>
        <v>IN STOCK</v>
      </c>
      <c r="N461" s="2">
        <f t="shared" si="29"/>
        <v>3402000</v>
      </c>
      <c r="O461">
        <v>242</v>
      </c>
      <c r="P461">
        <f t="shared" si="30"/>
        <v>-1</v>
      </c>
      <c r="Q461" t="str">
        <f>_xlfn.XLOOKUP(A461, 'Item Master'!$B$3:$B$502, 'Item Master'!$G$3:$G$502,,0)</f>
        <v>CV Mitra Perkasa</v>
      </c>
      <c r="R461" t="str">
        <f t="shared" si="31"/>
        <v>MINUS</v>
      </c>
    </row>
    <row r="462" spans="1:18" x14ac:dyDescent="0.25">
      <c r="A462" t="s">
        <v>653</v>
      </c>
      <c r="B462" t="s">
        <v>585</v>
      </c>
      <c r="C462" t="s">
        <v>583</v>
      </c>
      <c r="D462" t="s">
        <v>355</v>
      </c>
      <c r="E462">
        <v>45</v>
      </c>
      <c r="F462">
        <v>29</v>
      </c>
      <c r="G462">
        <v>58</v>
      </c>
      <c r="H462" s="2">
        <v>17000</v>
      </c>
      <c r="I462" t="s">
        <v>250</v>
      </c>
      <c r="J462">
        <f>SUMIF('STOCK IN'!$C:$C, A462, 'STOCK IN'!$E:$E)</f>
        <v>69</v>
      </c>
      <c r="K462">
        <f>SUMIF('STOCK OUT'!$C:$C, A462, 'STOCK OUT'!$E:$E)</f>
        <v>163</v>
      </c>
      <c r="L462">
        <f t="shared" si="28"/>
        <v>-49</v>
      </c>
      <c r="M462" t="str" cm="1">
        <f t="array" ref="M462">_xlfn.IFS(L462&lt;=0, "OUT OF STOCK", L462&lt;=F462, "REORDER", L462&lt;=G462, "LOW STOCK", TRUE, "IN STOCK")</f>
        <v>OUT OF STOCK</v>
      </c>
      <c r="N462" s="2">
        <f t="shared" si="29"/>
        <v>-833000</v>
      </c>
      <c r="O462">
        <v>0</v>
      </c>
      <c r="P462">
        <f t="shared" si="30"/>
        <v>0</v>
      </c>
      <c r="Q462" t="str">
        <f>_xlfn.XLOOKUP(A462, 'Item Master'!$B$3:$B$502, 'Item Master'!$G$3:$G$502,,0)</f>
        <v>PT Sentosa Distribusi</v>
      </c>
      <c r="R462" t="str">
        <f t="shared" si="31"/>
        <v>CONFORM</v>
      </c>
    </row>
    <row r="463" spans="1:18" x14ac:dyDescent="0.25">
      <c r="A463" t="s">
        <v>654</v>
      </c>
      <c r="B463" t="s">
        <v>582</v>
      </c>
      <c r="C463" t="s">
        <v>583</v>
      </c>
      <c r="D463" t="s">
        <v>2</v>
      </c>
      <c r="E463">
        <v>154</v>
      </c>
      <c r="F463">
        <v>5</v>
      </c>
      <c r="G463">
        <v>38</v>
      </c>
      <c r="H463" s="2">
        <v>180000</v>
      </c>
      <c r="I463" t="s">
        <v>108</v>
      </c>
      <c r="J463">
        <f>SUMIF('STOCK IN'!$C:$C, A463, 'STOCK IN'!$E:$E)</f>
        <v>17</v>
      </c>
      <c r="K463">
        <f>SUMIF('STOCK OUT'!$C:$C, A463, 'STOCK OUT'!$E:$E)</f>
        <v>114</v>
      </c>
      <c r="L463">
        <f t="shared" si="28"/>
        <v>57</v>
      </c>
      <c r="M463" t="str" cm="1">
        <f t="array" ref="M463">_xlfn.IFS(L463&lt;=0, "OUT OF STOCK", L463&lt;=F463, "REORDER", L463&lt;=G463, "LOW STOCK", TRUE, "IN STOCK")</f>
        <v>IN STOCK</v>
      </c>
      <c r="N463" s="2">
        <f t="shared" si="29"/>
        <v>10260000</v>
      </c>
      <c r="O463">
        <v>57</v>
      </c>
      <c r="P463">
        <f t="shared" si="30"/>
        <v>0</v>
      </c>
      <c r="Q463" t="str">
        <f>_xlfn.XLOOKUP(A463, 'Item Master'!$B$3:$B$502, 'Item Master'!$G$3:$G$502,,0)</f>
        <v>PT Sentosa Distribusi</v>
      </c>
      <c r="R463" t="str">
        <f t="shared" si="31"/>
        <v>CONFORM</v>
      </c>
    </row>
    <row r="464" spans="1:18" x14ac:dyDescent="0.25">
      <c r="A464" t="s">
        <v>655</v>
      </c>
      <c r="B464" t="s">
        <v>597</v>
      </c>
      <c r="C464" t="s">
        <v>583</v>
      </c>
      <c r="D464" t="s">
        <v>355</v>
      </c>
      <c r="E464">
        <v>201</v>
      </c>
      <c r="F464">
        <v>14</v>
      </c>
      <c r="G464">
        <v>50</v>
      </c>
      <c r="H464" s="2">
        <v>55000</v>
      </c>
      <c r="I464" t="s">
        <v>289</v>
      </c>
      <c r="J464">
        <f>SUMIF('STOCK IN'!$C:$C, A464, 'STOCK IN'!$E:$E)</f>
        <v>218</v>
      </c>
      <c r="K464">
        <f>SUMIF('STOCK OUT'!$C:$C, A464, 'STOCK OUT'!$E:$E)</f>
        <v>7</v>
      </c>
      <c r="L464">
        <f t="shared" si="28"/>
        <v>412</v>
      </c>
      <c r="M464" t="str" cm="1">
        <f t="array" ref="M464">_xlfn.IFS(L464&lt;=0, "OUT OF STOCK", L464&lt;=F464, "REORDER", L464&lt;=G464, "LOW STOCK", TRUE, "IN STOCK")</f>
        <v>IN STOCK</v>
      </c>
      <c r="N464" s="2">
        <f t="shared" si="29"/>
        <v>22660000</v>
      </c>
      <c r="O464">
        <v>410</v>
      </c>
      <c r="P464">
        <f t="shared" si="30"/>
        <v>-2</v>
      </c>
      <c r="Q464" t="str">
        <f>_xlfn.XLOOKUP(A464, 'Item Master'!$B$3:$B$502, 'Item Master'!$G$3:$G$502,,0)</f>
        <v>PT Solusi Komputer</v>
      </c>
      <c r="R464" t="str">
        <f t="shared" si="31"/>
        <v>MINUS</v>
      </c>
    </row>
    <row r="465" spans="1:18" x14ac:dyDescent="0.25">
      <c r="A465" t="s">
        <v>656</v>
      </c>
      <c r="B465" t="s">
        <v>597</v>
      </c>
      <c r="C465" t="s">
        <v>583</v>
      </c>
      <c r="D465" t="s">
        <v>355</v>
      </c>
      <c r="E465">
        <v>239</v>
      </c>
      <c r="F465">
        <v>11</v>
      </c>
      <c r="G465">
        <v>59</v>
      </c>
      <c r="H465" s="2">
        <v>20000</v>
      </c>
      <c r="I465" t="s">
        <v>95</v>
      </c>
      <c r="J465">
        <f>SUMIF('STOCK IN'!$C:$C, A465, 'STOCK IN'!$E:$E)</f>
        <v>110</v>
      </c>
      <c r="K465">
        <f>SUMIF('STOCK OUT'!$C:$C, A465, 'STOCK OUT'!$E:$E)</f>
        <v>117</v>
      </c>
      <c r="L465">
        <f t="shared" si="28"/>
        <v>232</v>
      </c>
      <c r="M465" t="str" cm="1">
        <f t="array" ref="M465">_xlfn.IFS(L465&lt;=0, "OUT OF STOCK", L465&lt;=F465, "REORDER", L465&lt;=G465, "LOW STOCK", TRUE, "IN STOCK")</f>
        <v>IN STOCK</v>
      </c>
      <c r="N465" s="2">
        <f t="shared" si="29"/>
        <v>4640000</v>
      </c>
      <c r="O465">
        <v>229</v>
      </c>
      <c r="P465">
        <f t="shared" si="30"/>
        <v>-3</v>
      </c>
      <c r="Q465" t="str">
        <f>_xlfn.XLOOKUP(A465, 'Item Master'!$B$3:$B$502, 'Item Master'!$G$3:$G$502,,0)</f>
        <v>CV Mitra Perkasa</v>
      </c>
      <c r="R465" t="str">
        <f t="shared" si="31"/>
        <v>MINUS</v>
      </c>
    </row>
    <row r="466" spans="1:18" x14ac:dyDescent="0.25">
      <c r="A466" t="s">
        <v>657</v>
      </c>
      <c r="B466" t="s">
        <v>585</v>
      </c>
      <c r="C466" t="s">
        <v>583</v>
      </c>
      <c r="D466" t="s">
        <v>355</v>
      </c>
      <c r="E466">
        <v>90</v>
      </c>
      <c r="F466">
        <v>13</v>
      </c>
      <c r="G466">
        <v>25</v>
      </c>
      <c r="H466" s="2">
        <v>21000</v>
      </c>
      <c r="I466" t="s">
        <v>250</v>
      </c>
      <c r="J466">
        <f>SUMIF('STOCK IN'!$C:$C, A466, 'STOCK IN'!$E:$E)</f>
        <v>72</v>
      </c>
      <c r="K466">
        <f>SUMIF('STOCK OUT'!$C:$C, A466, 'STOCK OUT'!$E:$E)</f>
        <v>183</v>
      </c>
      <c r="L466">
        <f t="shared" si="28"/>
        <v>-21</v>
      </c>
      <c r="M466" t="str" cm="1">
        <f t="array" ref="M466">_xlfn.IFS(L466&lt;=0, "OUT OF STOCK", L466&lt;=F466, "REORDER", L466&lt;=G466, "LOW STOCK", TRUE, "IN STOCK")</f>
        <v>OUT OF STOCK</v>
      </c>
      <c r="N466" s="2">
        <f t="shared" si="29"/>
        <v>-441000</v>
      </c>
      <c r="O466">
        <v>0</v>
      </c>
      <c r="P466">
        <f t="shared" si="30"/>
        <v>0</v>
      </c>
      <c r="Q466" t="str">
        <f>_xlfn.XLOOKUP(A466, 'Item Master'!$B$3:$B$502, 'Item Master'!$G$3:$G$502,,0)</f>
        <v>PT Cipta Sarana Niaga</v>
      </c>
      <c r="R466" t="str">
        <f t="shared" si="31"/>
        <v>CONFORM</v>
      </c>
    </row>
    <row r="467" spans="1:18" x14ac:dyDescent="0.25">
      <c r="A467" t="s">
        <v>658</v>
      </c>
      <c r="B467" t="s">
        <v>597</v>
      </c>
      <c r="C467" t="s">
        <v>583</v>
      </c>
      <c r="D467" t="s">
        <v>355</v>
      </c>
      <c r="E467">
        <v>163</v>
      </c>
      <c r="F467">
        <v>43</v>
      </c>
      <c r="G467">
        <v>71</v>
      </c>
      <c r="H467" s="2">
        <v>50000</v>
      </c>
      <c r="I467" t="s">
        <v>113</v>
      </c>
      <c r="J467">
        <f>SUMIF('STOCK IN'!$C:$C, A467, 'STOCK IN'!$E:$E)</f>
        <v>165</v>
      </c>
      <c r="K467">
        <f>SUMIF('STOCK OUT'!$C:$C, A467, 'STOCK OUT'!$E:$E)</f>
        <v>115</v>
      </c>
      <c r="L467">
        <f t="shared" si="28"/>
        <v>213</v>
      </c>
      <c r="M467" t="str" cm="1">
        <f t="array" ref="M467">_xlfn.IFS(L467&lt;=0, "OUT OF STOCK", L467&lt;=F467, "REORDER", L467&lt;=G467, "LOW STOCK", TRUE, "IN STOCK")</f>
        <v>IN STOCK</v>
      </c>
      <c r="N467" s="2">
        <f t="shared" si="29"/>
        <v>10650000</v>
      </c>
      <c r="O467">
        <v>213</v>
      </c>
      <c r="P467">
        <f t="shared" si="30"/>
        <v>0</v>
      </c>
      <c r="Q467" t="str">
        <f>_xlfn.XLOOKUP(A467, 'Item Master'!$B$3:$B$502, 'Item Master'!$G$3:$G$502,,0)</f>
        <v>PT Solusi Komputer</v>
      </c>
      <c r="R467" t="str">
        <f t="shared" si="31"/>
        <v>CONFORM</v>
      </c>
    </row>
    <row r="468" spans="1:18" x14ac:dyDescent="0.25">
      <c r="A468" t="s">
        <v>659</v>
      </c>
      <c r="B468" t="s">
        <v>629</v>
      </c>
      <c r="C468" t="s">
        <v>583</v>
      </c>
      <c r="D468" t="s">
        <v>355</v>
      </c>
      <c r="E468">
        <v>142</v>
      </c>
      <c r="F468">
        <v>43</v>
      </c>
      <c r="G468">
        <v>64</v>
      </c>
      <c r="H468" s="2">
        <v>28000</v>
      </c>
      <c r="I468" t="s">
        <v>67</v>
      </c>
      <c r="J468">
        <f>SUMIF('STOCK IN'!$C:$C, A468, 'STOCK IN'!$E:$E)</f>
        <v>201</v>
      </c>
      <c r="K468">
        <f>SUMIF('STOCK OUT'!$C:$C, A468, 'STOCK OUT'!$E:$E)</f>
        <v>61</v>
      </c>
      <c r="L468">
        <f t="shared" si="28"/>
        <v>282</v>
      </c>
      <c r="M468" t="str" cm="1">
        <f t="array" ref="M468">_xlfn.IFS(L468&lt;=0, "OUT OF STOCK", L468&lt;=F468, "REORDER", L468&lt;=G468, "LOW STOCK", TRUE, "IN STOCK")</f>
        <v>IN STOCK</v>
      </c>
      <c r="N468" s="2">
        <f t="shared" si="29"/>
        <v>7896000</v>
      </c>
      <c r="O468">
        <v>282</v>
      </c>
      <c r="P468">
        <f t="shared" si="30"/>
        <v>0</v>
      </c>
      <c r="Q468" t="str">
        <f>_xlfn.XLOOKUP(A468, 'Item Master'!$B$3:$B$502, 'Item Master'!$G$3:$G$502,,0)</f>
        <v>CV Prima Logistik</v>
      </c>
      <c r="R468" t="str">
        <f t="shared" si="31"/>
        <v>CONFORM</v>
      </c>
    </row>
    <row r="469" spans="1:18" x14ac:dyDescent="0.25">
      <c r="A469" t="s">
        <v>660</v>
      </c>
      <c r="B469" t="s">
        <v>629</v>
      </c>
      <c r="C469" t="s">
        <v>583</v>
      </c>
      <c r="D469" t="s">
        <v>355</v>
      </c>
      <c r="E469">
        <v>210</v>
      </c>
      <c r="F469">
        <v>20</v>
      </c>
      <c r="G469">
        <v>52</v>
      </c>
      <c r="H469" s="2">
        <v>18000</v>
      </c>
      <c r="I469" t="s">
        <v>312</v>
      </c>
      <c r="J469">
        <f>SUMIF('STOCK IN'!$C:$C, A469, 'STOCK IN'!$E:$E)</f>
        <v>93</v>
      </c>
      <c r="K469">
        <f>SUMIF('STOCK OUT'!$C:$C, A469, 'STOCK OUT'!$E:$E)</f>
        <v>93</v>
      </c>
      <c r="L469">
        <f t="shared" si="28"/>
        <v>210</v>
      </c>
      <c r="M469" t="str" cm="1">
        <f t="array" ref="M469">_xlfn.IFS(L469&lt;=0, "OUT OF STOCK", L469&lt;=F469, "REORDER", L469&lt;=G469, "LOW STOCK", TRUE, "IN STOCK")</f>
        <v>IN STOCK</v>
      </c>
      <c r="N469" s="2">
        <f t="shared" si="29"/>
        <v>3780000</v>
      </c>
      <c r="O469">
        <v>210</v>
      </c>
      <c r="P469">
        <f t="shared" si="30"/>
        <v>0</v>
      </c>
      <c r="Q469" t="str">
        <f>_xlfn.XLOOKUP(A469, 'Item Master'!$B$3:$B$502, 'Item Master'!$G$3:$G$502,,0)</f>
        <v>PT Global Office Supply</v>
      </c>
      <c r="R469" t="str">
        <f t="shared" si="31"/>
        <v>CONFORM</v>
      </c>
    </row>
    <row r="470" spans="1:18" x14ac:dyDescent="0.25">
      <c r="A470" t="s">
        <v>661</v>
      </c>
      <c r="B470" t="s">
        <v>587</v>
      </c>
      <c r="C470" t="s">
        <v>583</v>
      </c>
      <c r="D470" t="s">
        <v>2</v>
      </c>
      <c r="E470">
        <v>162</v>
      </c>
      <c r="F470">
        <v>9</v>
      </c>
      <c r="G470">
        <v>40</v>
      </c>
      <c r="H470" s="2">
        <v>50000</v>
      </c>
      <c r="I470" t="s">
        <v>87</v>
      </c>
      <c r="J470">
        <f>SUMIF('STOCK IN'!$C:$C, A470, 'STOCK IN'!$E:$E)</f>
        <v>29</v>
      </c>
      <c r="K470">
        <f>SUMIF('STOCK OUT'!$C:$C, A470, 'STOCK OUT'!$E:$E)</f>
        <v>135</v>
      </c>
      <c r="L470">
        <f t="shared" si="28"/>
        <v>56</v>
      </c>
      <c r="M470" t="str" cm="1">
        <f t="array" ref="M470">_xlfn.IFS(L470&lt;=0, "OUT OF STOCK", L470&lt;=F470, "REORDER", L470&lt;=G470, "LOW STOCK", TRUE, "IN STOCK")</f>
        <v>IN STOCK</v>
      </c>
      <c r="N470" s="2">
        <f t="shared" si="29"/>
        <v>2800000</v>
      </c>
      <c r="O470">
        <v>53</v>
      </c>
      <c r="P470">
        <f t="shared" si="30"/>
        <v>-3</v>
      </c>
      <c r="Q470" t="str">
        <f>_xlfn.XLOOKUP(A470, 'Item Master'!$B$3:$B$502, 'Item Master'!$G$3:$G$502,,0)</f>
        <v>PT Sumber Teknologi Nusantara</v>
      </c>
      <c r="R470" t="str">
        <f t="shared" si="31"/>
        <v>MINUS</v>
      </c>
    </row>
    <row r="471" spans="1:18" x14ac:dyDescent="0.25">
      <c r="A471" t="s">
        <v>662</v>
      </c>
      <c r="B471" t="s">
        <v>599</v>
      </c>
      <c r="C471" t="s">
        <v>583</v>
      </c>
      <c r="D471" t="s">
        <v>2</v>
      </c>
      <c r="E471">
        <v>230</v>
      </c>
      <c r="F471">
        <v>41</v>
      </c>
      <c r="G471">
        <v>59</v>
      </c>
      <c r="H471" s="2">
        <v>84000</v>
      </c>
      <c r="I471" t="s">
        <v>83</v>
      </c>
      <c r="J471">
        <f>SUMIF('STOCK IN'!$C:$C, A471, 'STOCK IN'!$E:$E)</f>
        <v>70</v>
      </c>
      <c r="K471">
        <f>SUMIF('STOCK OUT'!$C:$C, A471, 'STOCK OUT'!$E:$E)</f>
        <v>87</v>
      </c>
      <c r="L471">
        <f t="shared" si="28"/>
        <v>213</v>
      </c>
      <c r="M471" t="str" cm="1">
        <f t="array" ref="M471">_xlfn.IFS(L471&lt;=0, "OUT OF STOCK", L471&lt;=F471, "REORDER", L471&lt;=G471, "LOW STOCK", TRUE, "IN STOCK")</f>
        <v>IN STOCK</v>
      </c>
      <c r="N471" s="2">
        <f t="shared" si="29"/>
        <v>17892000</v>
      </c>
      <c r="O471">
        <v>211</v>
      </c>
      <c r="P471">
        <f t="shared" si="30"/>
        <v>-2</v>
      </c>
      <c r="Q471" t="str">
        <f>_xlfn.XLOOKUP(A471, 'Item Master'!$B$3:$B$502, 'Item Master'!$G$3:$G$502,,0)</f>
        <v>CV Berkah Jaya</v>
      </c>
      <c r="R471" t="str">
        <f t="shared" si="31"/>
        <v>MINUS</v>
      </c>
    </row>
    <row r="472" spans="1:18" x14ac:dyDescent="0.25">
      <c r="A472" t="s">
        <v>663</v>
      </c>
      <c r="B472" t="s">
        <v>587</v>
      </c>
      <c r="C472" t="s">
        <v>583</v>
      </c>
      <c r="D472" t="s">
        <v>2</v>
      </c>
      <c r="E472">
        <v>14</v>
      </c>
      <c r="F472">
        <v>42</v>
      </c>
      <c r="G472">
        <v>49</v>
      </c>
      <c r="H472" s="2">
        <v>14000</v>
      </c>
      <c r="I472" t="s">
        <v>464</v>
      </c>
      <c r="J472">
        <f>SUMIF('STOCK IN'!$C:$C, A472, 'STOCK IN'!$E:$E)</f>
        <v>155</v>
      </c>
      <c r="K472">
        <f>SUMIF('STOCK OUT'!$C:$C, A472, 'STOCK OUT'!$E:$E)</f>
        <v>102</v>
      </c>
      <c r="L472">
        <f t="shared" si="28"/>
        <v>67</v>
      </c>
      <c r="M472" t="str" cm="1">
        <f t="array" ref="M472">_xlfn.IFS(L472&lt;=0, "OUT OF STOCK", L472&lt;=F472, "REORDER", L472&lt;=G472, "LOW STOCK", TRUE, "IN STOCK")</f>
        <v>IN STOCK</v>
      </c>
      <c r="N472" s="2">
        <f t="shared" si="29"/>
        <v>938000</v>
      </c>
      <c r="O472">
        <v>67</v>
      </c>
      <c r="P472">
        <f t="shared" si="30"/>
        <v>0</v>
      </c>
      <c r="Q472" t="str">
        <f>_xlfn.XLOOKUP(A472, 'Item Master'!$B$3:$B$502, 'Item Master'!$G$3:$G$502,,0)</f>
        <v>PT Sumber Teknologi Nusantara</v>
      </c>
      <c r="R472" t="str">
        <f t="shared" si="31"/>
        <v>CONFORM</v>
      </c>
    </row>
    <row r="473" spans="1:18" x14ac:dyDescent="0.25">
      <c r="A473" t="s">
        <v>664</v>
      </c>
      <c r="B473" t="s">
        <v>612</v>
      </c>
      <c r="C473" t="s">
        <v>583</v>
      </c>
      <c r="D473" t="s">
        <v>2</v>
      </c>
      <c r="E473">
        <v>212</v>
      </c>
      <c r="F473">
        <v>30</v>
      </c>
      <c r="G473">
        <v>53</v>
      </c>
      <c r="H473" s="2">
        <v>15000</v>
      </c>
      <c r="I473" t="s">
        <v>265</v>
      </c>
      <c r="J473">
        <f>SUMIF('STOCK IN'!$C:$C, A473, 'STOCK IN'!$E:$E)</f>
        <v>248</v>
      </c>
      <c r="K473">
        <f>SUMIF('STOCK OUT'!$C:$C, A473, 'STOCK OUT'!$E:$E)</f>
        <v>54</v>
      </c>
      <c r="L473">
        <f t="shared" si="28"/>
        <v>406</v>
      </c>
      <c r="M473" t="str" cm="1">
        <f t="array" ref="M473">_xlfn.IFS(L473&lt;=0, "OUT OF STOCK", L473&lt;=F473, "REORDER", L473&lt;=G473, "LOW STOCK", TRUE, "IN STOCK")</f>
        <v>IN STOCK</v>
      </c>
      <c r="N473" s="2">
        <f t="shared" si="29"/>
        <v>6090000</v>
      </c>
      <c r="O473">
        <v>406</v>
      </c>
      <c r="P473">
        <f t="shared" si="30"/>
        <v>0</v>
      </c>
      <c r="Q473" t="str">
        <f>_xlfn.XLOOKUP(A473, 'Item Master'!$B$3:$B$502, 'Item Master'!$G$3:$G$502,,0)</f>
        <v>PT Cipta Sarana Niaga</v>
      </c>
      <c r="R473" t="str">
        <f t="shared" si="31"/>
        <v>CONFORM</v>
      </c>
    </row>
    <row r="474" spans="1:18" x14ac:dyDescent="0.25">
      <c r="A474" t="s">
        <v>665</v>
      </c>
      <c r="B474" t="s">
        <v>589</v>
      </c>
      <c r="C474" t="s">
        <v>583</v>
      </c>
      <c r="D474" t="s">
        <v>469</v>
      </c>
      <c r="E474">
        <v>189</v>
      </c>
      <c r="F474">
        <v>30</v>
      </c>
      <c r="G474">
        <v>47</v>
      </c>
      <c r="H474" s="2">
        <v>18000</v>
      </c>
      <c r="I474" t="s">
        <v>274</v>
      </c>
      <c r="J474">
        <f>SUMIF('STOCK IN'!$C:$C, A474, 'STOCK IN'!$E:$E)</f>
        <v>226</v>
      </c>
      <c r="K474">
        <f>SUMIF('STOCK OUT'!$C:$C, A474, 'STOCK OUT'!$E:$E)</f>
        <v>165</v>
      </c>
      <c r="L474">
        <f t="shared" si="28"/>
        <v>250</v>
      </c>
      <c r="M474" t="str" cm="1">
        <f t="array" ref="M474">_xlfn.IFS(L474&lt;=0, "OUT OF STOCK", L474&lt;=F474, "REORDER", L474&lt;=G474, "LOW STOCK", TRUE, "IN STOCK")</f>
        <v>IN STOCK</v>
      </c>
      <c r="N474" s="2">
        <f t="shared" si="29"/>
        <v>4500000</v>
      </c>
      <c r="O474">
        <v>250</v>
      </c>
      <c r="P474">
        <f t="shared" si="30"/>
        <v>0</v>
      </c>
      <c r="Q474" t="str">
        <f>_xlfn.XLOOKUP(A474, 'Item Master'!$B$3:$B$502, 'Item Master'!$G$3:$G$502,,0)</f>
        <v>PT Indo Elektrik</v>
      </c>
      <c r="R474" t="str">
        <f t="shared" si="31"/>
        <v>CONFORM</v>
      </c>
    </row>
    <row r="475" spans="1:18" x14ac:dyDescent="0.25">
      <c r="A475" t="s">
        <v>666</v>
      </c>
      <c r="B475" t="s">
        <v>599</v>
      </c>
      <c r="C475" t="s">
        <v>583</v>
      </c>
      <c r="D475" t="s">
        <v>2</v>
      </c>
      <c r="E475">
        <v>31</v>
      </c>
      <c r="F475">
        <v>24</v>
      </c>
      <c r="G475">
        <v>31</v>
      </c>
      <c r="H475" s="2">
        <v>70000</v>
      </c>
      <c r="I475" t="s">
        <v>455</v>
      </c>
      <c r="J475">
        <f>SUMIF('STOCK IN'!$C:$C, A475, 'STOCK IN'!$E:$E)</f>
        <v>105</v>
      </c>
      <c r="K475">
        <f>SUMIF('STOCK OUT'!$C:$C, A475, 'STOCK OUT'!$E:$E)</f>
        <v>46</v>
      </c>
      <c r="L475">
        <f t="shared" si="28"/>
        <v>90</v>
      </c>
      <c r="M475" t="str" cm="1">
        <f t="array" ref="M475">_xlfn.IFS(L475&lt;=0, "OUT OF STOCK", L475&lt;=F475, "REORDER", L475&lt;=G475, "LOW STOCK", TRUE, "IN STOCK")</f>
        <v>IN STOCK</v>
      </c>
      <c r="N475" s="2">
        <f t="shared" si="29"/>
        <v>6300000</v>
      </c>
      <c r="O475">
        <v>90</v>
      </c>
      <c r="P475">
        <f t="shared" si="30"/>
        <v>0</v>
      </c>
      <c r="Q475" t="str">
        <f>_xlfn.XLOOKUP(A475, 'Item Master'!$B$3:$B$502, 'Item Master'!$G$3:$G$502,,0)</f>
        <v>PT Indo Elektrik</v>
      </c>
      <c r="R475" t="str">
        <f t="shared" si="31"/>
        <v>CONFORM</v>
      </c>
    </row>
    <row r="476" spans="1:18" x14ac:dyDescent="0.25">
      <c r="A476" t="s">
        <v>667</v>
      </c>
      <c r="B476" t="s">
        <v>602</v>
      </c>
      <c r="C476" t="s">
        <v>583</v>
      </c>
      <c r="D476" t="s">
        <v>2</v>
      </c>
      <c r="E476">
        <v>110</v>
      </c>
      <c r="F476">
        <v>42</v>
      </c>
      <c r="G476">
        <v>67</v>
      </c>
      <c r="H476" s="2">
        <v>128000</v>
      </c>
      <c r="I476" t="s">
        <v>201</v>
      </c>
      <c r="J476">
        <f>SUMIF('STOCK IN'!$C:$C, A476, 'STOCK IN'!$E:$E)</f>
        <v>195</v>
      </c>
      <c r="K476">
        <f>SUMIF('STOCK OUT'!$C:$C, A476, 'STOCK OUT'!$E:$E)</f>
        <v>126</v>
      </c>
      <c r="L476">
        <f t="shared" si="28"/>
        <v>179</v>
      </c>
      <c r="M476" t="str" cm="1">
        <f t="array" ref="M476">_xlfn.IFS(L476&lt;=0, "OUT OF STOCK", L476&lt;=F476, "REORDER", L476&lt;=G476, "LOW STOCK", TRUE, "IN STOCK")</f>
        <v>IN STOCK</v>
      </c>
      <c r="N476" s="2">
        <f t="shared" si="29"/>
        <v>22912000</v>
      </c>
      <c r="O476">
        <v>176</v>
      </c>
      <c r="P476">
        <f t="shared" si="30"/>
        <v>-3</v>
      </c>
      <c r="Q476" t="str">
        <f>_xlfn.XLOOKUP(A476, 'Item Master'!$B$3:$B$502, 'Item Master'!$G$3:$G$502,,0)</f>
        <v>CV Mitra Perkasa</v>
      </c>
      <c r="R476" t="str">
        <f t="shared" si="31"/>
        <v>MINUS</v>
      </c>
    </row>
    <row r="477" spans="1:18" x14ac:dyDescent="0.25">
      <c r="A477" t="s">
        <v>668</v>
      </c>
      <c r="B477" t="s">
        <v>597</v>
      </c>
      <c r="C477" t="s">
        <v>583</v>
      </c>
      <c r="D477" t="s">
        <v>355</v>
      </c>
      <c r="E477">
        <v>72</v>
      </c>
      <c r="F477">
        <v>10</v>
      </c>
      <c r="G477">
        <v>28</v>
      </c>
      <c r="H477" s="2">
        <v>18000</v>
      </c>
      <c r="I477" t="s">
        <v>124</v>
      </c>
      <c r="J477">
        <f>SUMIF('STOCK IN'!$C:$C, A477, 'STOCK IN'!$E:$E)</f>
        <v>129</v>
      </c>
      <c r="K477">
        <f>SUMIF('STOCK OUT'!$C:$C, A477, 'STOCK OUT'!$E:$E)</f>
        <v>49</v>
      </c>
      <c r="L477">
        <f t="shared" si="28"/>
        <v>152</v>
      </c>
      <c r="M477" t="str" cm="1">
        <f t="array" ref="M477">_xlfn.IFS(L477&lt;=0, "OUT OF STOCK", L477&lt;=F477, "REORDER", L477&lt;=G477, "LOW STOCK", TRUE, "IN STOCK")</f>
        <v>IN STOCK</v>
      </c>
      <c r="N477" s="2">
        <f t="shared" si="29"/>
        <v>2736000</v>
      </c>
      <c r="O477">
        <v>152</v>
      </c>
      <c r="P477">
        <f t="shared" si="30"/>
        <v>0</v>
      </c>
      <c r="Q477" t="str">
        <f>_xlfn.XLOOKUP(A477, 'Item Master'!$B$3:$B$502, 'Item Master'!$G$3:$G$502,,0)</f>
        <v>CV Mitra Perkasa</v>
      </c>
      <c r="R477" t="str">
        <f t="shared" si="31"/>
        <v>CONFORM</v>
      </c>
    </row>
    <row r="478" spans="1:18" x14ac:dyDescent="0.25">
      <c r="A478" t="s">
        <v>669</v>
      </c>
      <c r="B478" t="s">
        <v>594</v>
      </c>
      <c r="C478" t="s">
        <v>583</v>
      </c>
      <c r="D478" t="s">
        <v>595</v>
      </c>
      <c r="E478">
        <v>89</v>
      </c>
      <c r="F478">
        <v>47</v>
      </c>
      <c r="G478">
        <v>75</v>
      </c>
      <c r="H478" s="2">
        <v>4000</v>
      </c>
      <c r="I478" t="s">
        <v>410</v>
      </c>
      <c r="J478">
        <f>SUMIF('STOCK IN'!$C:$C, A478, 'STOCK IN'!$E:$E)</f>
        <v>134</v>
      </c>
      <c r="K478">
        <f>SUMIF('STOCK OUT'!$C:$C, A478, 'STOCK OUT'!$E:$E)</f>
        <v>202</v>
      </c>
      <c r="L478">
        <f t="shared" si="28"/>
        <v>21</v>
      </c>
      <c r="M478" t="str" cm="1">
        <f t="array" ref="M478">_xlfn.IFS(L478&lt;=0, "OUT OF STOCK", L478&lt;=F478, "REORDER", L478&lt;=G478, "LOW STOCK", TRUE, "IN STOCK")</f>
        <v>REORDER</v>
      </c>
      <c r="N478" s="2">
        <f t="shared" si="29"/>
        <v>84000</v>
      </c>
      <c r="O478">
        <v>22</v>
      </c>
      <c r="P478">
        <f t="shared" si="30"/>
        <v>1</v>
      </c>
      <c r="Q478" t="str">
        <f>_xlfn.XLOOKUP(A478, 'Item Master'!$B$3:$B$502, 'Item Master'!$G$3:$G$502,,0)</f>
        <v>PT Sentosa Distribusi</v>
      </c>
      <c r="R478" t="str">
        <f t="shared" si="31"/>
        <v>SURPLUS</v>
      </c>
    </row>
    <row r="479" spans="1:18" x14ac:dyDescent="0.25">
      <c r="A479" t="s">
        <v>670</v>
      </c>
      <c r="B479" t="s">
        <v>599</v>
      </c>
      <c r="C479" t="s">
        <v>583</v>
      </c>
      <c r="D479" t="s">
        <v>2</v>
      </c>
      <c r="E479">
        <v>12</v>
      </c>
      <c r="F479">
        <v>15</v>
      </c>
      <c r="G479">
        <v>35</v>
      </c>
      <c r="H479" s="2">
        <v>124000</v>
      </c>
      <c r="I479" t="s">
        <v>93</v>
      </c>
      <c r="J479">
        <f>SUMIF('STOCK IN'!$C:$C, A479, 'STOCK IN'!$E:$E)</f>
        <v>173</v>
      </c>
      <c r="K479">
        <f>SUMIF('STOCK OUT'!$C:$C, A479, 'STOCK OUT'!$E:$E)</f>
        <v>162</v>
      </c>
      <c r="L479">
        <f t="shared" si="28"/>
        <v>23</v>
      </c>
      <c r="M479" t="str" cm="1">
        <f t="array" ref="M479">_xlfn.IFS(L479&lt;=0, "OUT OF STOCK", L479&lt;=F479, "REORDER", L479&lt;=G479, "LOW STOCK", TRUE, "IN STOCK")</f>
        <v>LOW STOCK</v>
      </c>
      <c r="N479" s="2">
        <f t="shared" si="29"/>
        <v>2852000</v>
      </c>
      <c r="O479">
        <v>26</v>
      </c>
      <c r="P479">
        <f t="shared" si="30"/>
        <v>3</v>
      </c>
      <c r="Q479" t="str">
        <f>_xlfn.XLOOKUP(A479, 'Item Master'!$B$3:$B$502, 'Item Master'!$G$3:$G$502,,0)</f>
        <v>CV Berkah Jaya</v>
      </c>
      <c r="R479" t="str">
        <f t="shared" si="31"/>
        <v>SURPLUS</v>
      </c>
    </row>
    <row r="480" spans="1:18" x14ac:dyDescent="0.25">
      <c r="A480" t="s">
        <v>671</v>
      </c>
      <c r="B480" t="s">
        <v>629</v>
      </c>
      <c r="C480" t="s">
        <v>583</v>
      </c>
      <c r="D480" t="s">
        <v>355</v>
      </c>
      <c r="E480">
        <v>105</v>
      </c>
      <c r="F480">
        <v>13</v>
      </c>
      <c r="G480">
        <v>41</v>
      </c>
      <c r="H480" s="2">
        <v>25000</v>
      </c>
      <c r="I480" t="s">
        <v>89</v>
      </c>
      <c r="J480">
        <f>SUMIF('STOCK IN'!$C:$C, A480, 'STOCK IN'!$E:$E)</f>
        <v>61</v>
      </c>
      <c r="K480">
        <f>SUMIF('STOCK OUT'!$C:$C, A480, 'STOCK OUT'!$E:$E)</f>
        <v>230</v>
      </c>
      <c r="L480">
        <f t="shared" si="28"/>
        <v>-64</v>
      </c>
      <c r="M480" t="str" cm="1">
        <f t="array" ref="M480">_xlfn.IFS(L480&lt;=0, "OUT OF STOCK", L480&lt;=F480, "REORDER", L480&lt;=G480, "LOW STOCK", TRUE, "IN STOCK")</f>
        <v>OUT OF STOCK</v>
      </c>
      <c r="N480" s="2">
        <f t="shared" si="29"/>
        <v>-1600000</v>
      </c>
      <c r="O480">
        <v>0</v>
      </c>
      <c r="P480">
        <f t="shared" si="30"/>
        <v>0</v>
      </c>
      <c r="Q480" t="str">
        <f>_xlfn.XLOOKUP(A480, 'Item Master'!$B$3:$B$502, 'Item Master'!$G$3:$G$502,,0)</f>
        <v>PT Cipta Sarana Niaga</v>
      </c>
      <c r="R480" t="str">
        <f t="shared" si="31"/>
        <v>CONFORM</v>
      </c>
    </row>
    <row r="481" spans="1:18" x14ac:dyDescent="0.25">
      <c r="A481" t="s">
        <v>672</v>
      </c>
      <c r="B481" t="s">
        <v>612</v>
      </c>
      <c r="C481" t="s">
        <v>583</v>
      </c>
      <c r="D481" t="s">
        <v>2</v>
      </c>
      <c r="E481">
        <v>216</v>
      </c>
      <c r="F481">
        <v>32</v>
      </c>
      <c r="G481">
        <v>54</v>
      </c>
      <c r="H481" s="2">
        <v>33000</v>
      </c>
      <c r="I481" t="s">
        <v>147</v>
      </c>
      <c r="J481">
        <f>SUMIF('STOCK IN'!$C:$C, A481, 'STOCK IN'!$E:$E)</f>
        <v>113</v>
      </c>
      <c r="K481">
        <f>SUMIF('STOCK OUT'!$C:$C, A481, 'STOCK OUT'!$E:$E)</f>
        <v>145</v>
      </c>
      <c r="L481">
        <f t="shared" si="28"/>
        <v>184</v>
      </c>
      <c r="M481" t="str" cm="1">
        <f t="array" ref="M481">_xlfn.IFS(L481&lt;=0, "OUT OF STOCK", L481&lt;=F481, "REORDER", L481&lt;=G481, "LOW STOCK", TRUE, "IN STOCK")</f>
        <v>IN STOCK</v>
      </c>
      <c r="N481" s="2">
        <f t="shared" si="29"/>
        <v>6072000</v>
      </c>
      <c r="O481">
        <v>187</v>
      </c>
      <c r="P481">
        <f t="shared" si="30"/>
        <v>3</v>
      </c>
      <c r="Q481" t="str">
        <f>_xlfn.XLOOKUP(A481, 'Item Master'!$B$3:$B$502, 'Item Master'!$G$3:$G$502,,0)</f>
        <v>PT Indo Elektrik</v>
      </c>
      <c r="R481" t="str">
        <f t="shared" si="31"/>
        <v>SURPLUS</v>
      </c>
    </row>
    <row r="482" spans="1:18" x14ac:dyDescent="0.25">
      <c r="A482" t="s">
        <v>673</v>
      </c>
      <c r="B482" t="s">
        <v>594</v>
      </c>
      <c r="C482" t="s">
        <v>583</v>
      </c>
      <c r="D482" t="s">
        <v>595</v>
      </c>
      <c r="E482">
        <v>29</v>
      </c>
      <c r="F482">
        <v>36</v>
      </c>
      <c r="G482">
        <v>55</v>
      </c>
      <c r="H482" s="2">
        <v>14000</v>
      </c>
      <c r="I482" t="s">
        <v>87</v>
      </c>
      <c r="J482">
        <f>SUMIF('STOCK IN'!$C:$C, A482, 'STOCK IN'!$E:$E)</f>
        <v>87</v>
      </c>
      <c r="K482">
        <f>SUMIF('STOCK OUT'!$C:$C, A482, 'STOCK OUT'!$E:$E)</f>
        <v>0</v>
      </c>
      <c r="L482">
        <f t="shared" si="28"/>
        <v>116</v>
      </c>
      <c r="M482" t="str" cm="1">
        <f t="array" ref="M482">_xlfn.IFS(L482&lt;=0, "OUT OF STOCK", L482&lt;=F482, "REORDER", L482&lt;=G482, "LOW STOCK", TRUE, "IN STOCK")</f>
        <v>IN STOCK</v>
      </c>
      <c r="N482" s="2">
        <f t="shared" si="29"/>
        <v>1624000</v>
      </c>
      <c r="O482">
        <v>116</v>
      </c>
      <c r="P482">
        <f t="shared" si="30"/>
        <v>0</v>
      </c>
      <c r="Q482" t="str">
        <f>_xlfn.XLOOKUP(A482, 'Item Master'!$B$3:$B$502, 'Item Master'!$G$3:$G$502,,0)</f>
        <v>PT Indo Elektrik</v>
      </c>
      <c r="R482" t="str">
        <f t="shared" si="31"/>
        <v>CONFORM</v>
      </c>
    </row>
    <row r="483" spans="1:18" x14ac:dyDescent="0.25">
      <c r="A483" t="s">
        <v>674</v>
      </c>
      <c r="B483" t="s">
        <v>587</v>
      </c>
      <c r="C483" t="s">
        <v>583</v>
      </c>
      <c r="D483" t="s">
        <v>2</v>
      </c>
      <c r="E483">
        <v>52</v>
      </c>
      <c r="F483">
        <v>28</v>
      </c>
      <c r="G483">
        <v>38</v>
      </c>
      <c r="H483" s="2">
        <v>46000</v>
      </c>
      <c r="I483" t="s">
        <v>75</v>
      </c>
      <c r="J483">
        <f>SUMIF('STOCK IN'!$C:$C, A483, 'STOCK IN'!$E:$E)</f>
        <v>52</v>
      </c>
      <c r="K483">
        <f>SUMIF('STOCK OUT'!$C:$C, A483, 'STOCK OUT'!$E:$E)</f>
        <v>174</v>
      </c>
      <c r="L483">
        <f t="shared" si="28"/>
        <v>-70</v>
      </c>
      <c r="M483" t="str" cm="1">
        <f t="array" ref="M483">_xlfn.IFS(L483&lt;=0, "OUT OF STOCK", L483&lt;=F483, "REORDER", L483&lt;=G483, "LOW STOCK", TRUE, "IN STOCK")</f>
        <v>OUT OF STOCK</v>
      </c>
      <c r="N483" s="2">
        <f t="shared" si="29"/>
        <v>-3220000</v>
      </c>
      <c r="O483">
        <v>0</v>
      </c>
      <c r="P483">
        <f t="shared" si="30"/>
        <v>0</v>
      </c>
      <c r="Q483" t="str">
        <f>_xlfn.XLOOKUP(A483, 'Item Master'!$B$3:$B$502, 'Item Master'!$G$3:$G$502,,0)</f>
        <v>PT Cipta Sarana Niaga</v>
      </c>
      <c r="R483" t="str">
        <f t="shared" si="31"/>
        <v>CONFORM</v>
      </c>
    </row>
    <row r="484" spans="1:18" x14ac:dyDescent="0.25">
      <c r="A484" t="s">
        <v>675</v>
      </c>
      <c r="B484" t="s">
        <v>594</v>
      </c>
      <c r="C484" t="s">
        <v>583</v>
      </c>
      <c r="D484" t="s">
        <v>595</v>
      </c>
      <c r="E484">
        <v>195</v>
      </c>
      <c r="F484">
        <v>12</v>
      </c>
      <c r="G484">
        <v>48</v>
      </c>
      <c r="H484" s="2">
        <v>14000</v>
      </c>
      <c r="I484" t="s">
        <v>361</v>
      </c>
      <c r="J484">
        <f>SUMIF('STOCK IN'!$C:$C, A484, 'STOCK IN'!$E:$E)</f>
        <v>46</v>
      </c>
      <c r="K484">
        <f>SUMIF('STOCK OUT'!$C:$C, A484, 'STOCK OUT'!$E:$E)</f>
        <v>86</v>
      </c>
      <c r="L484">
        <f t="shared" si="28"/>
        <v>155</v>
      </c>
      <c r="M484" t="str" cm="1">
        <f t="array" ref="M484">_xlfn.IFS(L484&lt;=0, "OUT OF STOCK", L484&lt;=F484, "REORDER", L484&lt;=G484, "LOW STOCK", TRUE, "IN STOCK")</f>
        <v>IN STOCK</v>
      </c>
      <c r="N484" s="2">
        <f t="shared" si="29"/>
        <v>2170000</v>
      </c>
      <c r="O484">
        <v>155</v>
      </c>
      <c r="P484">
        <f t="shared" si="30"/>
        <v>0</v>
      </c>
      <c r="Q484" t="str">
        <f>_xlfn.XLOOKUP(A484, 'Item Master'!$B$3:$B$502, 'Item Master'!$G$3:$G$502,,0)</f>
        <v>PT Indo Elektrik</v>
      </c>
      <c r="R484" t="str">
        <f t="shared" si="31"/>
        <v>CONFORM</v>
      </c>
    </row>
    <row r="485" spans="1:18" x14ac:dyDescent="0.25">
      <c r="A485" t="s">
        <v>676</v>
      </c>
      <c r="B485" t="s">
        <v>612</v>
      </c>
      <c r="C485" t="s">
        <v>583</v>
      </c>
      <c r="D485" t="s">
        <v>2</v>
      </c>
      <c r="E485">
        <v>21</v>
      </c>
      <c r="F485">
        <v>35</v>
      </c>
      <c r="G485">
        <v>51</v>
      </c>
      <c r="H485" s="2">
        <v>27000</v>
      </c>
      <c r="I485" t="s">
        <v>677</v>
      </c>
      <c r="J485">
        <f>SUMIF('STOCK IN'!$C:$C, A485, 'STOCK IN'!$E:$E)</f>
        <v>134</v>
      </c>
      <c r="K485">
        <f>SUMIF('STOCK OUT'!$C:$C, A485, 'STOCK OUT'!$E:$E)</f>
        <v>24</v>
      </c>
      <c r="L485">
        <f t="shared" si="28"/>
        <v>131</v>
      </c>
      <c r="M485" t="str" cm="1">
        <f t="array" ref="M485">_xlfn.IFS(L485&lt;=0, "OUT OF STOCK", L485&lt;=F485, "REORDER", L485&lt;=G485, "LOW STOCK", TRUE, "IN STOCK")</f>
        <v>IN STOCK</v>
      </c>
      <c r="N485" s="2">
        <f t="shared" si="29"/>
        <v>3537000</v>
      </c>
      <c r="O485">
        <v>131</v>
      </c>
      <c r="P485">
        <f t="shared" si="30"/>
        <v>0</v>
      </c>
      <c r="Q485" t="str">
        <f>_xlfn.XLOOKUP(A485, 'Item Master'!$B$3:$B$502, 'Item Master'!$G$3:$G$502,,0)</f>
        <v>PT Global Office Supply</v>
      </c>
      <c r="R485" t="str">
        <f t="shared" si="31"/>
        <v>CONFORM</v>
      </c>
    </row>
    <row r="486" spans="1:18" x14ac:dyDescent="0.25">
      <c r="A486" t="s">
        <v>678</v>
      </c>
      <c r="B486" t="s">
        <v>612</v>
      </c>
      <c r="C486" t="s">
        <v>583</v>
      </c>
      <c r="D486" t="s">
        <v>2</v>
      </c>
      <c r="E486">
        <v>215</v>
      </c>
      <c r="F486">
        <v>50</v>
      </c>
      <c r="G486">
        <v>78</v>
      </c>
      <c r="H486" s="2">
        <v>47000</v>
      </c>
      <c r="I486" t="s">
        <v>242</v>
      </c>
      <c r="J486">
        <f>SUMIF('STOCK IN'!$C:$C, A486, 'STOCK IN'!$E:$E)</f>
        <v>2</v>
      </c>
      <c r="K486">
        <f>SUMIF('STOCK OUT'!$C:$C, A486, 'STOCK OUT'!$E:$E)</f>
        <v>204</v>
      </c>
      <c r="L486">
        <f t="shared" si="28"/>
        <v>13</v>
      </c>
      <c r="M486" t="str" cm="1">
        <f t="array" ref="M486">_xlfn.IFS(L486&lt;=0, "OUT OF STOCK", L486&lt;=F486, "REORDER", L486&lt;=G486, "LOW STOCK", TRUE, "IN STOCK")</f>
        <v>REORDER</v>
      </c>
      <c r="N486" s="2">
        <f t="shared" si="29"/>
        <v>611000</v>
      </c>
      <c r="O486">
        <v>13</v>
      </c>
      <c r="P486">
        <f t="shared" si="30"/>
        <v>0</v>
      </c>
      <c r="Q486" t="str">
        <f>_xlfn.XLOOKUP(A486, 'Item Master'!$B$3:$B$502, 'Item Master'!$G$3:$G$502,,0)</f>
        <v>PT Global Office Supply</v>
      </c>
      <c r="R486" t="str">
        <f t="shared" si="31"/>
        <v>CONFORM</v>
      </c>
    </row>
    <row r="487" spans="1:18" x14ac:dyDescent="0.25">
      <c r="A487" t="s">
        <v>679</v>
      </c>
      <c r="B487" t="s">
        <v>597</v>
      </c>
      <c r="C487" t="s">
        <v>583</v>
      </c>
      <c r="D487" t="s">
        <v>355</v>
      </c>
      <c r="E487">
        <v>244</v>
      </c>
      <c r="F487">
        <v>25</v>
      </c>
      <c r="G487">
        <v>61</v>
      </c>
      <c r="H487" s="2">
        <v>41000</v>
      </c>
      <c r="I487" t="s">
        <v>368</v>
      </c>
      <c r="J487">
        <f>SUMIF('STOCK IN'!$C:$C, A487, 'STOCK IN'!$E:$E)</f>
        <v>150</v>
      </c>
      <c r="K487">
        <f>SUMIF('STOCK OUT'!$C:$C, A487, 'STOCK OUT'!$E:$E)</f>
        <v>83</v>
      </c>
      <c r="L487">
        <f t="shared" si="28"/>
        <v>311</v>
      </c>
      <c r="M487" t="str" cm="1">
        <f t="array" ref="M487">_xlfn.IFS(L487&lt;=0, "OUT OF STOCK", L487&lt;=F487, "REORDER", L487&lt;=G487, "LOW STOCK", TRUE, "IN STOCK")</f>
        <v>IN STOCK</v>
      </c>
      <c r="N487" s="2">
        <f t="shared" si="29"/>
        <v>12751000</v>
      </c>
      <c r="O487">
        <v>310</v>
      </c>
      <c r="P487">
        <f t="shared" si="30"/>
        <v>-1</v>
      </c>
      <c r="Q487" t="str">
        <f>_xlfn.XLOOKUP(A487, 'Item Master'!$B$3:$B$502, 'Item Master'!$G$3:$G$502,,0)</f>
        <v>CV Mitra Perkasa</v>
      </c>
      <c r="R487" t="str">
        <f t="shared" si="31"/>
        <v>MINUS</v>
      </c>
    </row>
    <row r="488" spans="1:18" x14ac:dyDescent="0.25">
      <c r="A488" t="s">
        <v>680</v>
      </c>
      <c r="B488" t="s">
        <v>582</v>
      </c>
      <c r="C488" t="s">
        <v>583</v>
      </c>
      <c r="D488" t="s">
        <v>2</v>
      </c>
      <c r="E488">
        <v>182</v>
      </c>
      <c r="F488">
        <v>8</v>
      </c>
      <c r="G488">
        <v>45</v>
      </c>
      <c r="H488" s="2">
        <v>173000</v>
      </c>
      <c r="I488" t="s">
        <v>93</v>
      </c>
      <c r="J488">
        <f>SUMIF('STOCK IN'!$C:$C, A488, 'STOCK IN'!$E:$E)</f>
        <v>73</v>
      </c>
      <c r="K488">
        <f>SUMIF('STOCK OUT'!$C:$C, A488, 'STOCK OUT'!$E:$E)</f>
        <v>166</v>
      </c>
      <c r="L488">
        <f t="shared" si="28"/>
        <v>89</v>
      </c>
      <c r="M488" t="str" cm="1">
        <f t="array" ref="M488">_xlfn.IFS(L488&lt;=0, "OUT OF STOCK", L488&lt;=F488, "REORDER", L488&lt;=G488, "LOW STOCK", TRUE, "IN STOCK")</f>
        <v>IN STOCK</v>
      </c>
      <c r="N488" s="2">
        <f t="shared" si="29"/>
        <v>15397000</v>
      </c>
      <c r="O488">
        <v>89</v>
      </c>
      <c r="P488">
        <f t="shared" si="30"/>
        <v>0</v>
      </c>
      <c r="Q488" t="str">
        <f>_xlfn.XLOOKUP(A488, 'Item Master'!$B$3:$B$502, 'Item Master'!$G$3:$G$502,,0)</f>
        <v>CV Prima Logistik</v>
      </c>
      <c r="R488" t="str">
        <f t="shared" si="31"/>
        <v>CONFORM</v>
      </c>
    </row>
    <row r="489" spans="1:18" x14ac:dyDescent="0.25">
      <c r="A489" t="s">
        <v>681</v>
      </c>
      <c r="B489" t="s">
        <v>589</v>
      </c>
      <c r="C489" t="s">
        <v>583</v>
      </c>
      <c r="D489" t="s">
        <v>469</v>
      </c>
      <c r="E489">
        <v>234</v>
      </c>
      <c r="F489">
        <v>34</v>
      </c>
      <c r="G489">
        <v>58</v>
      </c>
      <c r="H489" s="2">
        <v>7000</v>
      </c>
      <c r="I489" t="s">
        <v>259</v>
      </c>
      <c r="J489">
        <f>SUMIF('STOCK IN'!$C:$C, A489, 'STOCK IN'!$E:$E)</f>
        <v>187</v>
      </c>
      <c r="K489">
        <f>SUMIF('STOCK OUT'!$C:$C, A489, 'STOCK OUT'!$E:$E)</f>
        <v>258</v>
      </c>
      <c r="L489">
        <f t="shared" si="28"/>
        <v>163</v>
      </c>
      <c r="M489" t="str" cm="1">
        <f t="array" ref="M489">_xlfn.IFS(L489&lt;=0, "OUT OF STOCK", L489&lt;=F489, "REORDER", L489&lt;=G489, "LOW STOCK", TRUE, "IN STOCK")</f>
        <v>IN STOCK</v>
      </c>
      <c r="N489" s="2">
        <f t="shared" si="29"/>
        <v>1141000</v>
      </c>
      <c r="O489">
        <v>163</v>
      </c>
      <c r="P489">
        <f t="shared" si="30"/>
        <v>0</v>
      </c>
      <c r="Q489" t="str">
        <f>_xlfn.XLOOKUP(A489, 'Item Master'!$B$3:$B$502, 'Item Master'!$G$3:$G$502,,0)</f>
        <v>PT Cipta Sarana Niaga</v>
      </c>
      <c r="R489" t="str">
        <f t="shared" si="31"/>
        <v>CONFORM</v>
      </c>
    </row>
    <row r="490" spans="1:18" x14ac:dyDescent="0.25">
      <c r="A490" t="s">
        <v>682</v>
      </c>
      <c r="B490" t="s">
        <v>602</v>
      </c>
      <c r="C490" t="s">
        <v>583</v>
      </c>
      <c r="D490" t="s">
        <v>2</v>
      </c>
      <c r="E490">
        <v>12</v>
      </c>
      <c r="F490">
        <v>28</v>
      </c>
      <c r="G490">
        <v>39</v>
      </c>
      <c r="H490" s="2">
        <v>161000</v>
      </c>
      <c r="I490" t="s">
        <v>287</v>
      </c>
      <c r="J490">
        <f>SUMIF('STOCK IN'!$C:$C, A490, 'STOCK IN'!$E:$E)</f>
        <v>63</v>
      </c>
      <c r="K490">
        <f>SUMIF('STOCK OUT'!$C:$C, A490, 'STOCK OUT'!$E:$E)</f>
        <v>62</v>
      </c>
      <c r="L490">
        <f t="shared" si="28"/>
        <v>13</v>
      </c>
      <c r="M490" t="str" cm="1">
        <f t="array" ref="M490">_xlfn.IFS(L490&lt;=0, "OUT OF STOCK", L490&lt;=F490, "REORDER", L490&lt;=G490, "LOW STOCK", TRUE, "IN STOCK")</f>
        <v>REORDER</v>
      </c>
      <c r="N490" s="2">
        <f t="shared" si="29"/>
        <v>2093000</v>
      </c>
      <c r="O490">
        <v>14</v>
      </c>
      <c r="P490">
        <f t="shared" si="30"/>
        <v>1</v>
      </c>
      <c r="Q490" t="str">
        <f>_xlfn.XLOOKUP(A490, 'Item Master'!$B$3:$B$502, 'Item Master'!$G$3:$G$502,,0)</f>
        <v>PT Cipta Sarana Niaga</v>
      </c>
      <c r="R490" t="str">
        <f t="shared" si="31"/>
        <v>SURPLUS</v>
      </c>
    </row>
    <row r="491" spans="1:18" x14ac:dyDescent="0.25">
      <c r="A491" t="s">
        <v>683</v>
      </c>
      <c r="B491" t="s">
        <v>594</v>
      </c>
      <c r="C491" t="s">
        <v>583</v>
      </c>
      <c r="D491" t="s">
        <v>595</v>
      </c>
      <c r="E491">
        <v>128</v>
      </c>
      <c r="F491">
        <v>28</v>
      </c>
      <c r="G491">
        <v>51</v>
      </c>
      <c r="H491" s="2">
        <v>7000</v>
      </c>
      <c r="I491" t="s">
        <v>75</v>
      </c>
      <c r="J491">
        <f>SUMIF('STOCK IN'!$C:$C, A491, 'STOCK IN'!$E:$E)</f>
        <v>134</v>
      </c>
      <c r="K491">
        <f>SUMIF('STOCK OUT'!$C:$C, A491, 'STOCK OUT'!$E:$E)</f>
        <v>182</v>
      </c>
      <c r="L491">
        <f t="shared" si="28"/>
        <v>80</v>
      </c>
      <c r="M491" t="str" cm="1">
        <f t="array" ref="M491">_xlfn.IFS(L491&lt;=0, "OUT OF STOCK", L491&lt;=F491, "REORDER", L491&lt;=G491, "LOW STOCK", TRUE, "IN STOCK")</f>
        <v>IN STOCK</v>
      </c>
      <c r="N491" s="2">
        <f t="shared" si="29"/>
        <v>560000</v>
      </c>
      <c r="O491">
        <v>79</v>
      </c>
      <c r="P491">
        <f t="shared" si="30"/>
        <v>-1</v>
      </c>
      <c r="Q491" t="str">
        <f>_xlfn.XLOOKUP(A491, 'Item Master'!$B$3:$B$502, 'Item Master'!$G$3:$G$502,,0)</f>
        <v>CV Karya Mandiri</v>
      </c>
      <c r="R491" t="str">
        <f t="shared" si="31"/>
        <v>MINUS</v>
      </c>
    </row>
    <row r="492" spans="1:18" x14ac:dyDescent="0.25">
      <c r="A492" t="s">
        <v>684</v>
      </c>
      <c r="B492" t="s">
        <v>602</v>
      </c>
      <c r="C492" t="s">
        <v>583</v>
      </c>
      <c r="D492" t="s">
        <v>2</v>
      </c>
      <c r="E492">
        <v>213</v>
      </c>
      <c r="F492">
        <v>20</v>
      </c>
      <c r="G492">
        <v>53</v>
      </c>
      <c r="H492" s="2">
        <v>239000</v>
      </c>
      <c r="I492" t="s">
        <v>142</v>
      </c>
      <c r="J492">
        <f>SUMIF('STOCK IN'!$C:$C, A492, 'STOCK IN'!$E:$E)</f>
        <v>211</v>
      </c>
      <c r="K492">
        <f>SUMIF('STOCK OUT'!$C:$C, A492, 'STOCK OUT'!$E:$E)</f>
        <v>52</v>
      </c>
      <c r="L492">
        <f t="shared" si="28"/>
        <v>372</v>
      </c>
      <c r="M492" t="str" cm="1">
        <f t="array" ref="M492">_xlfn.IFS(L492&lt;=0, "OUT OF STOCK", L492&lt;=F492, "REORDER", L492&lt;=G492, "LOW STOCK", TRUE, "IN STOCK")</f>
        <v>IN STOCK</v>
      </c>
      <c r="N492" s="2">
        <f t="shared" si="29"/>
        <v>88908000</v>
      </c>
      <c r="O492">
        <v>373</v>
      </c>
      <c r="P492">
        <f t="shared" si="30"/>
        <v>1</v>
      </c>
      <c r="Q492" t="str">
        <f>_xlfn.XLOOKUP(A492, 'Item Master'!$B$3:$B$502, 'Item Master'!$G$3:$G$502,,0)</f>
        <v>PT Sumber Teknologi Nusantara</v>
      </c>
      <c r="R492" t="str">
        <f t="shared" si="31"/>
        <v>SURPLUS</v>
      </c>
    </row>
    <row r="493" spans="1:18" x14ac:dyDescent="0.25">
      <c r="A493" t="s">
        <v>685</v>
      </c>
      <c r="B493" t="s">
        <v>597</v>
      </c>
      <c r="C493" t="s">
        <v>583</v>
      </c>
      <c r="D493" t="s">
        <v>355</v>
      </c>
      <c r="E493">
        <v>98</v>
      </c>
      <c r="F493">
        <v>45</v>
      </c>
      <c r="G493">
        <v>72</v>
      </c>
      <c r="H493" s="2">
        <v>49000</v>
      </c>
      <c r="I493" t="s">
        <v>166</v>
      </c>
      <c r="J493">
        <f>SUMIF('STOCK IN'!$C:$C, A493, 'STOCK IN'!$E:$E)</f>
        <v>132</v>
      </c>
      <c r="K493">
        <f>SUMIF('STOCK OUT'!$C:$C, A493, 'STOCK OUT'!$E:$E)</f>
        <v>115</v>
      </c>
      <c r="L493">
        <f t="shared" si="28"/>
        <v>115</v>
      </c>
      <c r="M493" t="str" cm="1">
        <f t="array" ref="M493">_xlfn.IFS(L493&lt;=0, "OUT OF STOCK", L493&lt;=F493, "REORDER", L493&lt;=G493, "LOW STOCK", TRUE, "IN STOCK")</f>
        <v>IN STOCK</v>
      </c>
      <c r="N493" s="2">
        <f t="shared" si="29"/>
        <v>5635000</v>
      </c>
      <c r="O493">
        <v>114</v>
      </c>
      <c r="P493">
        <f t="shared" si="30"/>
        <v>-1</v>
      </c>
      <c r="Q493" t="str">
        <f>_xlfn.XLOOKUP(A493, 'Item Master'!$B$3:$B$502, 'Item Master'!$G$3:$G$502,,0)</f>
        <v>PT Sumber Teknologi Nusantara</v>
      </c>
      <c r="R493" t="str">
        <f t="shared" si="31"/>
        <v>MINUS</v>
      </c>
    </row>
    <row r="494" spans="1:18" x14ac:dyDescent="0.25">
      <c r="A494" t="s">
        <v>686</v>
      </c>
      <c r="B494" t="s">
        <v>589</v>
      </c>
      <c r="C494" t="s">
        <v>583</v>
      </c>
      <c r="D494" t="s">
        <v>469</v>
      </c>
      <c r="E494">
        <v>36</v>
      </c>
      <c r="F494">
        <v>18</v>
      </c>
      <c r="G494">
        <v>39</v>
      </c>
      <c r="H494" s="2">
        <v>14000</v>
      </c>
      <c r="I494" t="s">
        <v>185</v>
      </c>
      <c r="J494">
        <f>SUMIF('STOCK IN'!$C:$C, A494, 'STOCK IN'!$E:$E)</f>
        <v>247</v>
      </c>
      <c r="K494">
        <f>SUMIF('STOCK OUT'!$C:$C, A494, 'STOCK OUT'!$E:$E)</f>
        <v>9</v>
      </c>
      <c r="L494">
        <f t="shared" si="28"/>
        <v>274</v>
      </c>
      <c r="M494" t="str" cm="1">
        <f t="array" ref="M494">_xlfn.IFS(L494&lt;=0, "OUT OF STOCK", L494&lt;=F494, "REORDER", L494&lt;=G494, "LOW STOCK", TRUE, "IN STOCK")</f>
        <v>IN STOCK</v>
      </c>
      <c r="N494" s="2">
        <f t="shared" si="29"/>
        <v>3836000</v>
      </c>
      <c r="O494">
        <v>271</v>
      </c>
      <c r="P494">
        <f t="shared" si="30"/>
        <v>-3</v>
      </c>
      <c r="Q494" t="str">
        <f>_xlfn.XLOOKUP(A494, 'Item Master'!$B$3:$B$502, 'Item Master'!$G$3:$G$502,,0)</f>
        <v>CV Prima Logistik</v>
      </c>
      <c r="R494" t="str">
        <f t="shared" si="31"/>
        <v>MINUS</v>
      </c>
    </row>
    <row r="495" spans="1:18" x14ac:dyDescent="0.25">
      <c r="A495" t="s">
        <v>687</v>
      </c>
      <c r="B495" t="s">
        <v>612</v>
      </c>
      <c r="C495" t="s">
        <v>583</v>
      </c>
      <c r="D495" t="s">
        <v>2</v>
      </c>
      <c r="E495">
        <v>192</v>
      </c>
      <c r="F495">
        <v>22</v>
      </c>
      <c r="G495">
        <v>48</v>
      </c>
      <c r="H495" s="2">
        <v>21000</v>
      </c>
      <c r="I495" t="s">
        <v>59</v>
      </c>
      <c r="J495">
        <f>SUMIF('STOCK IN'!$C:$C, A495, 'STOCK IN'!$E:$E)</f>
        <v>106</v>
      </c>
      <c r="K495">
        <f>SUMIF('STOCK OUT'!$C:$C, A495, 'STOCK OUT'!$E:$E)</f>
        <v>123</v>
      </c>
      <c r="L495">
        <f t="shared" si="28"/>
        <v>175</v>
      </c>
      <c r="M495" t="str" cm="1">
        <f t="array" ref="M495">_xlfn.IFS(L495&lt;=0, "OUT OF STOCK", L495&lt;=F495, "REORDER", L495&lt;=G495, "LOW STOCK", TRUE, "IN STOCK")</f>
        <v>IN STOCK</v>
      </c>
      <c r="N495" s="2">
        <f t="shared" si="29"/>
        <v>3675000</v>
      </c>
      <c r="O495">
        <v>178</v>
      </c>
      <c r="P495">
        <f t="shared" si="30"/>
        <v>3</v>
      </c>
      <c r="Q495" t="str">
        <f>_xlfn.XLOOKUP(A495, 'Item Master'!$B$3:$B$502, 'Item Master'!$G$3:$G$502,,0)</f>
        <v>PT Sumber Teknologi Nusantara</v>
      </c>
      <c r="R495" t="str">
        <f t="shared" si="31"/>
        <v>SURPLUS</v>
      </c>
    </row>
    <row r="496" spans="1:18" x14ac:dyDescent="0.25">
      <c r="A496" t="s">
        <v>688</v>
      </c>
      <c r="B496" t="s">
        <v>589</v>
      </c>
      <c r="C496" t="s">
        <v>583</v>
      </c>
      <c r="D496" t="s">
        <v>469</v>
      </c>
      <c r="E496">
        <v>127</v>
      </c>
      <c r="F496">
        <v>10</v>
      </c>
      <c r="G496">
        <v>33</v>
      </c>
      <c r="H496" s="2">
        <v>16000</v>
      </c>
      <c r="I496" t="s">
        <v>133</v>
      </c>
      <c r="J496">
        <f>SUMIF('STOCK IN'!$C:$C, A496, 'STOCK IN'!$E:$E)</f>
        <v>170</v>
      </c>
      <c r="K496">
        <f>SUMIF('STOCK OUT'!$C:$C, A496, 'STOCK OUT'!$E:$E)</f>
        <v>70</v>
      </c>
      <c r="L496">
        <f t="shared" si="28"/>
        <v>227</v>
      </c>
      <c r="M496" t="str" cm="1">
        <f t="array" ref="M496">_xlfn.IFS(L496&lt;=0, "OUT OF STOCK", L496&lt;=F496, "REORDER", L496&lt;=G496, "LOW STOCK", TRUE, "IN STOCK")</f>
        <v>IN STOCK</v>
      </c>
      <c r="N496" s="2">
        <f t="shared" si="29"/>
        <v>3632000</v>
      </c>
      <c r="O496">
        <v>224</v>
      </c>
      <c r="P496">
        <f t="shared" si="30"/>
        <v>-3</v>
      </c>
      <c r="Q496" t="str">
        <f>_xlfn.XLOOKUP(A496, 'Item Master'!$B$3:$B$502, 'Item Master'!$G$3:$G$502,,0)</f>
        <v>CV Mitra Perkasa</v>
      </c>
      <c r="R496" t="str">
        <f t="shared" si="31"/>
        <v>MINUS</v>
      </c>
    </row>
    <row r="497" spans="1:18" x14ac:dyDescent="0.25">
      <c r="A497" t="s">
        <v>689</v>
      </c>
      <c r="B497" t="s">
        <v>589</v>
      </c>
      <c r="C497" t="s">
        <v>583</v>
      </c>
      <c r="D497" t="s">
        <v>469</v>
      </c>
      <c r="E497">
        <v>161</v>
      </c>
      <c r="F497">
        <v>41</v>
      </c>
      <c r="G497">
        <v>47</v>
      </c>
      <c r="H497" s="2">
        <v>7000</v>
      </c>
      <c r="I497" t="s">
        <v>45</v>
      </c>
      <c r="J497">
        <f>SUMIF('STOCK IN'!$C:$C, A497, 'STOCK IN'!$E:$E)</f>
        <v>146</v>
      </c>
      <c r="K497">
        <f>SUMIF('STOCK OUT'!$C:$C, A497, 'STOCK OUT'!$E:$E)</f>
        <v>91</v>
      </c>
      <c r="L497">
        <f t="shared" si="28"/>
        <v>216</v>
      </c>
      <c r="M497" t="str" cm="1">
        <f t="array" ref="M497">_xlfn.IFS(L497&lt;=0, "OUT OF STOCK", L497&lt;=F497, "REORDER", L497&lt;=G497, "LOW STOCK", TRUE, "IN STOCK")</f>
        <v>IN STOCK</v>
      </c>
      <c r="N497" s="2">
        <f t="shared" si="29"/>
        <v>1512000</v>
      </c>
      <c r="O497">
        <v>216</v>
      </c>
      <c r="P497">
        <f t="shared" si="30"/>
        <v>0</v>
      </c>
      <c r="Q497" t="str">
        <f>_xlfn.XLOOKUP(A497, 'Item Master'!$B$3:$B$502, 'Item Master'!$G$3:$G$502,,0)</f>
        <v>PT Global Office Supply</v>
      </c>
      <c r="R497" t="str">
        <f t="shared" si="31"/>
        <v>CONFORM</v>
      </c>
    </row>
    <row r="498" spans="1:18" x14ac:dyDescent="0.25">
      <c r="A498" t="s">
        <v>690</v>
      </c>
      <c r="B498" t="s">
        <v>597</v>
      </c>
      <c r="C498" t="s">
        <v>583</v>
      </c>
      <c r="D498" t="s">
        <v>355</v>
      </c>
      <c r="E498">
        <v>76</v>
      </c>
      <c r="F498">
        <v>25</v>
      </c>
      <c r="G498">
        <v>55</v>
      </c>
      <c r="H498" s="2">
        <v>33000</v>
      </c>
      <c r="I498" t="s">
        <v>52</v>
      </c>
      <c r="J498">
        <f>SUMIF('STOCK IN'!$C:$C, A498, 'STOCK IN'!$E:$E)</f>
        <v>384</v>
      </c>
      <c r="K498">
        <f>SUMIF('STOCK OUT'!$C:$C, A498, 'STOCK OUT'!$E:$E)</f>
        <v>103</v>
      </c>
      <c r="L498">
        <f t="shared" si="28"/>
        <v>357</v>
      </c>
      <c r="M498" t="str" cm="1">
        <f t="array" ref="M498">_xlfn.IFS(L498&lt;=0, "OUT OF STOCK", L498&lt;=F498, "REORDER", L498&lt;=G498, "LOW STOCK", TRUE, "IN STOCK")</f>
        <v>IN STOCK</v>
      </c>
      <c r="N498" s="2">
        <f t="shared" si="29"/>
        <v>11781000</v>
      </c>
      <c r="O498">
        <v>360</v>
      </c>
      <c r="P498">
        <f t="shared" si="30"/>
        <v>3</v>
      </c>
      <c r="Q498" t="str">
        <f>_xlfn.XLOOKUP(A498, 'Item Master'!$B$3:$B$502, 'Item Master'!$G$3:$G$502,,0)</f>
        <v>PT Global Office Supply</v>
      </c>
      <c r="R498" t="str">
        <f t="shared" si="31"/>
        <v>SURPLUS</v>
      </c>
    </row>
    <row r="499" spans="1:18" x14ac:dyDescent="0.25">
      <c r="A499" t="s">
        <v>691</v>
      </c>
      <c r="B499" t="s">
        <v>585</v>
      </c>
      <c r="C499" t="s">
        <v>583</v>
      </c>
      <c r="D499" t="s">
        <v>355</v>
      </c>
      <c r="E499">
        <v>79</v>
      </c>
      <c r="F499">
        <v>19</v>
      </c>
      <c r="G499">
        <v>26</v>
      </c>
      <c r="H499" s="2">
        <v>22000</v>
      </c>
      <c r="I499" t="s">
        <v>19</v>
      </c>
      <c r="J499">
        <f>SUMIF('STOCK IN'!$C:$C, A499, 'STOCK IN'!$E:$E)</f>
        <v>149</v>
      </c>
      <c r="K499">
        <f>SUMIF('STOCK OUT'!$C:$C, A499, 'STOCK OUT'!$E:$E)</f>
        <v>152</v>
      </c>
      <c r="L499">
        <f t="shared" si="28"/>
        <v>76</v>
      </c>
      <c r="M499" t="str" cm="1">
        <f t="array" ref="M499">_xlfn.IFS(L499&lt;=0, "OUT OF STOCK", L499&lt;=F499, "REORDER", L499&lt;=G499, "LOW STOCK", TRUE, "IN STOCK")</f>
        <v>IN STOCK</v>
      </c>
      <c r="N499" s="2">
        <f t="shared" si="29"/>
        <v>1672000</v>
      </c>
      <c r="O499">
        <v>76</v>
      </c>
      <c r="P499">
        <f t="shared" si="30"/>
        <v>0</v>
      </c>
      <c r="Q499" t="str">
        <f>_xlfn.XLOOKUP(A499, 'Item Master'!$B$3:$B$502, 'Item Master'!$G$3:$G$502,,0)</f>
        <v>CV Prima Logistik</v>
      </c>
      <c r="R499" t="str">
        <f t="shared" si="31"/>
        <v>CONFORM</v>
      </c>
    </row>
    <row r="500" spans="1:18" x14ac:dyDescent="0.25">
      <c r="A500" t="s">
        <v>692</v>
      </c>
      <c r="B500" t="s">
        <v>582</v>
      </c>
      <c r="C500" t="s">
        <v>583</v>
      </c>
      <c r="D500" t="s">
        <v>2</v>
      </c>
      <c r="E500">
        <v>37</v>
      </c>
      <c r="F500">
        <v>15</v>
      </c>
      <c r="G500">
        <v>34</v>
      </c>
      <c r="H500" s="2">
        <v>84000</v>
      </c>
      <c r="I500" t="s">
        <v>181</v>
      </c>
      <c r="J500">
        <f>SUMIF('STOCK IN'!$C:$C, A500, 'STOCK IN'!$E:$E)</f>
        <v>63</v>
      </c>
      <c r="K500">
        <f>SUMIF('STOCK OUT'!$C:$C, A500, 'STOCK OUT'!$E:$E)</f>
        <v>91</v>
      </c>
      <c r="L500">
        <f t="shared" si="28"/>
        <v>9</v>
      </c>
      <c r="M500" t="str" cm="1">
        <f t="array" ref="M500">_xlfn.IFS(L500&lt;=0, "OUT OF STOCK", L500&lt;=F500, "REORDER", L500&lt;=G500, "LOW STOCK", TRUE, "IN STOCK")</f>
        <v>REORDER</v>
      </c>
      <c r="N500" s="2">
        <f t="shared" si="29"/>
        <v>756000</v>
      </c>
      <c r="O500">
        <v>7</v>
      </c>
      <c r="P500">
        <f t="shared" si="30"/>
        <v>-2</v>
      </c>
      <c r="Q500" t="str">
        <f>_xlfn.XLOOKUP(A500, 'Item Master'!$B$3:$B$502, 'Item Master'!$G$3:$G$502,,0)</f>
        <v>CV Karya Mandiri</v>
      </c>
      <c r="R500" t="str">
        <f t="shared" si="31"/>
        <v>MINUS</v>
      </c>
    </row>
    <row r="501" spans="1:18" x14ac:dyDescent="0.25">
      <c r="A501" t="s">
        <v>693</v>
      </c>
      <c r="B501" t="s">
        <v>582</v>
      </c>
      <c r="C501" t="s">
        <v>583</v>
      </c>
      <c r="D501" t="s">
        <v>2</v>
      </c>
      <c r="E501">
        <v>207</v>
      </c>
      <c r="F501">
        <v>18</v>
      </c>
      <c r="G501">
        <v>51</v>
      </c>
      <c r="H501" s="2">
        <v>136000</v>
      </c>
      <c r="I501" t="s">
        <v>175</v>
      </c>
      <c r="J501">
        <f>SUMIF('STOCK IN'!$C:$C, A501, 'STOCK IN'!$E:$E)</f>
        <v>367</v>
      </c>
      <c r="K501">
        <f>SUMIF('STOCK OUT'!$C:$C, A501, 'STOCK OUT'!$E:$E)</f>
        <v>146</v>
      </c>
      <c r="L501">
        <f t="shared" si="28"/>
        <v>428</v>
      </c>
      <c r="M501" t="str" cm="1">
        <f t="array" ref="M501">_xlfn.IFS(L501&lt;=0, "OUT OF STOCK", L501&lt;=F501, "REORDER", L501&lt;=G501, "LOW STOCK", TRUE, "IN STOCK")</f>
        <v>IN STOCK</v>
      </c>
      <c r="N501" s="2">
        <f t="shared" si="29"/>
        <v>58208000</v>
      </c>
      <c r="O501">
        <v>427</v>
      </c>
      <c r="P501">
        <f t="shared" si="30"/>
        <v>-1</v>
      </c>
      <c r="Q501" t="str">
        <f>_xlfn.XLOOKUP(A501, 'Item Master'!$B$3:$B$502, 'Item Master'!$G$3:$G$502,,0)</f>
        <v>PT Cipta Sarana Niaga</v>
      </c>
      <c r="R501" t="str">
        <f t="shared" si="31"/>
        <v>MINUS</v>
      </c>
    </row>
  </sheetData>
  <conditionalFormatting sqref="M2:M501">
    <cfRule type="containsText" dxfId="16" priority="8" operator="containsText" text="REORDER">
      <formula>NOT(ISERROR(SEARCH("REORDER",M2)))</formula>
    </cfRule>
    <cfRule type="containsText" dxfId="15" priority="9" operator="containsText" text="LOW STOCK">
      <formula>NOT(ISERROR(SEARCH("LOW STOCK",M2)))</formula>
    </cfRule>
    <cfRule type="containsText" dxfId="14" priority="10" operator="containsText" text="OUT OF STOCK">
      <formula>NOT(ISERROR(SEARCH("OUT OF STOCK",M2)))</formula>
    </cfRule>
    <cfRule type="containsText" dxfId="13" priority="11" operator="containsText" text="IN STOCK">
      <formula>NOT(ISERROR(SEARCH("IN STOCK",M2)))</formula>
    </cfRule>
    <cfRule type="cellIs" dxfId="12" priority="14" operator="equal">
      <formula>"OUT OF STOCK"</formula>
    </cfRule>
    <cfRule type="cellIs" dxfId="11" priority="15" operator="equal">
      <formula>"LOW STOCK"</formula>
    </cfRule>
    <cfRule type="cellIs" dxfId="10" priority="16" operator="equal">
      <formula>"REORDER"</formula>
    </cfRule>
    <cfRule type="cellIs" dxfId="9" priority="17" operator="equal">
      <formula>"IN STOCK"</formula>
    </cfRule>
  </conditionalFormatting>
  <conditionalFormatting sqref="M477:M501">
    <cfRule type="containsText" dxfId="8" priority="12" operator="containsText" text="OUT OF STOCK">
      <formula>NOT(ISERROR(SEARCH("OUT OF STOCK",M477)))</formula>
    </cfRule>
    <cfRule type="containsText" dxfId="7" priority="13" operator="containsText" text="IN STOCK">
      <formula>NOT(ISERROR(SEARCH("IN STOCK",M477)))</formula>
    </cfRule>
  </conditionalFormatting>
  <conditionalFormatting sqref="P2:P501">
    <cfRule type="cellIs" dxfId="6" priority="4" operator="greaterThan">
      <formula>0</formula>
    </cfRule>
    <cfRule type="cellIs" dxfId="5" priority="5" operator="lessThan">
      <formula>0</formula>
    </cfRule>
    <cfRule type="cellIs" dxfId="4" priority="6" operator="lessThan">
      <formula>-1</formula>
    </cfRule>
    <cfRule type="cellIs" dxfId="3" priority="7" operator="equal">
      <formula>0</formula>
    </cfRule>
  </conditionalFormatting>
  <conditionalFormatting sqref="R2:R501">
    <cfRule type="containsText" dxfId="2" priority="1" operator="containsText" text="surplus">
      <formula>NOT(ISERROR(SEARCH("surplus",R2)))</formula>
    </cfRule>
    <cfRule type="containsText" dxfId="1" priority="2" operator="containsText" text="minus">
      <formula>NOT(ISERROR(SEARCH("minus",R2)))</formula>
    </cfRule>
    <cfRule type="containsText" dxfId="0" priority="3" operator="containsText" text="conform">
      <formula>NOT(ISERROR(SEARCH("conform",R2)))</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FB98E-0F91-4E8C-9336-0A6D8A60F106}">
  <dimension ref="B2:M502"/>
  <sheetViews>
    <sheetView workbookViewId="0">
      <selection activeCell="C5" sqref="C5"/>
    </sheetView>
  </sheetViews>
  <sheetFormatPr defaultRowHeight="15" x14ac:dyDescent="0.25"/>
  <cols>
    <col min="1" max="1" width="4" customWidth="1"/>
    <col min="2" max="2" width="11.5703125" customWidth="1"/>
    <col min="3" max="3" width="15.42578125" customWidth="1"/>
    <col min="4" max="4" width="15.140625" customWidth="1"/>
    <col min="5" max="5" width="13.5703125" customWidth="1"/>
    <col min="7" max="7" width="22.7109375" customWidth="1"/>
    <col min="8" max="8" width="18.42578125" customWidth="1"/>
    <col min="9" max="9" width="12.85546875" customWidth="1"/>
    <col min="10" max="10" width="13.42578125" customWidth="1"/>
    <col min="11" max="11" width="13.7109375" customWidth="1"/>
    <col min="12" max="12" width="13.5703125" customWidth="1"/>
  </cols>
  <sheetData>
    <row r="2" spans="2:13" ht="45" x14ac:dyDescent="0.25">
      <c r="B2" s="1" t="s">
        <v>0</v>
      </c>
      <c r="C2" s="1" t="s">
        <v>3</v>
      </c>
      <c r="D2" s="1" t="s">
        <v>4</v>
      </c>
      <c r="E2" s="1" t="s">
        <v>5</v>
      </c>
      <c r="F2" s="1" t="s">
        <v>6</v>
      </c>
      <c r="G2" s="1" t="s">
        <v>7</v>
      </c>
      <c r="H2" s="1" t="s">
        <v>8</v>
      </c>
      <c r="I2" s="1" t="s">
        <v>9</v>
      </c>
      <c r="J2" s="1" t="s">
        <v>10</v>
      </c>
      <c r="K2" s="1" t="s">
        <v>11</v>
      </c>
      <c r="L2" s="1" t="s">
        <v>12</v>
      </c>
      <c r="M2" s="1" t="s">
        <v>13</v>
      </c>
    </row>
    <row r="3" spans="2:13" x14ac:dyDescent="0.25">
      <c r="B3" t="s">
        <v>14</v>
      </c>
      <c r="C3" t="s">
        <v>15</v>
      </c>
      <c r="D3" t="s">
        <v>16</v>
      </c>
      <c r="E3" t="s">
        <v>2</v>
      </c>
      <c r="F3" t="s">
        <v>17</v>
      </c>
      <c r="G3" t="s">
        <v>18</v>
      </c>
      <c r="H3" s="2">
        <v>91000</v>
      </c>
      <c r="I3">
        <v>199</v>
      </c>
      <c r="J3">
        <v>22</v>
      </c>
      <c r="K3">
        <v>49</v>
      </c>
      <c r="L3" t="s">
        <v>19</v>
      </c>
      <c r="M3">
        <v>5</v>
      </c>
    </row>
    <row r="4" spans="2:13" x14ac:dyDescent="0.25">
      <c r="B4" t="s">
        <v>20</v>
      </c>
      <c r="C4" t="s">
        <v>21</v>
      </c>
      <c r="D4" t="s">
        <v>16</v>
      </c>
      <c r="E4" t="s">
        <v>2</v>
      </c>
      <c r="F4" t="s">
        <v>22</v>
      </c>
      <c r="G4" t="s">
        <v>23</v>
      </c>
      <c r="H4" s="2">
        <v>31000</v>
      </c>
      <c r="I4">
        <v>161</v>
      </c>
      <c r="J4">
        <v>32</v>
      </c>
      <c r="K4">
        <v>40</v>
      </c>
      <c r="L4" t="s">
        <v>24</v>
      </c>
      <c r="M4">
        <v>8</v>
      </c>
    </row>
    <row r="5" spans="2:13" x14ac:dyDescent="0.25">
      <c r="B5" t="s">
        <v>25</v>
      </c>
      <c r="C5" t="s">
        <v>26</v>
      </c>
      <c r="D5" t="s">
        <v>16</v>
      </c>
      <c r="E5" t="s">
        <v>2</v>
      </c>
      <c r="F5" t="s">
        <v>17</v>
      </c>
      <c r="G5" t="s">
        <v>18</v>
      </c>
      <c r="H5" s="2">
        <v>438000</v>
      </c>
      <c r="I5">
        <v>164</v>
      </c>
      <c r="J5">
        <v>6</v>
      </c>
      <c r="K5">
        <v>41</v>
      </c>
      <c r="L5" t="s">
        <v>27</v>
      </c>
      <c r="M5">
        <v>19</v>
      </c>
    </row>
    <row r="6" spans="2:13" x14ac:dyDescent="0.25">
      <c r="B6" t="s">
        <v>28</v>
      </c>
      <c r="C6" t="s">
        <v>29</v>
      </c>
      <c r="D6" t="s">
        <v>16</v>
      </c>
      <c r="E6" t="s">
        <v>2</v>
      </c>
      <c r="F6" t="s">
        <v>22</v>
      </c>
      <c r="G6" t="s">
        <v>23</v>
      </c>
      <c r="H6" s="2">
        <v>192000</v>
      </c>
      <c r="I6">
        <v>124</v>
      </c>
      <c r="J6">
        <v>42</v>
      </c>
      <c r="K6">
        <v>55</v>
      </c>
      <c r="L6" t="s">
        <v>30</v>
      </c>
      <c r="M6">
        <v>7</v>
      </c>
    </row>
    <row r="7" spans="2:13" x14ac:dyDescent="0.25">
      <c r="B7" t="s">
        <v>31</v>
      </c>
      <c r="C7" t="s">
        <v>29</v>
      </c>
      <c r="D7" t="s">
        <v>16</v>
      </c>
      <c r="E7" t="s">
        <v>2</v>
      </c>
      <c r="F7" t="s">
        <v>32</v>
      </c>
      <c r="G7" t="s">
        <v>33</v>
      </c>
      <c r="H7" s="2">
        <v>254000</v>
      </c>
      <c r="I7">
        <v>81</v>
      </c>
      <c r="J7">
        <v>14</v>
      </c>
      <c r="K7">
        <v>25</v>
      </c>
      <c r="L7" t="s">
        <v>34</v>
      </c>
      <c r="M7">
        <v>4</v>
      </c>
    </row>
    <row r="8" spans="2:13" x14ac:dyDescent="0.25">
      <c r="B8" t="s">
        <v>35</v>
      </c>
      <c r="C8" t="s">
        <v>29</v>
      </c>
      <c r="D8" t="s">
        <v>16</v>
      </c>
      <c r="E8" t="s">
        <v>2</v>
      </c>
      <c r="F8" t="s">
        <v>36</v>
      </c>
      <c r="G8" t="s">
        <v>37</v>
      </c>
      <c r="H8" s="2">
        <v>129000</v>
      </c>
      <c r="I8">
        <v>101</v>
      </c>
      <c r="J8">
        <v>27</v>
      </c>
      <c r="K8">
        <v>51</v>
      </c>
      <c r="L8" t="s">
        <v>38</v>
      </c>
      <c r="M8">
        <v>16</v>
      </c>
    </row>
    <row r="9" spans="2:13" x14ac:dyDescent="0.25">
      <c r="B9" t="s">
        <v>39</v>
      </c>
      <c r="C9" t="s">
        <v>21</v>
      </c>
      <c r="D9" t="s">
        <v>16</v>
      </c>
      <c r="E9" t="s">
        <v>2</v>
      </c>
      <c r="F9" t="s">
        <v>40</v>
      </c>
      <c r="G9" t="s">
        <v>41</v>
      </c>
      <c r="H9" s="2">
        <v>35000</v>
      </c>
      <c r="I9">
        <v>246</v>
      </c>
      <c r="J9">
        <v>29</v>
      </c>
      <c r="K9">
        <v>61</v>
      </c>
      <c r="L9" t="s">
        <v>42</v>
      </c>
      <c r="M9">
        <v>21</v>
      </c>
    </row>
    <row r="10" spans="2:13" x14ac:dyDescent="0.25">
      <c r="B10" t="s">
        <v>43</v>
      </c>
      <c r="C10" t="s">
        <v>44</v>
      </c>
      <c r="D10" t="s">
        <v>16</v>
      </c>
      <c r="E10" t="s">
        <v>2</v>
      </c>
      <c r="F10" t="s">
        <v>22</v>
      </c>
      <c r="G10" t="s">
        <v>23</v>
      </c>
      <c r="H10" s="2">
        <v>88000</v>
      </c>
      <c r="I10">
        <v>59</v>
      </c>
      <c r="J10">
        <v>50</v>
      </c>
      <c r="K10">
        <v>57</v>
      </c>
      <c r="L10" t="s">
        <v>45</v>
      </c>
      <c r="M10">
        <v>9</v>
      </c>
    </row>
    <row r="11" spans="2:13" x14ac:dyDescent="0.25">
      <c r="B11" t="s">
        <v>46</v>
      </c>
      <c r="C11" t="s">
        <v>47</v>
      </c>
      <c r="D11" t="s">
        <v>16</v>
      </c>
      <c r="E11" t="s">
        <v>2</v>
      </c>
      <c r="F11" t="s">
        <v>48</v>
      </c>
      <c r="G11" t="s">
        <v>49</v>
      </c>
      <c r="H11" s="2">
        <v>130000</v>
      </c>
      <c r="I11">
        <v>228</v>
      </c>
      <c r="J11">
        <v>19</v>
      </c>
      <c r="K11">
        <v>57</v>
      </c>
      <c r="L11" t="s">
        <v>50</v>
      </c>
      <c r="M11">
        <v>16</v>
      </c>
    </row>
    <row r="12" spans="2:13" x14ac:dyDescent="0.25">
      <c r="B12" t="s">
        <v>51</v>
      </c>
      <c r="C12" t="s">
        <v>44</v>
      </c>
      <c r="D12" t="s">
        <v>16</v>
      </c>
      <c r="E12" t="s">
        <v>2</v>
      </c>
      <c r="F12" t="s">
        <v>36</v>
      </c>
      <c r="G12" t="s">
        <v>37</v>
      </c>
      <c r="H12" s="2">
        <v>35000</v>
      </c>
      <c r="I12">
        <v>104</v>
      </c>
      <c r="J12">
        <v>27</v>
      </c>
      <c r="K12">
        <v>38</v>
      </c>
      <c r="L12" t="s">
        <v>52</v>
      </c>
      <c r="M12">
        <v>4</v>
      </c>
    </row>
    <row r="13" spans="2:13" x14ac:dyDescent="0.25">
      <c r="B13" t="s">
        <v>53</v>
      </c>
      <c r="C13" t="s">
        <v>54</v>
      </c>
      <c r="D13" t="s">
        <v>16</v>
      </c>
      <c r="E13" t="s">
        <v>2</v>
      </c>
      <c r="F13" t="s">
        <v>55</v>
      </c>
      <c r="G13" t="s">
        <v>56</v>
      </c>
      <c r="H13" s="2">
        <v>68000</v>
      </c>
      <c r="I13">
        <v>146</v>
      </c>
      <c r="J13">
        <v>20</v>
      </c>
      <c r="K13">
        <v>36</v>
      </c>
      <c r="L13" t="s">
        <v>57</v>
      </c>
      <c r="M13">
        <v>10</v>
      </c>
    </row>
    <row r="14" spans="2:13" x14ac:dyDescent="0.25">
      <c r="B14" t="s">
        <v>58</v>
      </c>
      <c r="C14" t="s">
        <v>21</v>
      </c>
      <c r="D14" t="s">
        <v>16</v>
      </c>
      <c r="E14" t="s">
        <v>2</v>
      </c>
      <c r="F14" t="s">
        <v>22</v>
      </c>
      <c r="G14" t="s">
        <v>23</v>
      </c>
      <c r="H14" s="2">
        <v>48000</v>
      </c>
      <c r="I14">
        <v>185</v>
      </c>
      <c r="J14">
        <v>25</v>
      </c>
      <c r="K14">
        <v>54</v>
      </c>
      <c r="L14" t="s">
        <v>59</v>
      </c>
      <c r="M14">
        <v>3</v>
      </c>
    </row>
    <row r="15" spans="2:13" x14ac:dyDescent="0.25">
      <c r="B15" t="s">
        <v>60</v>
      </c>
      <c r="C15" t="s">
        <v>44</v>
      </c>
      <c r="D15" t="s">
        <v>16</v>
      </c>
      <c r="E15" t="s">
        <v>2</v>
      </c>
      <c r="F15" t="s">
        <v>61</v>
      </c>
      <c r="G15" t="s">
        <v>62</v>
      </c>
      <c r="H15" s="2">
        <v>66000</v>
      </c>
      <c r="I15">
        <v>78</v>
      </c>
      <c r="J15">
        <v>9</v>
      </c>
      <c r="K15">
        <v>20</v>
      </c>
      <c r="L15" t="s">
        <v>27</v>
      </c>
      <c r="M15">
        <v>12</v>
      </c>
    </row>
    <row r="16" spans="2:13" x14ac:dyDescent="0.25">
      <c r="B16" t="s">
        <v>63</v>
      </c>
      <c r="C16" t="s">
        <v>26</v>
      </c>
      <c r="D16" t="s">
        <v>16</v>
      </c>
      <c r="E16" t="s">
        <v>2</v>
      </c>
      <c r="F16" t="s">
        <v>55</v>
      </c>
      <c r="G16" t="s">
        <v>56</v>
      </c>
      <c r="H16" s="2">
        <v>515000</v>
      </c>
      <c r="I16">
        <v>137</v>
      </c>
      <c r="J16">
        <v>30</v>
      </c>
      <c r="K16">
        <v>55</v>
      </c>
      <c r="L16" t="s">
        <v>64</v>
      </c>
      <c r="M16">
        <v>10</v>
      </c>
    </row>
    <row r="17" spans="2:13" x14ac:dyDescent="0.25">
      <c r="B17" t="s">
        <v>65</v>
      </c>
      <c r="C17" t="s">
        <v>66</v>
      </c>
      <c r="D17" t="s">
        <v>16</v>
      </c>
      <c r="E17" t="s">
        <v>2</v>
      </c>
      <c r="F17" t="s">
        <v>36</v>
      </c>
      <c r="G17" t="s">
        <v>37</v>
      </c>
      <c r="H17" s="2">
        <v>133000</v>
      </c>
      <c r="I17">
        <v>200</v>
      </c>
      <c r="J17">
        <v>40</v>
      </c>
      <c r="K17">
        <v>62</v>
      </c>
      <c r="L17" t="s">
        <v>67</v>
      </c>
      <c r="M17">
        <v>20</v>
      </c>
    </row>
    <row r="18" spans="2:13" x14ac:dyDescent="0.25">
      <c r="B18" t="s">
        <v>68</v>
      </c>
      <c r="C18" t="s">
        <v>29</v>
      </c>
      <c r="D18" t="s">
        <v>16</v>
      </c>
      <c r="E18" t="s">
        <v>2</v>
      </c>
      <c r="F18" t="s">
        <v>40</v>
      </c>
      <c r="G18" t="s">
        <v>41</v>
      </c>
      <c r="H18" s="2">
        <v>284000</v>
      </c>
      <c r="I18">
        <v>102</v>
      </c>
      <c r="J18">
        <v>19</v>
      </c>
      <c r="K18">
        <v>28</v>
      </c>
      <c r="L18" t="s">
        <v>69</v>
      </c>
      <c r="M18">
        <v>4</v>
      </c>
    </row>
    <row r="19" spans="2:13" x14ac:dyDescent="0.25">
      <c r="B19" t="s">
        <v>70</v>
      </c>
      <c r="C19" t="s">
        <v>1</v>
      </c>
      <c r="D19" t="s">
        <v>16</v>
      </c>
      <c r="E19" t="s">
        <v>2</v>
      </c>
      <c r="F19" t="s">
        <v>48</v>
      </c>
      <c r="G19" t="s">
        <v>49</v>
      </c>
      <c r="H19" s="2">
        <v>59000</v>
      </c>
      <c r="I19">
        <v>49</v>
      </c>
      <c r="J19">
        <v>45</v>
      </c>
      <c r="K19">
        <v>55</v>
      </c>
      <c r="L19" t="s">
        <v>71</v>
      </c>
      <c r="M19">
        <v>4</v>
      </c>
    </row>
    <row r="20" spans="2:13" x14ac:dyDescent="0.25">
      <c r="B20" t="s">
        <v>72</v>
      </c>
      <c r="C20" t="s">
        <v>29</v>
      </c>
      <c r="D20" t="s">
        <v>16</v>
      </c>
      <c r="E20" t="s">
        <v>2</v>
      </c>
      <c r="F20" t="s">
        <v>36</v>
      </c>
      <c r="G20" t="s">
        <v>37</v>
      </c>
      <c r="H20" s="2">
        <v>275000</v>
      </c>
      <c r="I20">
        <v>162</v>
      </c>
      <c r="J20">
        <v>34</v>
      </c>
      <c r="K20">
        <v>55</v>
      </c>
      <c r="L20" t="s">
        <v>73</v>
      </c>
      <c r="M20">
        <v>2</v>
      </c>
    </row>
    <row r="21" spans="2:13" x14ac:dyDescent="0.25">
      <c r="B21" t="s">
        <v>74</v>
      </c>
      <c r="C21" t="s">
        <v>15</v>
      </c>
      <c r="D21" t="s">
        <v>16</v>
      </c>
      <c r="E21" t="s">
        <v>2</v>
      </c>
      <c r="F21" t="s">
        <v>36</v>
      </c>
      <c r="G21" t="s">
        <v>37</v>
      </c>
      <c r="H21" s="2">
        <v>259000</v>
      </c>
      <c r="I21">
        <v>236</v>
      </c>
      <c r="J21">
        <v>39</v>
      </c>
      <c r="K21">
        <v>68</v>
      </c>
      <c r="L21" t="s">
        <v>75</v>
      </c>
      <c r="M21">
        <v>12</v>
      </c>
    </row>
    <row r="22" spans="2:13" x14ac:dyDescent="0.25">
      <c r="B22" t="s">
        <v>76</v>
      </c>
      <c r="C22" t="s">
        <v>15</v>
      </c>
      <c r="D22" t="s">
        <v>16</v>
      </c>
      <c r="E22" t="s">
        <v>2</v>
      </c>
      <c r="F22" t="s">
        <v>22</v>
      </c>
      <c r="G22" t="s">
        <v>23</v>
      </c>
      <c r="H22" s="2">
        <v>160000</v>
      </c>
      <c r="I22">
        <v>121</v>
      </c>
      <c r="J22">
        <v>15</v>
      </c>
      <c r="K22">
        <v>34</v>
      </c>
      <c r="L22" t="s">
        <v>77</v>
      </c>
      <c r="M22">
        <v>10</v>
      </c>
    </row>
    <row r="23" spans="2:13" x14ac:dyDescent="0.25">
      <c r="B23" t="s">
        <v>78</v>
      </c>
      <c r="C23" t="s">
        <v>21</v>
      </c>
      <c r="D23" t="s">
        <v>16</v>
      </c>
      <c r="E23" t="s">
        <v>2</v>
      </c>
      <c r="F23" t="s">
        <v>36</v>
      </c>
      <c r="G23" t="s">
        <v>37</v>
      </c>
      <c r="H23" s="2">
        <v>117000</v>
      </c>
      <c r="I23">
        <v>55</v>
      </c>
      <c r="J23">
        <v>37</v>
      </c>
      <c r="K23">
        <v>45</v>
      </c>
      <c r="L23" t="s">
        <v>79</v>
      </c>
      <c r="M23">
        <v>18</v>
      </c>
    </row>
    <row r="24" spans="2:13" x14ac:dyDescent="0.25">
      <c r="B24" t="s">
        <v>80</v>
      </c>
      <c r="C24" t="s">
        <v>54</v>
      </c>
      <c r="D24" t="s">
        <v>16</v>
      </c>
      <c r="E24" t="s">
        <v>2</v>
      </c>
      <c r="F24" t="s">
        <v>81</v>
      </c>
      <c r="G24" t="s">
        <v>82</v>
      </c>
      <c r="H24" s="2">
        <v>75000</v>
      </c>
      <c r="I24">
        <v>49</v>
      </c>
      <c r="J24">
        <v>28</v>
      </c>
      <c r="K24">
        <v>57</v>
      </c>
      <c r="L24" t="s">
        <v>83</v>
      </c>
      <c r="M24">
        <v>18</v>
      </c>
    </row>
    <row r="25" spans="2:13" x14ac:dyDescent="0.25">
      <c r="B25" t="s">
        <v>84</v>
      </c>
      <c r="C25" t="s">
        <v>1</v>
      </c>
      <c r="D25" t="s">
        <v>16</v>
      </c>
      <c r="E25" t="s">
        <v>2</v>
      </c>
      <c r="F25" t="s">
        <v>85</v>
      </c>
      <c r="G25" t="s">
        <v>86</v>
      </c>
      <c r="H25" s="2">
        <v>121000</v>
      </c>
      <c r="I25">
        <v>92</v>
      </c>
      <c r="J25">
        <v>36</v>
      </c>
      <c r="K25">
        <v>41</v>
      </c>
      <c r="L25" t="s">
        <v>87</v>
      </c>
      <c r="M25">
        <v>11</v>
      </c>
    </row>
    <row r="26" spans="2:13" x14ac:dyDescent="0.25">
      <c r="B26" t="s">
        <v>88</v>
      </c>
      <c r="C26" t="s">
        <v>26</v>
      </c>
      <c r="D26" t="s">
        <v>16</v>
      </c>
      <c r="E26" t="s">
        <v>2</v>
      </c>
      <c r="F26" t="s">
        <v>85</v>
      </c>
      <c r="G26" t="s">
        <v>86</v>
      </c>
      <c r="H26" s="2">
        <v>209000</v>
      </c>
      <c r="I26">
        <v>71</v>
      </c>
      <c r="J26">
        <v>41</v>
      </c>
      <c r="K26">
        <v>48</v>
      </c>
      <c r="L26" t="s">
        <v>89</v>
      </c>
      <c r="M26">
        <v>17</v>
      </c>
    </row>
    <row r="27" spans="2:13" x14ac:dyDescent="0.25">
      <c r="B27" t="s">
        <v>90</v>
      </c>
      <c r="C27" t="s">
        <v>15</v>
      </c>
      <c r="D27" t="s">
        <v>16</v>
      </c>
      <c r="E27" t="s">
        <v>2</v>
      </c>
      <c r="F27" t="s">
        <v>55</v>
      </c>
      <c r="G27" t="s">
        <v>56</v>
      </c>
      <c r="H27" s="2">
        <v>279000</v>
      </c>
      <c r="I27">
        <v>146</v>
      </c>
      <c r="J27">
        <v>13</v>
      </c>
      <c r="K27">
        <v>36</v>
      </c>
      <c r="L27" t="s">
        <v>73</v>
      </c>
      <c r="M27">
        <v>7</v>
      </c>
    </row>
    <row r="28" spans="2:13" x14ac:dyDescent="0.25">
      <c r="B28" t="s">
        <v>91</v>
      </c>
      <c r="C28" t="s">
        <v>47</v>
      </c>
      <c r="D28" t="s">
        <v>16</v>
      </c>
      <c r="E28" t="s">
        <v>2</v>
      </c>
      <c r="F28" t="s">
        <v>17</v>
      </c>
      <c r="G28" t="s">
        <v>18</v>
      </c>
      <c r="H28" s="2">
        <v>360000</v>
      </c>
      <c r="I28">
        <v>233</v>
      </c>
      <c r="J28">
        <v>43</v>
      </c>
      <c r="K28">
        <v>61</v>
      </c>
      <c r="L28" t="s">
        <v>83</v>
      </c>
      <c r="M28">
        <v>8</v>
      </c>
    </row>
    <row r="29" spans="2:13" x14ac:dyDescent="0.25">
      <c r="B29" t="s">
        <v>92</v>
      </c>
      <c r="C29" t="s">
        <v>47</v>
      </c>
      <c r="D29" t="s">
        <v>16</v>
      </c>
      <c r="E29" t="s">
        <v>2</v>
      </c>
      <c r="F29" t="s">
        <v>55</v>
      </c>
      <c r="G29" t="s">
        <v>56</v>
      </c>
      <c r="H29" s="2">
        <v>294000</v>
      </c>
      <c r="I29">
        <v>181</v>
      </c>
      <c r="J29">
        <v>46</v>
      </c>
      <c r="K29">
        <v>62</v>
      </c>
      <c r="L29" t="s">
        <v>93</v>
      </c>
      <c r="M29">
        <v>16</v>
      </c>
    </row>
    <row r="30" spans="2:13" x14ac:dyDescent="0.25">
      <c r="B30" t="s">
        <v>94</v>
      </c>
      <c r="C30" t="s">
        <v>15</v>
      </c>
      <c r="D30" t="s">
        <v>16</v>
      </c>
      <c r="E30" t="s">
        <v>2</v>
      </c>
      <c r="F30" t="s">
        <v>22</v>
      </c>
      <c r="G30" t="s">
        <v>23</v>
      </c>
      <c r="H30" s="2">
        <v>148000</v>
      </c>
      <c r="I30">
        <v>67</v>
      </c>
      <c r="J30">
        <v>9</v>
      </c>
      <c r="K30">
        <v>24</v>
      </c>
      <c r="L30" t="s">
        <v>95</v>
      </c>
      <c r="M30">
        <v>19</v>
      </c>
    </row>
    <row r="31" spans="2:13" x14ac:dyDescent="0.25">
      <c r="B31" t="s">
        <v>96</v>
      </c>
      <c r="C31" t="s">
        <v>26</v>
      </c>
      <c r="D31" t="s">
        <v>16</v>
      </c>
      <c r="E31" t="s">
        <v>2</v>
      </c>
      <c r="F31" t="s">
        <v>22</v>
      </c>
      <c r="G31" t="s">
        <v>23</v>
      </c>
      <c r="H31" s="2">
        <v>481000</v>
      </c>
      <c r="I31">
        <v>66</v>
      </c>
      <c r="J31">
        <v>5</v>
      </c>
      <c r="K31">
        <v>16</v>
      </c>
      <c r="L31" t="s">
        <v>59</v>
      </c>
      <c r="M31">
        <v>4</v>
      </c>
    </row>
    <row r="32" spans="2:13" x14ac:dyDescent="0.25">
      <c r="B32" t="s">
        <v>97</v>
      </c>
      <c r="C32" t="s">
        <v>1</v>
      </c>
      <c r="D32" t="s">
        <v>16</v>
      </c>
      <c r="E32" t="s">
        <v>2</v>
      </c>
      <c r="F32" t="s">
        <v>36</v>
      </c>
      <c r="G32" t="s">
        <v>37</v>
      </c>
      <c r="H32" s="2">
        <v>87000</v>
      </c>
      <c r="I32">
        <v>28</v>
      </c>
      <c r="J32">
        <v>37</v>
      </c>
      <c r="K32">
        <v>49</v>
      </c>
      <c r="L32" t="s">
        <v>98</v>
      </c>
      <c r="M32">
        <v>17</v>
      </c>
    </row>
    <row r="33" spans="2:13" x14ac:dyDescent="0.25">
      <c r="B33" t="s">
        <v>99</v>
      </c>
      <c r="C33" t="s">
        <v>26</v>
      </c>
      <c r="D33" t="s">
        <v>16</v>
      </c>
      <c r="E33" t="s">
        <v>2</v>
      </c>
      <c r="F33" t="s">
        <v>55</v>
      </c>
      <c r="G33" t="s">
        <v>56</v>
      </c>
      <c r="H33" s="2">
        <v>456000</v>
      </c>
      <c r="I33">
        <v>43</v>
      </c>
      <c r="J33">
        <v>41</v>
      </c>
      <c r="K33">
        <v>64</v>
      </c>
      <c r="L33" t="s">
        <v>100</v>
      </c>
      <c r="M33">
        <v>17</v>
      </c>
    </row>
    <row r="34" spans="2:13" x14ac:dyDescent="0.25">
      <c r="B34" t="s">
        <v>101</v>
      </c>
      <c r="C34" t="s">
        <v>29</v>
      </c>
      <c r="D34" t="s">
        <v>16</v>
      </c>
      <c r="E34" t="s">
        <v>2</v>
      </c>
      <c r="F34" t="s">
        <v>48</v>
      </c>
      <c r="G34" t="s">
        <v>49</v>
      </c>
      <c r="H34" s="2">
        <v>177000</v>
      </c>
      <c r="I34">
        <v>34</v>
      </c>
      <c r="J34">
        <v>11</v>
      </c>
      <c r="K34">
        <v>37</v>
      </c>
      <c r="L34" t="s">
        <v>102</v>
      </c>
      <c r="M34">
        <v>15</v>
      </c>
    </row>
    <row r="35" spans="2:13" x14ac:dyDescent="0.25">
      <c r="B35" t="s">
        <v>103</v>
      </c>
      <c r="C35" t="s">
        <v>29</v>
      </c>
      <c r="D35" t="s">
        <v>16</v>
      </c>
      <c r="E35" t="s">
        <v>2</v>
      </c>
      <c r="F35" t="s">
        <v>85</v>
      </c>
      <c r="G35" t="s">
        <v>86</v>
      </c>
      <c r="H35" s="2">
        <v>319000</v>
      </c>
      <c r="I35">
        <v>231</v>
      </c>
      <c r="J35">
        <v>8</v>
      </c>
      <c r="K35">
        <v>57</v>
      </c>
      <c r="L35" t="s">
        <v>104</v>
      </c>
      <c r="M35">
        <v>14</v>
      </c>
    </row>
    <row r="36" spans="2:13" x14ac:dyDescent="0.25">
      <c r="B36" t="s">
        <v>105</v>
      </c>
      <c r="C36" t="s">
        <v>44</v>
      </c>
      <c r="D36" t="s">
        <v>16</v>
      </c>
      <c r="E36" t="s">
        <v>2</v>
      </c>
      <c r="F36" t="s">
        <v>40</v>
      </c>
      <c r="G36" t="s">
        <v>41</v>
      </c>
      <c r="H36" s="2">
        <v>28000</v>
      </c>
      <c r="I36">
        <v>73</v>
      </c>
      <c r="J36">
        <v>17</v>
      </c>
      <c r="K36">
        <v>28</v>
      </c>
      <c r="L36" t="s">
        <v>106</v>
      </c>
      <c r="M36">
        <v>6</v>
      </c>
    </row>
    <row r="37" spans="2:13" x14ac:dyDescent="0.25">
      <c r="B37" t="s">
        <v>107</v>
      </c>
      <c r="C37" t="s">
        <v>29</v>
      </c>
      <c r="D37" t="s">
        <v>16</v>
      </c>
      <c r="E37" t="s">
        <v>2</v>
      </c>
      <c r="F37" t="s">
        <v>85</v>
      </c>
      <c r="G37" t="s">
        <v>86</v>
      </c>
      <c r="H37" s="2">
        <v>173000</v>
      </c>
      <c r="I37">
        <v>81</v>
      </c>
      <c r="J37">
        <v>34</v>
      </c>
      <c r="K37">
        <v>46</v>
      </c>
      <c r="L37" t="s">
        <v>108</v>
      </c>
      <c r="M37">
        <v>19</v>
      </c>
    </row>
    <row r="38" spans="2:13" x14ac:dyDescent="0.25">
      <c r="B38" t="s">
        <v>109</v>
      </c>
      <c r="C38" t="s">
        <v>15</v>
      </c>
      <c r="D38" t="s">
        <v>16</v>
      </c>
      <c r="E38" t="s">
        <v>2</v>
      </c>
      <c r="F38" t="s">
        <v>85</v>
      </c>
      <c r="G38" t="s">
        <v>86</v>
      </c>
      <c r="H38" s="2">
        <v>97000</v>
      </c>
      <c r="I38">
        <v>176</v>
      </c>
      <c r="J38">
        <v>39</v>
      </c>
      <c r="K38">
        <v>44</v>
      </c>
      <c r="L38" t="s">
        <v>110</v>
      </c>
      <c r="M38">
        <v>9</v>
      </c>
    </row>
    <row r="39" spans="2:13" x14ac:dyDescent="0.25">
      <c r="B39" t="s">
        <v>111</v>
      </c>
      <c r="C39" t="s">
        <v>66</v>
      </c>
      <c r="D39" t="s">
        <v>16</v>
      </c>
      <c r="E39" t="s">
        <v>2</v>
      </c>
      <c r="F39" t="s">
        <v>48</v>
      </c>
      <c r="G39" t="s">
        <v>49</v>
      </c>
      <c r="H39" s="2">
        <v>174000</v>
      </c>
      <c r="I39">
        <v>134</v>
      </c>
      <c r="J39">
        <v>35</v>
      </c>
      <c r="K39">
        <v>46</v>
      </c>
      <c r="L39" t="s">
        <v>104</v>
      </c>
      <c r="M39">
        <v>7</v>
      </c>
    </row>
    <row r="40" spans="2:13" x14ac:dyDescent="0.25">
      <c r="B40" t="s">
        <v>112</v>
      </c>
      <c r="C40" t="s">
        <v>29</v>
      </c>
      <c r="D40" t="s">
        <v>16</v>
      </c>
      <c r="E40" t="s">
        <v>2</v>
      </c>
      <c r="F40" t="s">
        <v>55</v>
      </c>
      <c r="G40" t="s">
        <v>56</v>
      </c>
      <c r="H40" s="2">
        <v>81000</v>
      </c>
      <c r="I40">
        <v>109</v>
      </c>
      <c r="J40">
        <v>21</v>
      </c>
      <c r="K40">
        <v>51</v>
      </c>
      <c r="L40" t="s">
        <v>113</v>
      </c>
      <c r="M40">
        <v>15</v>
      </c>
    </row>
    <row r="41" spans="2:13" x14ac:dyDescent="0.25">
      <c r="B41" t="s">
        <v>114</v>
      </c>
      <c r="C41" t="s">
        <v>21</v>
      </c>
      <c r="D41" t="s">
        <v>16</v>
      </c>
      <c r="E41" t="s">
        <v>2</v>
      </c>
      <c r="F41" t="s">
        <v>17</v>
      </c>
      <c r="G41" t="s">
        <v>18</v>
      </c>
      <c r="H41" s="2">
        <v>104000</v>
      </c>
      <c r="I41">
        <v>193</v>
      </c>
      <c r="J41">
        <v>36</v>
      </c>
      <c r="K41">
        <v>48</v>
      </c>
      <c r="L41" t="s">
        <v>42</v>
      </c>
      <c r="M41">
        <v>8</v>
      </c>
    </row>
    <row r="42" spans="2:13" x14ac:dyDescent="0.25">
      <c r="B42" t="s">
        <v>115</v>
      </c>
      <c r="C42" t="s">
        <v>1</v>
      </c>
      <c r="D42" t="s">
        <v>16</v>
      </c>
      <c r="E42" t="s">
        <v>2</v>
      </c>
      <c r="F42" t="s">
        <v>32</v>
      </c>
      <c r="G42" t="s">
        <v>33</v>
      </c>
      <c r="H42" s="2">
        <v>119000</v>
      </c>
      <c r="I42">
        <v>198</v>
      </c>
      <c r="J42">
        <v>39</v>
      </c>
      <c r="K42">
        <v>49</v>
      </c>
      <c r="L42" t="s">
        <v>104</v>
      </c>
      <c r="M42">
        <v>3</v>
      </c>
    </row>
    <row r="43" spans="2:13" x14ac:dyDescent="0.25">
      <c r="B43" t="s">
        <v>116</v>
      </c>
      <c r="C43" t="s">
        <v>54</v>
      </c>
      <c r="D43" t="s">
        <v>16</v>
      </c>
      <c r="E43" t="s">
        <v>2</v>
      </c>
      <c r="F43" t="s">
        <v>22</v>
      </c>
      <c r="G43" t="s">
        <v>23</v>
      </c>
      <c r="H43" s="2">
        <v>147000</v>
      </c>
      <c r="I43">
        <v>138</v>
      </c>
      <c r="J43">
        <v>38</v>
      </c>
      <c r="K43">
        <v>48</v>
      </c>
      <c r="L43" t="s">
        <v>117</v>
      </c>
      <c r="M43">
        <v>4</v>
      </c>
    </row>
    <row r="44" spans="2:13" x14ac:dyDescent="0.25">
      <c r="B44" t="s">
        <v>118</v>
      </c>
      <c r="C44" t="s">
        <v>66</v>
      </c>
      <c r="D44" t="s">
        <v>16</v>
      </c>
      <c r="E44" t="s">
        <v>2</v>
      </c>
      <c r="F44" t="s">
        <v>17</v>
      </c>
      <c r="G44" t="s">
        <v>18</v>
      </c>
      <c r="H44" s="2">
        <v>87000</v>
      </c>
      <c r="I44">
        <v>162</v>
      </c>
      <c r="J44">
        <v>9</v>
      </c>
      <c r="K44">
        <v>40</v>
      </c>
      <c r="L44" t="s">
        <v>119</v>
      </c>
      <c r="M44">
        <v>5</v>
      </c>
    </row>
    <row r="45" spans="2:13" x14ac:dyDescent="0.25">
      <c r="B45" t="s">
        <v>120</v>
      </c>
      <c r="C45" t="s">
        <v>54</v>
      </c>
      <c r="D45" t="s">
        <v>16</v>
      </c>
      <c r="E45" t="s">
        <v>2</v>
      </c>
      <c r="F45" t="s">
        <v>61</v>
      </c>
      <c r="G45" t="s">
        <v>62</v>
      </c>
      <c r="H45" s="2">
        <v>88000</v>
      </c>
      <c r="I45">
        <v>158</v>
      </c>
      <c r="J45">
        <v>43</v>
      </c>
      <c r="K45">
        <v>49</v>
      </c>
      <c r="L45" t="s">
        <v>121</v>
      </c>
      <c r="M45">
        <v>15</v>
      </c>
    </row>
    <row r="46" spans="2:13" x14ac:dyDescent="0.25">
      <c r="B46" t="s">
        <v>122</v>
      </c>
      <c r="C46" t="s">
        <v>54</v>
      </c>
      <c r="D46" t="s">
        <v>16</v>
      </c>
      <c r="E46" t="s">
        <v>2</v>
      </c>
      <c r="F46" t="s">
        <v>17</v>
      </c>
      <c r="G46" t="s">
        <v>18</v>
      </c>
      <c r="H46" s="2">
        <v>169000</v>
      </c>
      <c r="I46">
        <v>143</v>
      </c>
      <c r="J46">
        <v>25</v>
      </c>
      <c r="K46">
        <v>38</v>
      </c>
      <c r="L46" t="s">
        <v>98</v>
      </c>
      <c r="M46">
        <v>12</v>
      </c>
    </row>
    <row r="47" spans="2:13" x14ac:dyDescent="0.25">
      <c r="B47" t="s">
        <v>123</v>
      </c>
      <c r="C47" t="s">
        <v>26</v>
      </c>
      <c r="D47" t="s">
        <v>16</v>
      </c>
      <c r="E47" t="s">
        <v>2</v>
      </c>
      <c r="F47" t="s">
        <v>36</v>
      </c>
      <c r="G47" t="s">
        <v>37</v>
      </c>
      <c r="H47" s="2">
        <v>315000</v>
      </c>
      <c r="I47">
        <v>111</v>
      </c>
      <c r="J47">
        <v>13</v>
      </c>
      <c r="K47">
        <v>39</v>
      </c>
      <c r="L47" t="s">
        <v>124</v>
      </c>
      <c r="M47">
        <v>12</v>
      </c>
    </row>
    <row r="48" spans="2:13" x14ac:dyDescent="0.25">
      <c r="B48" t="s">
        <v>125</v>
      </c>
      <c r="C48" t="s">
        <v>15</v>
      </c>
      <c r="D48" t="s">
        <v>16</v>
      </c>
      <c r="E48" t="s">
        <v>2</v>
      </c>
      <c r="F48" t="s">
        <v>85</v>
      </c>
      <c r="G48" t="s">
        <v>86</v>
      </c>
      <c r="H48" s="2">
        <v>87000</v>
      </c>
      <c r="I48">
        <v>127</v>
      </c>
      <c r="J48">
        <v>44</v>
      </c>
      <c r="K48">
        <v>67</v>
      </c>
      <c r="L48" t="s">
        <v>126</v>
      </c>
      <c r="M48">
        <v>19</v>
      </c>
    </row>
    <row r="49" spans="2:13" x14ac:dyDescent="0.25">
      <c r="B49" t="s">
        <v>127</v>
      </c>
      <c r="C49" t="s">
        <v>26</v>
      </c>
      <c r="D49" t="s">
        <v>16</v>
      </c>
      <c r="E49" t="s">
        <v>2</v>
      </c>
      <c r="F49" t="s">
        <v>85</v>
      </c>
      <c r="G49" t="s">
        <v>86</v>
      </c>
      <c r="H49" s="2">
        <v>439000</v>
      </c>
      <c r="I49">
        <v>77</v>
      </c>
      <c r="J49">
        <v>13</v>
      </c>
      <c r="K49">
        <v>29</v>
      </c>
      <c r="L49" t="s">
        <v>100</v>
      </c>
      <c r="M49">
        <v>13</v>
      </c>
    </row>
    <row r="50" spans="2:13" x14ac:dyDescent="0.25">
      <c r="B50" t="s">
        <v>128</v>
      </c>
      <c r="C50" t="s">
        <v>47</v>
      </c>
      <c r="D50" t="s">
        <v>16</v>
      </c>
      <c r="E50" t="s">
        <v>2</v>
      </c>
      <c r="F50" t="s">
        <v>36</v>
      </c>
      <c r="G50" t="s">
        <v>37</v>
      </c>
      <c r="H50" s="2">
        <v>170000</v>
      </c>
      <c r="I50">
        <v>122</v>
      </c>
      <c r="J50">
        <v>39</v>
      </c>
      <c r="K50">
        <v>66</v>
      </c>
      <c r="L50" t="s">
        <v>129</v>
      </c>
      <c r="M50">
        <v>18</v>
      </c>
    </row>
    <row r="51" spans="2:13" x14ac:dyDescent="0.25">
      <c r="B51" t="s">
        <v>130</v>
      </c>
      <c r="C51" t="s">
        <v>1</v>
      </c>
      <c r="D51" t="s">
        <v>16</v>
      </c>
      <c r="E51" t="s">
        <v>2</v>
      </c>
      <c r="F51" t="s">
        <v>85</v>
      </c>
      <c r="G51" t="s">
        <v>86</v>
      </c>
      <c r="H51" s="2">
        <v>130000</v>
      </c>
      <c r="I51">
        <v>219</v>
      </c>
      <c r="J51">
        <v>40</v>
      </c>
      <c r="K51">
        <v>54</v>
      </c>
      <c r="L51" t="s">
        <v>19</v>
      </c>
      <c r="M51">
        <v>10</v>
      </c>
    </row>
    <row r="52" spans="2:13" x14ac:dyDescent="0.25">
      <c r="B52" t="s">
        <v>131</v>
      </c>
      <c r="C52" t="s">
        <v>15</v>
      </c>
      <c r="D52" t="s">
        <v>16</v>
      </c>
      <c r="E52" t="s">
        <v>2</v>
      </c>
      <c r="F52" t="s">
        <v>36</v>
      </c>
      <c r="G52" t="s">
        <v>37</v>
      </c>
      <c r="H52" s="2">
        <v>112000</v>
      </c>
      <c r="I52">
        <v>200</v>
      </c>
      <c r="J52">
        <v>40</v>
      </c>
      <c r="K52">
        <v>50</v>
      </c>
      <c r="L52" t="s">
        <v>113</v>
      </c>
      <c r="M52">
        <v>21</v>
      </c>
    </row>
    <row r="53" spans="2:13" x14ac:dyDescent="0.25">
      <c r="B53" t="s">
        <v>132</v>
      </c>
      <c r="C53" t="s">
        <v>26</v>
      </c>
      <c r="D53" t="s">
        <v>16</v>
      </c>
      <c r="E53" t="s">
        <v>2</v>
      </c>
      <c r="F53" t="s">
        <v>36</v>
      </c>
      <c r="G53" t="s">
        <v>37</v>
      </c>
      <c r="H53" s="2">
        <v>547000</v>
      </c>
      <c r="I53">
        <v>97</v>
      </c>
      <c r="J53">
        <v>18</v>
      </c>
      <c r="K53">
        <v>44</v>
      </c>
      <c r="L53" t="s">
        <v>133</v>
      </c>
      <c r="M53">
        <v>17</v>
      </c>
    </row>
    <row r="54" spans="2:13" x14ac:dyDescent="0.25">
      <c r="B54" t="s">
        <v>134</v>
      </c>
      <c r="C54" t="s">
        <v>47</v>
      </c>
      <c r="D54" t="s">
        <v>16</v>
      </c>
      <c r="E54" t="s">
        <v>2</v>
      </c>
      <c r="F54" t="s">
        <v>36</v>
      </c>
      <c r="G54" t="s">
        <v>37</v>
      </c>
      <c r="H54" s="2">
        <v>116000</v>
      </c>
      <c r="I54">
        <v>33</v>
      </c>
      <c r="J54">
        <v>45</v>
      </c>
      <c r="K54">
        <v>63</v>
      </c>
      <c r="L54" t="s">
        <v>38</v>
      </c>
      <c r="M54">
        <v>2</v>
      </c>
    </row>
    <row r="55" spans="2:13" x14ac:dyDescent="0.25">
      <c r="B55" t="s">
        <v>135</v>
      </c>
      <c r="C55" t="s">
        <v>44</v>
      </c>
      <c r="D55" t="s">
        <v>16</v>
      </c>
      <c r="E55" t="s">
        <v>2</v>
      </c>
      <c r="F55" t="s">
        <v>55</v>
      </c>
      <c r="G55" t="s">
        <v>56</v>
      </c>
      <c r="H55" s="2">
        <v>31000</v>
      </c>
      <c r="I55">
        <v>173</v>
      </c>
      <c r="J55">
        <v>21</v>
      </c>
      <c r="K55">
        <v>43</v>
      </c>
      <c r="L55" t="s">
        <v>73</v>
      </c>
      <c r="M55">
        <v>15</v>
      </c>
    </row>
    <row r="56" spans="2:13" x14ac:dyDescent="0.25">
      <c r="B56" t="s">
        <v>136</v>
      </c>
      <c r="C56" t="s">
        <v>21</v>
      </c>
      <c r="D56" t="s">
        <v>16</v>
      </c>
      <c r="E56" t="s">
        <v>2</v>
      </c>
      <c r="F56" t="s">
        <v>81</v>
      </c>
      <c r="G56" t="s">
        <v>82</v>
      </c>
      <c r="H56" s="2">
        <v>21000</v>
      </c>
      <c r="I56">
        <v>38</v>
      </c>
      <c r="J56">
        <v>9</v>
      </c>
      <c r="K56">
        <v>36</v>
      </c>
      <c r="L56" t="s">
        <v>83</v>
      </c>
      <c r="M56">
        <v>3</v>
      </c>
    </row>
    <row r="57" spans="2:13" x14ac:dyDescent="0.25">
      <c r="B57" t="s">
        <v>137</v>
      </c>
      <c r="C57" t="s">
        <v>44</v>
      </c>
      <c r="D57" t="s">
        <v>16</v>
      </c>
      <c r="E57" t="s">
        <v>2</v>
      </c>
      <c r="F57" t="s">
        <v>81</v>
      </c>
      <c r="G57" t="s">
        <v>82</v>
      </c>
      <c r="H57" s="2">
        <v>89000</v>
      </c>
      <c r="I57">
        <v>151</v>
      </c>
      <c r="J57">
        <v>14</v>
      </c>
      <c r="K57">
        <v>37</v>
      </c>
      <c r="L57" t="s">
        <v>38</v>
      </c>
      <c r="M57">
        <v>11</v>
      </c>
    </row>
    <row r="58" spans="2:13" x14ac:dyDescent="0.25">
      <c r="B58" t="s">
        <v>138</v>
      </c>
      <c r="C58" t="s">
        <v>44</v>
      </c>
      <c r="D58" t="s">
        <v>16</v>
      </c>
      <c r="E58" t="s">
        <v>2</v>
      </c>
      <c r="F58" t="s">
        <v>17</v>
      </c>
      <c r="G58" t="s">
        <v>18</v>
      </c>
      <c r="H58" s="2">
        <v>20000</v>
      </c>
      <c r="I58">
        <v>240</v>
      </c>
      <c r="J58">
        <v>27</v>
      </c>
      <c r="K58">
        <v>60</v>
      </c>
      <c r="L58" t="s">
        <v>98</v>
      </c>
      <c r="M58">
        <v>5</v>
      </c>
    </row>
    <row r="59" spans="2:13" x14ac:dyDescent="0.25">
      <c r="B59" t="s">
        <v>139</v>
      </c>
      <c r="C59" t="s">
        <v>44</v>
      </c>
      <c r="D59" t="s">
        <v>16</v>
      </c>
      <c r="E59" t="s">
        <v>2</v>
      </c>
      <c r="F59" t="s">
        <v>81</v>
      </c>
      <c r="G59" t="s">
        <v>82</v>
      </c>
      <c r="H59" s="2">
        <v>86000</v>
      </c>
      <c r="I59">
        <v>236</v>
      </c>
      <c r="J59">
        <v>31</v>
      </c>
      <c r="K59">
        <v>59</v>
      </c>
      <c r="L59" t="s">
        <v>140</v>
      </c>
      <c r="M59">
        <v>7</v>
      </c>
    </row>
    <row r="60" spans="2:13" x14ac:dyDescent="0.25">
      <c r="B60" t="s">
        <v>141</v>
      </c>
      <c r="C60" t="s">
        <v>66</v>
      </c>
      <c r="D60" t="s">
        <v>16</v>
      </c>
      <c r="E60" t="s">
        <v>2</v>
      </c>
      <c r="F60" t="s">
        <v>32</v>
      </c>
      <c r="G60" t="s">
        <v>33</v>
      </c>
      <c r="H60" s="2">
        <v>175000</v>
      </c>
      <c r="I60">
        <v>16</v>
      </c>
      <c r="J60">
        <v>16</v>
      </c>
      <c r="K60">
        <v>44</v>
      </c>
      <c r="L60" t="s">
        <v>142</v>
      </c>
      <c r="M60">
        <v>9</v>
      </c>
    </row>
    <row r="61" spans="2:13" x14ac:dyDescent="0.25">
      <c r="B61" t="s">
        <v>143</v>
      </c>
      <c r="C61" t="s">
        <v>47</v>
      </c>
      <c r="D61" t="s">
        <v>16</v>
      </c>
      <c r="E61" t="s">
        <v>2</v>
      </c>
      <c r="F61" t="s">
        <v>48</v>
      </c>
      <c r="G61" t="s">
        <v>49</v>
      </c>
      <c r="H61" s="2">
        <v>171000</v>
      </c>
      <c r="I61">
        <v>211</v>
      </c>
      <c r="J61">
        <v>49</v>
      </c>
      <c r="K61">
        <v>57</v>
      </c>
      <c r="L61" t="s">
        <v>144</v>
      </c>
      <c r="M61">
        <v>17</v>
      </c>
    </row>
    <row r="62" spans="2:13" x14ac:dyDescent="0.25">
      <c r="B62" t="s">
        <v>145</v>
      </c>
      <c r="C62" t="s">
        <v>26</v>
      </c>
      <c r="D62" t="s">
        <v>16</v>
      </c>
      <c r="E62" t="s">
        <v>2</v>
      </c>
      <c r="F62" t="s">
        <v>36</v>
      </c>
      <c r="G62" t="s">
        <v>37</v>
      </c>
      <c r="H62" s="2">
        <v>282000</v>
      </c>
      <c r="I62">
        <v>219</v>
      </c>
      <c r="J62">
        <v>34</v>
      </c>
      <c r="K62">
        <v>54</v>
      </c>
      <c r="L62" t="s">
        <v>59</v>
      </c>
      <c r="M62">
        <v>9</v>
      </c>
    </row>
    <row r="63" spans="2:13" x14ac:dyDescent="0.25">
      <c r="B63" t="s">
        <v>146</v>
      </c>
      <c r="C63" t="s">
        <v>1</v>
      </c>
      <c r="D63" t="s">
        <v>16</v>
      </c>
      <c r="E63" t="s">
        <v>2</v>
      </c>
      <c r="F63" t="s">
        <v>36</v>
      </c>
      <c r="G63" t="s">
        <v>37</v>
      </c>
      <c r="H63" s="2">
        <v>129000</v>
      </c>
      <c r="I63">
        <v>59</v>
      </c>
      <c r="J63">
        <v>30</v>
      </c>
      <c r="K63">
        <v>45</v>
      </c>
      <c r="L63" t="s">
        <v>147</v>
      </c>
      <c r="M63">
        <v>10</v>
      </c>
    </row>
    <row r="64" spans="2:13" x14ac:dyDescent="0.25">
      <c r="B64" t="s">
        <v>148</v>
      </c>
      <c r="C64" t="s">
        <v>44</v>
      </c>
      <c r="D64" t="s">
        <v>16</v>
      </c>
      <c r="E64" t="s">
        <v>2</v>
      </c>
      <c r="F64" t="s">
        <v>32</v>
      </c>
      <c r="G64" t="s">
        <v>33</v>
      </c>
      <c r="H64" s="2">
        <v>80000</v>
      </c>
      <c r="I64">
        <v>112</v>
      </c>
      <c r="J64">
        <v>48</v>
      </c>
      <c r="K64">
        <v>70</v>
      </c>
      <c r="L64" t="s">
        <v>149</v>
      </c>
      <c r="M64">
        <v>5</v>
      </c>
    </row>
    <row r="65" spans="2:13" x14ac:dyDescent="0.25">
      <c r="B65" t="s">
        <v>150</v>
      </c>
      <c r="C65" t="s">
        <v>47</v>
      </c>
      <c r="D65" t="s">
        <v>16</v>
      </c>
      <c r="E65" t="s">
        <v>2</v>
      </c>
      <c r="F65" t="s">
        <v>85</v>
      </c>
      <c r="G65" t="s">
        <v>86</v>
      </c>
      <c r="H65" s="2">
        <v>181000</v>
      </c>
      <c r="I65">
        <v>158</v>
      </c>
      <c r="J65">
        <v>21</v>
      </c>
      <c r="K65">
        <v>39</v>
      </c>
      <c r="L65" t="s">
        <v>71</v>
      </c>
      <c r="M65">
        <v>15</v>
      </c>
    </row>
    <row r="66" spans="2:13" x14ac:dyDescent="0.25">
      <c r="B66" t="s">
        <v>151</v>
      </c>
      <c r="C66" t="s">
        <v>44</v>
      </c>
      <c r="D66" t="s">
        <v>16</v>
      </c>
      <c r="E66" t="s">
        <v>2</v>
      </c>
      <c r="F66" t="s">
        <v>85</v>
      </c>
      <c r="G66" t="s">
        <v>86</v>
      </c>
      <c r="H66" s="2">
        <v>55000</v>
      </c>
      <c r="I66">
        <v>121</v>
      </c>
      <c r="J66">
        <v>43</v>
      </c>
      <c r="K66">
        <v>64</v>
      </c>
      <c r="L66" t="s">
        <v>152</v>
      </c>
      <c r="M66">
        <v>20</v>
      </c>
    </row>
    <row r="67" spans="2:13" x14ac:dyDescent="0.25">
      <c r="B67" t="s">
        <v>153</v>
      </c>
      <c r="C67" t="s">
        <v>26</v>
      </c>
      <c r="D67" t="s">
        <v>16</v>
      </c>
      <c r="E67" t="s">
        <v>2</v>
      </c>
      <c r="F67" t="s">
        <v>22</v>
      </c>
      <c r="G67" t="s">
        <v>23</v>
      </c>
      <c r="H67" s="2">
        <v>310000</v>
      </c>
      <c r="I67">
        <v>21</v>
      </c>
      <c r="J67">
        <v>50</v>
      </c>
      <c r="K67">
        <v>68</v>
      </c>
      <c r="L67" t="s">
        <v>93</v>
      </c>
      <c r="M67">
        <v>19</v>
      </c>
    </row>
    <row r="68" spans="2:13" x14ac:dyDescent="0.25">
      <c r="B68" t="s">
        <v>154</v>
      </c>
      <c r="C68" t="s">
        <v>26</v>
      </c>
      <c r="D68" t="s">
        <v>16</v>
      </c>
      <c r="E68" t="s">
        <v>2</v>
      </c>
      <c r="F68" t="s">
        <v>32</v>
      </c>
      <c r="G68" t="s">
        <v>33</v>
      </c>
      <c r="H68" s="2">
        <v>366000</v>
      </c>
      <c r="I68">
        <v>120</v>
      </c>
      <c r="J68">
        <v>9</v>
      </c>
      <c r="K68">
        <v>35</v>
      </c>
      <c r="L68" t="s">
        <v>155</v>
      </c>
      <c r="M68">
        <v>12</v>
      </c>
    </row>
    <row r="69" spans="2:13" x14ac:dyDescent="0.25">
      <c r="B69" t="s">
        <v>156</v>
      </c>
      <c r="C69" t="s">
        <v>15</v>
      </c>
      <c r="D69" t="s">
        <v>16</v>
      </c>
      <c r="E69" t="s">
        <v>2</v>
      </c>
      <c r="F69" t="s">
        <v>36</v>
      </c>
      <c r="G69" t="s">
        <v>37</v>
      </c>
      <c r="H69" s="2">
        <v>269000</v>
      </c>
      <c r="I69">
        <v>240</v>
      </c>
      <c r="J69">
        <v>24</v>
      </c>
      <c r="K69">
        <v>60</v>
      </c>
      <c r="L69" t="s">
        <v>98</v>
      </c>
      <c r="M69">
        <v>15</v>
      </c>
    </row>
    <row r="70" spans="2:13" x14ac:dyDescent="0.25">
      <c r="B70" t="s">
        <v>157</v>
      </c>
      <c r="C70" t="s">
        <v>44</v>
      </c>
      <c r="D70" t="s">
        <v>16</v>
      </c>
      <c r="E70" t="s">
        <v>2</v>
      </c>
      <c r="F70" t="s">
        <v>81</v>
      </c>
      <c r="G70" t="s">
        <v>82</v>
      </c>
      <c r="H70" s="2">
        <v>66000</v>
      </c>
      <c r="I70">
        <v>188</v>
      </c>
      <c r="J70">
        <v>23</v>
      </c>
      <c r="K70">
        <v>47</v>
      </c>
      <c r="L70" t="s">
        <v>158</v>
      </c>
      <c r="M70">
        <v>15</v>
      </c>
    </row>
    <row r="71" spans="2:13" x14ac:dyDescent="0.25">
      <c r="B71" t="s">
        <v>159</v>
      </c>
      <c r="C71" t="s">
        <v>29</v>
      </c>
      <c r="D71" t="s">
        <v>16</v>
      </c>
      <c r="E71" t="s">
        <v>2</v>
      </c>
      <c r="F71" t="s">
        <v>48</v>
      </c>
      <c r="G71" t="s">
        <v>49</v>
      </c>
      <c r="H71" s="2">
        <v>169000</v>
      </c>
      <c r="I71">
        <v>167</v>
      </c>
      <c r="J71">
        <v>41</v>
      </c>
      <c r="K71">
        <v>55</v>
      </c>
      <c r="L71" t="s">
        <v>73</v>
      </c>
      <c r="M71">
        <v>2</v>
      </c>
    </row>
    <row r="72" spans="2:13" x14ac:dyDescent="0.25">
      <c r="B72" t="s">
        <v>160</v>
      </c>
      <c r="C72" t="s">
        <v>47</v>
      </c>
      <c r="D72" t="s">
        <v>16</v>
      </c>
      <c r="E72" t="s">
        <v>2</v>
      </c>
      <c r="F72" t="s">
        <v>61</v>
      </c>
      <c r="G72" t="s">
        <v>62</v>
      </c>
      <c r="H72" s="2">
        <v>236000</v>
      </c>
      <c r="I72">
        <v>63</v>
      </c>
      <c r="J72">
        <v>32</v>
      </c>
      <c r="K72">
        <v>62</v>
      </c>
      <c r="L72" t="s">
        <v>161</v>
      </c>
      <c r="M72">
        <v>12</v>
      </c>
    </row>
    <row r="73" spans="2:13" x14ac:dyDescent="0.25">
      <c r="B73" t="s">
        <v>162</v>
      </c>
      <c r="C73" t="s">
        <v>163</v>
      </c>
      <c r="D73" t="s">
        <v>16</v>
      </c>
      <c r="E73" t="s">
        <v>2</v>
      </c>
      <c r="F73" t="s">
        <v>40</v>
      </c>
      <c r="G73" t="s">
        <v>41</v>
      </c>
      <c r="H73" s="2">
        <v>66000</v>
      </c>
      <c r="I73">
        <v>123</v>
      </c>
      <c r="J73">
        <v>48</v>
      </c>
      <c r="K73">
        <v>59</v>
      </c>
      <c r="L73" t="s">
        <v>164</v>
      </c>
      <c r="M73">
        <v>7</v>
      </c>
    </row>
    <row r="74" spans="2:13" x14ac:dyDescent="0.25">
      <c r="B74" t="s">
        <v>165</v>
      </c>
      <c r="C74" t="s">
        <v>15</v>
      </c>
      <c r="D74" t="s">
        <v>16</v>
      </c>
      <c r="E74" t="s">
        <v>2</v>
      </c>
      <c r="F74" t="s">
        <v>61</v>
      </c>
      <c r="G74" t="s">
        <v>62</v>
      </c>
      <c r="H74" s="2">
        <v>157000</v>
      </c>
      <c r="I74">
        <v>141</v>
      </c>
      <c r="J74">
        <v>47</v>
      </c>
      <c r="K74">
        <v>72</v>
      </c>
      <c r="L74" t="s">
        <v>166</v>
      </c>
      <c r="M74">
        <v>4</v>
      </c>
    </row>
    <row r="75" spans="2:13" x14ac:dyDescent="0.25">
      <c r="B75" t="s">
        <v>167</v>
      </c>
      <c r="C75" t="s">
        <v>26</v>
      </c>
      <c r="D75" t="s">
        <v>16</v>
      </c>
      <c r="E75" t="s">
        <v>2</v>
      </c>
      <c r="F75" t="s">
        <v>17</v>
      </c>
      <c r="G75" t="s">
        <v>18</v>
      </c>
      <c r="H75" s="2">
        <v>524000</v>
      </c>
      <c r="I75">
        <v>89</v>
      </c>
      <c r="J75">
        <v>19</v>
      </c>
      <c r="K75">
        <v>49</v>
      </c>
      <c r="L75" t="s">
        <v>64</v>
      </c>
      <c r="M75">
        <v>2</v>
      </c>
    </row>
    <row r="76" spans="2:13" x14ac:dyDescent="0.25">
      <c r="B76" t="s">
        <v>168</v>
      </c>
      <c r="C76" t="s">
        <v>1</v>
      </c>
      <c r="D76" t="s">
        <v>16</v>
      </c>
      <c r="E76" t="s">
        <v>2</v>
      </c>
      <c r="F76" t="s">
        <v>85</v>
      </c>
      <c r="G76" t="s">
        <v>86</v>
      </c>
      <c r="H76" s="2">
        <v>76000</v>
      </c>
      <c r="I76">
        <v>131</v>
      </c>
      <c r="J76">
        <v>44</v>
      </c>
      <c r="K76">
        <v>73</v>
      </c>
      <c r="L76" t="s">
        <v>124</v>
      </c>
      <c r="M76">
        <v>15</v>
      </c>
    </row>
    <row r="77" spans="2:13" x14ac:dyDescent="0.25">
      <c r="B77" t="s">
        <v>169</v>
      </c>
      <c r="C77" t="s">
        <v>54</v>
      </c>
      <c r="D77" t="s">
        <v>16</v>
      </c>
      <c r="E77" t="s">
        <v>2</v>
      </c>
      <c r="F77" t="s">
        <v>55</v>
      </c>
      <c r="G77" t="s">
        <v>56</v>
      </c>
      <c r="H77" s="2">
        <v>74000</v>
      </c>
      <c r="I77">
        <v>193</v>
      </c>
      <c r="J77">
        <v>49</v>
      </c>
      <c r="K77">
        <v>66</v>
      </c>
      <c r="L77" t="s">
        <v>119</v>
      </c>
      <c r="M77">
        <v>9</v>
      </c>
    </row>
    <row r="78" spans="2:13" x14ac:dyDescent="0.25">
      <c r="B78" t="s">
        <v>170</v>
      </c>
      <c r="C78" t="s">
        <v>66</v>
      </c>
      <c r="D78" t="s">
        <v>16</v>
      </c>
      <c r="E78" t="s">
        <v>2</v>
      </c>
      <c r="F78" t="s">
        <v>85</v>
      </c>
      <c r="G78" t="s">
        <v>86</v>
      </c>
      <c r="H78" s="2">
        <v>237000</v>
      </c>
      <c r="I78">
        <v>186</v>
      </c>
      <c r="J78">
        <v>5</v>
      </c>
      <c r="K78">
        <v>46</v>
      </c>
      <c r="L78" t="s">
        <v>171</v>
      </c>
      <c r="M78">
        <v>15</v>
      </c>
    </row>
    <row r="79" spans="2:13" x14ac:dyDescent="0.25">
      <c r="B79" t="s">
        <v>172</v>
      </c>
      <c r="C79" t="s">
        <v>26</v>
      </c>
      <c r="D79" t="s">
        <v>16</v>
      </c>
      <c r="E79" t="s">
        <v>2</v>
      </c>
      <c r="F79" t="s">
        <v>55</v>
      </c>
      <c r="G79" t="s">
        <v>56</v>
      </c>
      <c r="H79" s="2">
        <v>270000</v>
      </c>
      <c r="I79">
        <v>215</v>
      </c>
      <c r="J79">
        <v>49</v>
      </c>
      <c r="K79">
        <v>70</v>
      </c>
      <c r="L79" t="s">
        <v>173</v>
      </c>
      <c r="M79">
        <v>19</v>
      </c>
    </row>
    <row r="80" spans="2:13" x14ac:dyDescent="0.25">
      <c r="B80" t="s">
        <v>174</v>
      </c>
      <c r="C80" t="s">
        <v>26</v>
      </c>
      <c r="D80" t="s">
        <v>16</v>
      </c>
      <c r="E80" t="s">
        <v>2</v>
      </c>
      <c r="F80" t="s">
        <v>81</v>
      </c>
      <c r="G80" t="s">
        <v>82</v>
      </c>
      <c r="H80" s="2">
        <v>649000</v>
      </c>
      <c r="I80">
        <v>227</v>
      </c>
      <c r="J80">
        <v>12</v>
      </c>
      <c r="K80">
        <v>56</v>
      </c>
      <c r="L80" t="s">
        <v>175</v>
      </c>
      <c r="M80">
        <v>18</v>
      </c>
    </row>
    <row r="81" spans="2:13" x14ac:dyDescent="0.25">
      <c r="B81" t="s">
        <v>176</v>
      </c>
      <c r="C81" t="s">
        <v>21</v>
      </c>
      <c r="D81" t="s">
        <v>16</v>
      </c>
      <c r="E81" t="s">
        <v>2</v>
      </c>
      <c r="F81" t="s">
        <v>40</v>
      </c>
      <c r="G81" t="s">
        <v>41</v>
      </c>
      <c r="H81" s="2">
        <v>96000</v>
      </c>
      <c r="I81">
        <v>91</v>
      </c>
      <c r="J81">
        <v>33</v>
      </c>
      <c r="K81">
        <v>57</v>
      </c>
      <c r="L81" t="s">
        <v>177</v>
      </c>
      <c r="M81">
        <v>19</v>
      </c>
    </row>
    <row r="82" spans="2:13" x14ac:dyDescent="0.25">
      <c r="B82" t="s">
        <v>178</v>
      </c>
      <c r="C82" t="s">
        <v>163</v>
      </c>
      <c r="D82" t="s">
        <v>16</v>
      </c>
      <c r="E82" t="s">
        <v>2</v>
      </c>
      <c r="F82" t="s">
        <v>36</v>
      </c>
      <c r="G82" t="s">
        <v>37</v>
      </c>
      <c r="H82" s="2">
        <v>30000</v>
      </c>
      <c r="I82">
        <v>200</v>
      </c>
      <c r="J82">
        <v>35</v>
      </c>
      <c r="K82">
        <v>54</v>
      </c>
      <c r="L82" t="s">
        <v>110</v>
      </c>
      <c r="M82">
        <v>9</v>
      </c>
    </row>
    <row r="83" spans="2:13" x14ac:dyDescent="0.25">
      <c r="B83" t="s">
        <v>179</v>
      </c>
      <c r="C83" t="s">
        <v>47</v>
      </c>
      <c r="D83" t="s">
        <v>16</v>
      </c>
      <c r="E83" t="s">
        <v>2</v>
      </c>
      <c r="F83" t="s">
        <v>17</v>
      </c>
      <c r="G83" t="s">
        <v>18</v>
      </c>
      <c r="H83" s="2">
        <v>482000</v>
      </c>
      <c r="I83">
        <v>209</v>
      </c>
      <c r="J83">
        <v>38</v>
      </c>
      <c r="K83">
        <v>58</v>
      </c>
      <c r="L83" t="s">
        <v>50</v>
      </c>
      <c r="M83">
        <v>16</v>
      </c>
    </row>
    <row r="84" spans="2:13" x14ac:dyDescent="0.25">
      <c r="B84" t="s">
        <v>180</v>
      </c>
      <c r="C84" t="s">
        <v>15</v>
      </c>
      <c r="D84" t="s">
        <v>16</v>
      </c>
      <c r="E84" t="s">
        <v>2</v>
      </c>
      <c r="F84" t="s">
        <v>32</v>
      </c>
      <c r="G84" t="s">
        <v>33</v>
      </c>
      <c r="H84" s="2">
        <v>267000</v>
      </c>
      <c r="I84">
        <v>83</v>
      </c>
      <c r="J84">
        <v>20</v>
      </c>
      <c r="K84">
        <v>33</v>
      </c>
      <c r="L84" t="s">
        <v>181</v>
      </c>
      <c r="M84">
        <v>19</v>
      </c>
    </row>
    <row r="85" spans="2:13" x14ac:dyDescent="0.25">
      <c r="B85" t="s">
        <v>182</v>
      </c>
      <c r="C85" t="s">
        <v>15</v>
      </c>
      <c r="D85" t="s">
        <v>16</v>
      </c>
      <c r="E85" t="s">
        <v>2</v>
      </c>
      <c r="F85" t="s">
        <v>81</v>
      </c>
      <c r="G85" t="s">
        <v>82</v>
      </c>
      <c r="H85" s="2">
        <v>120000</v>
      </c>
      <c r="I85">
        <v>48</v>
      </c>
      <c r="J85">
        <v>19</v>
      </c>
      <c r="K85">
        <v>36</v>
      </c>
      <c r="L85" t="s">
        <v>183</v>
      </c>
      <c r="M85">
        <v>8</v>
      </c>
    </row>
    <row r="86" spans="2:13" x14ac:dyDescent="0.25">
      <c r="B86" t="s">
        <v>184</v>
      </c>
      <c r="C86" t="s">
        <v>15</v>
      </c>
      <c r="D86" t="s">
        <v>16</v>
      </c>
      <c r="E86" t="s">
        <v>2</v>
      </c>
      <c r="F86" t="s">
        <v>55</v>
      </c>
      <c r="G86" t="s">
        <v>56</v>
      </c>
      <c r="H86" s="2">
        <v>191000</v>
      </c>
      <c r="I86">
        <v>114</v>
      </c>
      <c r="J86">
        <v>26</v>
      </c>
      <c r="K86">
        <v>48</v>
      </c>
      <c r="L86" t="s">
        <v>185</v>
      </c>
      <c r="M86">
        <v>3</v>
      </c>
    </row>
    <row r="87" spans="2:13" x14ac:dyDescent="0.25">
      <c r="B87" t="s">
        <v>186</v>
      </c>
      <c r="C87" t="s">
        <v>26</v>
      </c>
      <c r="D87" t="s">
        <v>16</v>
      </c>
      <c r="E87" t="s">
        <v>2</v>
      </c>
      <c r="F87" t="s">
        <v>61</v>
      </c>
      <c r="G87" t="s">
        <v>62</v>
      </c>
      <c r="H87" s="2">
        <v>606000</v>
      </c>
      <c r="I87">
        <v>117</v>
      </c>
      <c r="J87">
        <v>29</v>
      </c>
      <c r="K87">
        <v>58</v>
      </c>
      <c r="L87" t="s">
        <v>52</v>
      </c>
      <c r="M87">
        <v>2</v>
      </c>
    </row>
    <row r="88" spans="2:13" x14ac:dyDescent="0.25">
      <c r="B88" t="s">
        <v>187</v>
      </c>
      <c r="C88" t="s">
        <v>54</v>
      </c>
      <c r="D88" t="s">
        <v>16</v>
      </c>
      <c r="E88" t="s">
        <v>2</v>
      </c>
      <c r="F88" t="s">
        <v>36</v>
      </c>
      <c r="G88" t="s">
        <v>37</v>
      </c>
      <c r="H88" s="2">
        <v>122000</v>
      </c>
      <c r="I88">
        <v>132</v>
      </c>
      <c r="J88">
        <v>5</v>
      </c>
      <c r="K88">
        <v>33</v>
      </c>
      <c r="L88" t="s">
        <v>110</v>
      </c>
      <c r="M88">
        <v>14</v>
      </c>
    </row>
    <row r="89" spans="2:13" x14ac:dyDescent="0.25">
      <c r="B89" t="s">
        <v>188</v>
      </c>
      <c r="C89" t="s">
        <v>29</v>
      </c>
      <c r="D89" t="s">
        <v>16</v>
      </c>
      <c r="E89" t="s">
        <v>2</v>
      </c>
      <c r="F89" t="s">
        <v>48</v>
      </c>
      <c r="G89" t="s">
        <v>49</v>
      </c>
      <c r="H89" s="2">
        <v>192000</v>
      </c>
      <c r="I89">
        <v>134</v>
      </c>
      <c r="J89">
        <v>19</v>
      </c>
      <c r="K89">
        <v>33</v>
      </c>
      <c r="L89" t="s">
        <v>189</v>
      </c>
      <c r="M89">
        <v>2</v>
      </c>
    </row>
    <row r="90" spans="2:13" x14ac:dyDescent="0.25">
      <c r="B90" t="s">
        <v>190</v>
      </c>
      <c r="C90" t="s">
        <v>29</v>
      </c>
      <c r="D90" t="s">
        <v>16</v>
      </c>
      <c r="E90" t="s">
        <v>2</v>
      </c>
      <c r="F90" t="s">
        <v>48</v>
      </c>
      <c r="G90" t="s">
        <v>49</v>
      </c>
      <c r="H90" s="2">
        <v>252000</v>
      </c>
      <c r="I90">
        <v>181</v>
      </c>
      <c r="J90">
        <v>48</v>
      </c>
      <c r="K90">
        <v>78</v>
      </c>
      <c r="L90" t="s">
        <v>77</v>
      </c>
      <c r="M90">
        <v>7</v>
      </c>
    </row>
    <row r="91" spans="2:13" x14ac:dyDescent="0.25">
      <c r="B91" t="s">
        <v>191</v>
      </c>
      <c r="C91" t="s">
        <v>163</v>
      </c>
      <c r="D91" t="s">
        <v>16</v>
      </c>
      <c r="E91" t="s">
        <v>2</v>
      </c>
      <c r="F91" t="s">
        <v>48</v>
      </c>
      <c r="G91" t="s">
        <v>49</v>
      </c>
      <c r="H91" s="2">
        <v>26000</v>
      </c>
      <c r="I91">
        <v>169</v>
      </c>
      <c r="J91">
        <v>39</v>
      </c>
      <c r="K91">
        <v>44</v>
      </c>
      <c r="L91" t="s">
        <v>95</v>
      </c>
      <c r="M91">
        <v>20</v>
      </c>
    </row>
    <row r="92" spans="2:13" x14ac:dyDescent="0.25">
      <c r="B92" t="s">
        <v>192</v>
      </c>
      <c r="C92" t="s">
        <v>1</v>
      </c>
      <c r="D92" t="s">
        <v>16</v>
      </c>
      <c r="E92" t="s">
        <v>2</v>
      </c>
      <c r="F92" t="s">
        <v>55</v>
      </c>
      <c r="G92" t="s">
        <v>56</v>
      </c>
      <c r="H92" s="2">
        <v>55000</v>
      </c>
      <c r="I92">
        <v>174</v>
      </c>
      <c r="J92">
        <v>32</v>
      </c>
      <c r="K92">
        <v>43</v>
      </c>
      <c r="L92" t="s">
        <v>193</v>
      </c>
      <c r="M92">
        <v>3</v>
      </c>
    </row>
    <row r="93" spans="2:13" x14ac:dyDescent="0.25">
      <c r="B93" t="s">
        <v>194</v>
      </c>
      <c r="C93" t="s">
        <v>47</v>
      </c>
      <c r="D93" t="s">
        <v>16</v>
      </c>
      <c r="E93" t="s">
        <v>2</v>
      </c>
      <c r="F93" t="s">
        <v>32</v>
      </c>
      <c r="G93" t="s">
        <v>33</v>
      </c>
      <c r="H93" s="2">
        <v>284000</v>
      </c>
      <c r="I93">
        <v>93</v>
      </c>
      <c r="J93">
        <v>18</v>
      </c>
      <c r="K93">
        <v>37</v>
      </c>
      <c r="L93" t="s">
        <v>195</v>
      </c>
      <c r="M93">
        <v>14</v>
      </c>
    </row>
    <row r="94" spans="2:13" x14ac:dyDescent="0.25">
      <c r="B94" t="s">
        <v>196</v>
      </c>
      <c r="C94" t="s">
        <v>47</v>
      </c>
      <c r="D94" t="s">
        <v>16</v>
      </c>
      <c r="E94" t="s">
        <v>2</v>
      </c>
      <c r="F94" t="s">
        <v>85</v>
      </c>
      <c r="G94" t="s">
        <v>86</v>
      </c>
      <c r="H94" s="2">
        <v>475000</v>
      </c>
      <c r="I94">
        <v>222</v>
      </c>
      <c r="J94">
        <v>31</v>
      </c>
      <c r="K94">
        <v>55</v>
      </c>
      <c r="L94" t="s">
        <v>164</v>
      </c>
      <c r="M94">
        <v>2</v>
      </c>
    </row>
    <row r="95" spans="2:13" x14ac:dyDescent="0.25">
      <c r="B95" t="s">
        <v>197</v>
      </c>
      <c r="C95" t="s">
        <v>21</v>
      </c>
      <c r="D95" t="s">
        <v>16</v>
      </c>
      <c r="E95" t="s">
        <v>2</v>
      </c>
      <c r="F95" t="s">
        <v>85</v>
      </c>
      <c r="G95" t="s">
        <v>86</v>
      </c>
      <c r="H95" s="2">
        <v>26000</v>
      </c>
      <c r="I95">
        <v>99</v>
      </c>
      <c r="J95">
        <v>19</v>
      </c>
      <c r="K95">
        <v>44</v>
      </c>
      <c r="L95" t="s">
        <v>171</v>
      </c>
      <c r="M95">
        <v>3</v>
      </c>
    </row>
    <row r="96" spans="2:13" x14ac:dyDescent="0.25">
      <c r="B96" t="s">
        <v>198</v>
      </c>
      <c r="C96" t="s">
        <v>1</v>
      </c>
      <c r="D96" t="s">
        <v>16</v>
      </c>
      <c r="E96" t="s">
        <v>2</v>
      </c>
      <c r="F96" t="s">
        <v>81</v>
      </c>
      <c r="G96" t="s">
        <v>82</v>
      </c>
      <c r="H96" s="2">
        <v>76000</v>
      </c>
      <c r="I96">
        <v>61</v>
      </c>
      <c r="J96">
        <v>6</v>
      </c>
      <c r="K96">
        <v>30</v>
      </c>
      <c r="L96" t="s">
        <v>140</v>
      </c>
      <c r="M96">
        <v>6</v>
      </c>
    </row>
    <row r="97" spans="2:13" x14ac:dyDescent="0.25">
      <c r="B97" t="s">
        <v>199</v>
      </c>
      <c r="C97" t="s">
        <v>163</v>
      </c>
      <c r="D97" t="s">
        <v>16</v>
      </c>
      <c r="E97" t="s">
        <v>2</v>
      </c>
      <c r="F97" t="s">
        <v>36</v>
      </c>
      <c r="G97" t="s">
        <v>37</v>
      </c>
      <c r="H97" s="2">
        <v>24000</v>
      </c>
      <c r="I97">
        <v>154</v>
      </c>
      <c r="J97">
        <v>18</v>
      </c>
      <c r="K97">
        <v>38</v>
      </c>
      <c r="L97" t="s">
        <v>75</v>
      </c>
      <c r="M97">
        <v>13</v>
      </c>
    </row>
    <row r="98" spans="2:13" x14ac:dyDescent="0.25">
      <c r="B98" t="s">
        <v>200</v>
      </c>
      <c r="C98" t="s">
        <v>66</v>
      </c>
      <c r="D98" t="s">
        <v>16</v>
      </c>
      <c r="E98" t="s">
        <v>2</v>
      </c>
      <c r="F98" t="s">
        <v>81</v>
      </c>
      <c r="G98" t="s">
        <v>82</v>
      </c>
      <c r="H98" s="2">
        <v>225000</v>
      </c>
      <c r="I98">
        <v>165</v>
      </c>
      <c r="J98">
        <v>50</v>
      </c>
      <c r="K98">
        <v>58</v>
      </c>
      <c r="L98" t="s">
        <v>201</v>
      </c>
      <c r="M98">
        <v>5</v>
      </c>
    </row>
    <row r="99" spans="2:13" x14ac:dyDescent="0.25">
      <c r="B99" t="s">
        <v>202</v>
      </c>
      <c r="C99" t="s">
        <v>54</v>
      </c>
      <c r="D99" t="s">
        <v>16</v>
      </c>
      <c r="E99" t="s">
        <v>2</v>
      </c>
      <c r="F99" t="s">
        <v>48</v>
      </c>
      <c r="G99" t="s">
        <v>49</v>
      </c>
      <c r="H99" s="2">
        <v>31000</v>
      </c>
      <c r="I99">
        <v>247</v>
      </c>
      <c r="J99">
        <v>24</v>
      </c>
      <c r="K99">
        <v>61</v>
      </c>
      <c r="L99" t="s">
        <v>203</v>
      </c>
      <c r="M99">
        <v>8</v>
      </c>
    </row>
    <row r="100" spans="2:13" x14ac:dyDescent="0.25">
      <c r="B100" t="s">
        <v>204</v>
      </c>
      <c r="C100" t="s">
        <v>15</v>
      </c>
      <c r="D100" t="s">
        <v>16</v>
      </c>
      <c r="E100" t="s">
        <v>2</v>
      </c>
      <c r="F100" t="s">
        <v>85</v>
      </c>
      <c r="G100" t="s">
        <v>86</v>
      </c>
      <c r="H100" s="2">
        <v>236000</v>
      </c>
      <c r="I100">
        <v>186</v>
      </c>
      <c r="J100">
        <v>45</v>
      </c>
      <c r="K100">
        <v>57</v>
      </c>
      <c r="L100" t="s">
        <v>52</v>
      </c>
      <c r="M100">
        <v>11</v>
      </c>
    </row>
    <row r="101" spans="2:13" x14ac:dyDescent="0.25">
      <c r="B101" t="s">
        <v>205</v>
      </c>
      <c r="C101" t="s">
        <v>54</v>
      </c>
      <c r="D101" t="s">
        <v>16</v>
      </c>
      <c r="E101" t="s">
        <v>2</v>
      </c>
      <c r="F101" t="s">
        <v>22</v>
      </c>
      <c r="G101" t="s">
        <v>23</v>
      </c>
      <c r="H101" s="2">
        <v>55000</v>
      </c>
      <c r="I101">
        <v>213</v>
      </c>
      <c r="J101">
        <v>41</v>
      </c>
      <c r="K101">
        <v>71</v>
      </c>
      <c r="L101" t="s">
        <v>206</v>
      </c>
      <c r="M101">
        <v>19</v>
      </c>
    </row>
    <row r="102" spans="2:13" x14ac:dyDescent="0.25">
      <c r="B102" t="s">
        <v>207</v>
      </c>
      <c r="C102" t="s">
        <v>29</v>
      </c>
      <c r="D102" t="s">
        <v>16</v>
      </c>
      <c r="E102" t="s">
        <v>2</v>
      </c>
      <c r="F102" t="s">
        <v>32</v>
      </c>
      <c r="G102" t="s">
        <v>33</v>
      </c>
      <c r="H102" s="2">
        <v>269000</v>
      </c>
      <c r="I102">
        <v>27</v>
      </c>
      <c r="J102">
        <v>37</v>
      </c>
      <c r="K102">
        <v>62</v>
      </c>
      <c r="L102" t="s">
        <v>208</v>
      </c>
      <c r="M102">
        <v>15</v>
      </c>
    </row>
    <row r="103" spans="2:13" x14ac:dyDescent="0.25">
      <c r="B103" t="s">
        <v>209</v>
      </c>
      <c r="C103" t="s">
        <v>210</v>
      </c>
      <c r="D103" t="s">
        <v>211</v>
      </c>
      <c r="E103" t="s">
        <v>2</v>
      </c>
      <c r="F103" t="s">
        <v>55</v>
      </c>
      <c r="G103" t="s">
        <v>56</v>
      </c>
      <c r="H103" s="2">
        <v>4229000</v>
      </c>
      <c r="I103">
        <v>120</v>
      </c>
      <c r="J103">
        <v>28</v>
      </c>
      <c r="K103">
        <v>53</v>
      </c>
      <c r="L103" t="s">
        <v>183</v>
      </c>
      <c r="M103">
        <v>6</v>
      </c>
    </row>
    <row r="104" spans="2:13" x14ac:dyDescent="0.25">
      <c r="B104" t="s">
        <v>212</v>
      </c>
      <c r="C104" t="s">
        <v>213</v>
      </c>
      <c r="D104" t="s">
        <v>211</v>
      </c>
      <c r="E104" t="s">
        <v>2</v>
      </c>
      <c r="F104" t="s">
        <v>36</v>
      </c>
      <c r="G104" t="s">
        <v>37</v>
      </c>
      <c r="H104" s="2">
        <v>2642000</v>
      </c>
      <c r="I104">
        <v>197</v>
      </c>
      <c r="J104">
        <v>38</v>
      </c>
      <c r="K104">
        <v>63</v>
      </c>
      <c r="L104" t="s">
        <v>129</v>
      </c>
      <c r="M104">
        <v>19</v>
      </c>
    </row>
    <row r="105" spans="2:13" x14ac:dyDescent="0.25">
      <c r="B105" t="s">
        <v>214</v>
      </c>
      <c r="C105" t="s">
        <v>210</v>
      </c>
      <c r="D105" t="s">
        <v>211</v>
      </c>
      <c r="E105" t="s">
        <v>2</v>
      </c>
      <c r="F105" t="s">
        <v>32</v>
      </c>
      <c r="G105" t="s">
        <v>33</v>
      </c>
      <c r="H105" s="2">
        <v>10116000</v>
      </c>
      <c r="I105">
        <v>121</v>
      </c>
      <c r="J105">
        <v>42</v>
      </c>
      <c r="K105">
        <v>55</v>
      </c>
      <c r="L105" t="s">
        <v>100</v>
      </c>
      <c r="M105">
        <v>4</v>
      </c>
    </row>
    <row r="106" spans="2:13" x14ac:dyDescent="0.25">
      <c r="B106" t="s">
        <v>215</v>
      </c>
      <c r="C106" t="s">
        <v>216</v>
      </c>
      <c r="D106" t="s">
        <v>211</v>
      </c>
      <c r="E106" t="s">
        <v>2</v>
      </c>
      <c r="F106" t="s">
        <v>61</v>
      </c>
      <c r="G106" t="s">
        <v>62</v>
      </c>
      <c r="H106" s="2">
        <v>761000</v>
      </c>
      <c r="I106">
        <v>72</v>
      </c>
      <c r="J106">
        <v>34</v>
      </c>
      <c r="K106">
        <v>57</v>
      </c>
      <c r="L106" t="s">
        <v>98</v>
      </c>
      <c r="M106">
        <v>14</v>
      </c>
    </row>
    <row r="107" spans="2:13" x14ac:dyDescent="0.25">
      <c r="B107" t="s">
        <v>217</v>
      </c>
      <c r="C107" t="s">
        <v>218</v>
      </c>
      <c r="D107" t="s">
        <v>211</v>
      </c>
      <c r="E107" t="s">
        <v>2</v>
      </c>
      <c r="F107" t="s">
        <v>55</v>
      </c>
      <c r="G107" t="s">
        <v>56</v>
      </c>
      <c r="H107" s="2">
        <v>908000</v>
      </c>
      <c r="I107">
        <v>136</v>
      </c>
      <c r="J107">
        <v>25</v>
      </c>
      <c r="K107">
        <v>35</v>
      </c>
      <c r="L107" t="s">
        <v>219</v>
      </c>
      <c r="M107">
        <v>13</v>
      </c>
    </row>
    <row r="108" spans="2:13" x14ac:dyDescent="0.25">
      <c r="B108" t="s">
        <v>220</v>
      </c>
      <c r="C108" t="s">
        <v>216</v>
      </c>
      <c r="D108" t="s">
        <v>211</v>
      </c>
      <c r="E108" t="s">
        <v>2</v>
      </c>
      <c r="F108" t="s">
        <v>36</v>
      </c>
      <c r="G108" t="s">
        <v>37</v>
      </c>
      <c r="H108" s="2">
        <v>648000</v>
      </c>
      <c r="I108">
        <v>81</v>
      </c>
      <c r="J108">
        <v>43</v>
      </c>
      <c r="K108">
        <v>70</v>
      </c>
      <c r="L108" t="s">
        <v>221</v>
      </c>
      <c r="M108">
        <v>2</v>
      </c>
    </row>
    <row r="109" spans="2:13" x14ac:dyDescent="0.25">
      <c r="B109" t="s">
        <v>222</v>
      </c>
      <c r="C109" t="s">
        <v>223</v>
      </c>
      <c r="D109" t="s">
        <v>211</v>
      </c>
      <c r="E109" t="s">
        <v>2</v>
      </c>
      <c r="F109" t="s">
        <v>48</v>
      </c>
      <c r="G109" t="s">
        <v>49</v>
      </c>
      <c r="H109" s="2">
        <v>1150000</v>
      </c>
      <c r="I109">
        <v>58</v>
      </c>
      <c r="J109">
        <v>10</v>
      </c>
      <c r="K109">
        <v>22</v>
      </c>
      <c r="L109" t="s">
        <v>189</v>
      </c>
      <c r="M109">
        <v>19</v>
      </c>
    </row>
    <row r="110" spans="2:13" x14ac:dyDescent="0.25">
      <c r="B110" t="s">
        <v>224</v>
      </c>
      <c r="C110" t="s">
        <v>225</v>
      </c>
      <c r="D110" t="s">
        <v>211</v>
      </c>
      <c r="E110" t="s">
        <v>2</v>
      </c>
      <c r="F110" t="s">
        <v>55</v>
      </c>
      <c r="G110" t="s">
        <v>56</v>
      </c>
      <c r="H110" s="2">
        <v>803000</v>
      </c>
      <c r="I110">
        <v>131</v>
      </c>
      <c r="J110">
        <v>46</v>
      </c>
      <c r="K110">
        <v>73</v>
      </c>
      <c r="L110" t="s">
        <v>106</v>
      </c>
      <c r="M110">
        <v>2</v>
      </c>
    </row>
    <row r="111" spans="2:13" x14ac:dyDescent="0.25">
      <c r="B111" t="s">
        <v>226</v>
      </c>
      <c r="C111" t="s">
        <v>227</v>
      </c>
      <c r="D111" t="s">
        <v>211</v>
      </c>
      <c r="E111" t="s">
        <v>2</v>
      </c>
      <c r="F111" t="s">
        <v>17</v>
      </c>
      <c r="G111" t="s">
        <v>18</v>
      </c>
      <c r="H111" s="2">
        <v>851000</v>
      </c>
      <c r="I111">
        <v>66</v>
      </c>
      <c r="J111">
        <v>30</v>
      </c>
      <c r="K111">
        <v>57</v>
      </c>
      <c r="L111" t="s">
        <v>201</v>
      </c>
      <c r="M111">
        <v>20</v>
      </c>
    </row>
    <row r="112" spans="2:13" x14ac:dyDescent="0.25">
      <c r="B112" t="s">
        <v>228</v>
      </c>
      <c r="C112" t="s">
        <v>218</v>
      </c>
      <c r="D112" t="s">
        <v>211</v>
      </c>
      <c r="E112" t="s">
        <v>2</v>
      </c>
      <c r="F112" t="s">
        <v>48</v>
      </c>
      <c r="G112" t="s">
        <v>49</v>
      </c>
      <c r="H112" s="2">
        <v>1819000</v>
      </c>
      <c r="I112">
        <v>151</v>
      </c>
      <c r="J112">
        <v>38</v>
      </c>
      <c r="K112">
        <v>54</v>
      </c>
      <c r="L112" t="s">
        <v>67</v>
      </c>
      <c r="M112">
        <v>19</v>
      </c>
    </row>
    <row r="113" spans="2:13" x14ac:dyDescent="0.25">
      <c r="B113" t="s">
        <v>229</v>
      </c>
      <c r="C113" t="s">
        <v>218</v>
      </c>
      <c r="D113" t="s">
        <v>211</v>
      </c>
      <c r="E113" t="s">
        <v>2</v>
      </c>
      <c r="F113" t="s">
        <v>36</v>
      </c>
      <c r="G113" t="s">
        <v>37</v>
      </c>
      <c r="H113" s="2">
        <v>1570000</v>
      </c>
      <c r="I113">
        <v>189</v>
      </c>
      <c r="J113">
        <v>34</v>
      </c>
      <c r="K113">
        <v>47</v>
      </c>
      <c r="L113" t="s">
        <v>230</v>
      </c>
      <c r="M113">
        <v>9</v>
      </c>
    </row>
    <row r="114" spans="2:13" x14ac:dyDescent="0.25">
      <c r="B114" t="s">
        <v>231</v>
      </c>
      <c r="C114" t="s">
        <v>227</v>
      </c>
      <c r="D114" t="s">
        <v>211</v>
      </c>
      <c r="E114" t="s">
        <v>2</v>
      </c>
      <c r="F114" t="s">
        <v>40</v>
      </c>
      <c r="G114" t="s">
        <v>41</v>
      </c>
      <c r="H114" s="2">
        <v>747000</v>
      </c>
      <c r="I114">
        <v>90</v>
      </c>
      <c r="J114">
        <v>12</v>
      </c>
      <c r="K114">
        <v>40</v>
      </c>
      <c r="L114" t="s">
        <v>30</v>
      </c>
      <c r="M114">
        <v>7</v>
      </c>
    </row>
    <row r="115" spans="2:13" x14ac:dyDescent="0.25">
      <c r="B115" t="s">
        <v>232</v>
      </c>
      <c r="C115" t="s">
        <v>225</v>
      </c>
      <c r="D115" t="s">
        <v>211</v>
      </c>
      <c r="E115" t="s">
        <v>2</v>
      </c>
      <c r="F115" t="s">
        <v>61</v>
      </c>
      <c r="G115" t="s">
        <v>62</v>
      </c>
      <c r="H115" s="2">
        <v>560000</v>
      </c>
      <c r="I115">
        <v>199</v>
      </c>
      <c r="J115">
        <v>35</v>
      </c>
      <c r="K115">
        <v>49</v>
      </c>
      <c r="L115" t="s">
        <v>30</v>
      </c>
      <c r="M115">
        <v>18</v>
      </c>
    </row>
    <row r="116" spans="2:13" x14ac:dyDescent="0.25">
      <c r="B116" t="s">
        <v>233</v>
      </c>
      <c r="C116" t="s">
        <v>234</v>
      </c>
      <c r="D116" t="s">
        <v>211</v>
      </c>
      <c r="E116" t="s">
        <v>2</v>
      </c>
      <c r="F116" t="s">
        <v>17</v>
      </c>
      <c r="G116" t="s">
        <v>18</v>
      </c>
      <c r="H116" s="2">
        <v>929000</v>
      </c>
      <c r="I116">
        <v>35</v>
      </c>
      <c r="J116">
        <v>17</v>
      </c>
      <c r="K116">
        <v>31</v>
      </c>
      <c r="L116" t="s">
        <v>87</v>
      </c>
      <c r="M116">
        <v>7</v>
      </c>
    </row>
    <row r="117" spans="2:13" x14ac:dyDescent="0.25">
      <c r="B117" t="s">
        <v>235</v>
      </c>
      <c r="C117" t="s">
        <v>216</v>
      </c>
      <c r="D117" t="s">
        <v>211</v>
      </c>
      <c r="E117" t="s">
        <v>2</v>
      </c>
      <c r="F117" t="s">
        <v>36</v>
      </c>
      <c r="G117" t="s">
        <v>37</v>
      </c>
      <c r="H117" s="2">
        <v>314000</v>
      </c>
      <c r="I117">
        <v>191</v>
      </c>
      <c r="J117">
        <v>39</v>
      </c>
      <c r="K117">
        <v>48</v>
      </c>
      <c r="L117" t="s">
        <v>38</v>
      </c>
      <c r="M117">
        <v>3</v>
      </c>
    </row>
    <row r="118" spans="2:13" x14ac:dyDescent="0.25">
      <c r="B118" t="s">
        <v>236</v>
      </c>
      <c r="C118" t="s">
        <v>223</v>
      </c>
      <c r="D118" t="s">
        <v>211</v>
      </c>
      <c r="E118" t="s">
        <v>2</v>
      </c>
      <c r="F118" t="s">
        <v>55</v>
      </c>
      <c r="G118" t="s">
        <v>56</v>
      </c>
      <c r="H118" s="2">
        <v>479000</v>
      </c>
      <c r="I118">
        <v>188</v>
      </c>
      <c r="J118">
        <v>13</v>
      </c>
      <c r="K118">
        <v>47</v>
      </c>
      <c r="L118" t="s">
        <v>34</v>
      </c>
      <c r="M118">
        <v>2</v>
      </c>
    </row>
    <row r="119" spans="2:13" x14ac:dyDescent="0.25">
      <c r="B119" t="s">
        <v>237</v>
      </c>
      <c r="C119" t="s">
        <v>234</v>
      </c>
      <c r="D119" t="s">
        <v>211</v>
      </c>
      <c r="E119" t="s">
        <v>2</v>
      </c>
      <c r="F119" t="s">
        <v>32</v>
      </c>
      <c r="G119" t="s">
        <v>33</v>
      </c>
      <c r="H119" s="2">
        <v>932000</v>
      </c>
      <c r="I119">
        <v>130</v>
      </c>
      <c r="J119">
        <v>35</v>
      </c>
      <c r="K119">
        <v>54</v>
      </c>
      <c r="L119" t="s">
        <v>193</v>
      </c>
      <c r="M119">
        <v>3</v>
      </c>
    </row>
    <row r="120" spans="2:13" x14ac:dyDescent="0.25">
      <c r="B120" t="s">
        <v>238</v>
      </c>
      <c r="C120" t="s">
        <v>216</v>
      </c>
      <c r="D120" t="s">
        <v>211</v>
      </c>
      <c r="E120" t="s">
        <v>2</v>
      </c>
      <c r="F120" t="s">
        <v>55</v>
      </c>
      <c r="G120" t="s">
        <v>56</v>
      </c>
      <c r="H120" s="2">
        <v>789000</v>
      </c>
      <c r="I120">
        <v>39</v>
      </c>
      <c r="J120">
        <v>9</v>
      </c>
      <c r="K120">
        <v>26</v>
      </c>
      <c r="L120" t="s">
        <v>126</v>
      </c>
      <c r="M120">
        <v>20</v>
      </c>
    </row>
    <row r="121" spans="2:13" x14ac:dyDescent="0.25">
      <c r="B121" t="s">
        <v>239</v>
      </c>
      <c r="C121" t="s">
        <v>240</v>
      </c>
      <c r="D121" t="s">
        <v>211</v>
      </c>
      <c r="E121" t="s">
        <v>2</v>
      </c>
      <c r="F121" t="s">
        <v>85</v>
      </c>
      <c r="G121" t="s">
        <v>86</v>
      </c>
      <c r="H121" s="2">
        <v>427000</v>
      </c>
      <c r="I121">
        <v>48</v>
      </c>
      <c r="J121">
        <v>41</v>
      </c>
      <c r="K121">
        <v>55</v>
      </c>
      <c r="L121" t="s">
        <v>100</v>
      </c>
      <c r="M121">
        <v>5</v>
      </c>
    </row>
    <row r="122" spans="2:13" x14ac:dyDescent="0.25">
      <c r="B122" t="s">
        <v>241</v>
      </c>
      <c r="C122" t="s">
        <v>223</v>
      </c>
      <c r="D122" t="s">
        <v>211</v>
      </c>
      <c r="E122" t="s">
        <v>2</v>
      </c>
      <c r="F122" t="s">
        <v>61</v>
      </c>
      <c r="G122" t="s">
        <v>62</v>
      </c>
      <c r="H122" s="2">
        <v>962000</v>
      </c>
      <c r="I122">
        <v>116</v>
      </c>
      <c r="J122">
        <v>43</v>
      </c>
      <c r="K122">
        <v>67</v>
      </c>
      <c r="L122" t="s">
        <v>242</v>
      </c>
      <c r="M122">
        <v>18</v>
      </c>
    </row>
    <row r="123" spans="2:13" x14ac:dyDescent="0.25">
      <c r="B123" t="s">
        <v>243</v>
      </c>
      <c r="C123" t="s">
        <v>213</v>
      </c>
      <c r="D123" t="s">
        <v>211</v>
      </c>
      <c r="E123" t="s">
        <v>2</v>
      </c>
      <c r="F123" t="s">
        <v>61</v>
      </c>
      <c r="G123" t="s">
        <v>62</v>
      </c>
      <c r="H123" s="2">
        <v>4890000</v>
      </c>
      <c r="I123">
        <v>242</v>
      </c>
      <c r="J123">
        <v>33</v>
      </c>
      <c r="K123">
        <v>60</v>
      </c>
      <c r="L123" t="s">
        <v>177</v>
      </c>
      <c r="M123">
        <v>11</v>
      </c>
    </row>
    <row r="124" spans="2:13" x14ac:dyDescent="0.25">
      <c r="B124" t="s">
        <v>244</v>
      </c>
      <c r="C124" t="s">
        <v>234</v>
      </c>
      <c r="D124" t="s">
        <v>211</v>
      </c>
      <c r="E124" t="s">
        <v>2</v>
      </c>
      <c r="F124" t="s">
        <v>85</v>
      </c>
      <c r="G124" t="s">
        <v>86</v>
      </c>
      <c r="H124" s="2">
        <v>1621000</v>
      </c>
      <c r="I124">
        <v>25</v>
      </c>
      <c r="J124">
        <v>44</v>
      </c>
      <c r="K124">
        <v>72</v>
      </c>
      <c r="L124" t="s">
        <v>30</v>
      </c>
      <c r="M124">
        <v>8</v>
      </c>
    </row>
    <row r="125" spans="2:13" x14ac:dyDescent="0.25">
      <c r="B125" t="s">
        <v>245</v>
      </c>
      <c r="C125" t="s">
        <v>225</v>
      </c>
      <c r="D125" t="s">
        <v>211</v>
      </c>
      <c r="E125" t="s">
        <v>2</v>
      </c>
      <c r="F125" t="s">
        <v>17</v>
      </c>
      <c r="G125" t="s">
        <v>18</v>
      </c>
      <c r="H125" s="2">
        <v>585000</v>
      </c>
      <c r="I125">
        <v>179</v>
      </c>
      <c r="J125">
        <v>10</v>
      </c>
      <c r="K125">
        <v>44</v>
      </c>
      <c r="L125" t="s">
        <v>246</v>
      </c>
      <c r="M125">
        <v>19</v>
      </c>
    </row>
    <row r="126" spans="2:13" x14ac:dyDescent="0.25">
      <c r="B126" t="s">
        <v>247</v>
      </c>
      <c r="C126" t="s">
        <v>227</v>
      </c>
      <c r="D126" t="s">
        <v>211</v>
      </c>
      <c r="E126" t="s">
        <v>2</v>
      </c>
      <c r="F126" t="s">
        <v>61</v>
      </c>
      <c r="G126" t="s">
        <v>62</v>
      </c>
      <c r="H126" s="2">
        <v>710000</v>
      </c>
      <c r="I126">
        <v>10</v>
      </c>
      <c r="J126">
        <v>31</v>
      </c>
      <c r="K126">
        <v>50</v>
      </c>
      <c r="L126" t="s">
        <v>164</v>
      </c>
      <c r="M126">
        <v>11</v>
      </c>
    </row>
    <row r="127" spans="2:13" x14ac:dyDescent="0.25">
      <c r="B127" t="s">
        <v>248</v>
      </c>
      <c r="C127" t="s">
        <v>240</v>
      </c>
      <c r="D127" t="s">
        <v>211</v>
      </c>
      <c r="E127" t="s">
        <v>2</v>
      </c>
      <c r="F127" t="s">
        <v>55</v>
      </c>
      <c r="G127" t="s">
        <v>56</v>
      </c>
      <c r="H127" s="2">
        <v>468000</v>
      </c>
      <c r="I127">
        <v>83</v>
      </c>
      <c r="J127">
        <v>50</v>
      </c>
      <c r="K127">
        <v>64</v>
      </c>
      <c r="L127" t="s">
        <v>126</v>
      </c>
      <c r="M127">
        <v>9</v>
      </c>
    </row>
    <row r="128" spans="2:13" x14ac:dyDescent="0.25">
      <c r="B128" t="s">
        <v>249</v>
      </c>
      <c r="C128" t="s">
        <v>216</v>
      </c>
      <c r="D128" t="s">
        <v>211</v>
      </c>
      <c r="E128" t="s">
        <v>2</v>
      </c>
      <c r="F128" t="s">
        <v>17</v>
      </c>
      <c r="G128" t="s">
        <v>18</v>
      </c>
      <c r="H128" s="2">
        <v>502000</v>
      </c>
      <c r="I128">
        <v>118</v>
      </c>
      <c r="J128">
        <v>12</v>
      </c>
      <c r="K128">
        <v>34</v>
      </c>
      <c r="L128" t="s">
        <v>250</v>
      </c>
      <c r="M128">
        <v>6</v>
      </c>
    </row>
    <row r="129" spans="2:13" x14ac:dyDescent="0.25">
      <c r="B129" t="s">
        <v>251</v>
      </c>
      <c r="C129" t="s">
        <v>216</v>
      </c>
      <c r="D129" t="s">
        <v>211</v>
      </c>
      <c r="E129" t="s">
        <v>2</v>
      </c>
      <c r="F129" t="s">
        <v>36</v>
      </c>
      <c r="G129" t="s">
        <v>37</v>
      </c>
      <c r="H129" s="2">
        <v>445000</v>
      </c>
      <c r="I129">
        <v>28</v>
      </c>
      <c r="J129">
        <v>8</v>
      </c>
      <c r="K129">
        <v>18</v>
      </c>
      <c r="L129" t="s">
        <v>71</v>
      </c>
      <c r="M129">
        <v>20</v>
      </c>
    </row>
    <row r="130" spans="2:13" x14ac:dyDescent="0.25">
      <c r="B130" t="s">
        <v>252</v>
      </c>
      <c r="C130" t="s">
        <v>216</v>
      </c>
      <c r="D130" t="s">
        <v>211</v>
      </c>
      <c r="E130" t="s">
        <v>2</v>
      </c>
      <c r="F130" t="s">
        <v>36</v>
      </c>
      <c r="G130" t="s">
        <v>37</v>
      </c>
      <c r="H130" s="2">
        <v>749000</v>
      </c>
      <c r="I130">
        <v>41</v>
      </c>
      <c r="J130">
        <v>34</v>
      </c>
      <c r="K130">
        <v>61</v>
      </c>
      <c r="L130" t="s">
        <v>52</v>
      </c>
      <c r="M130">
        <v>14</v>
      </c>
    </row>
    <row r="131" spans="2:13" x14ac:dyDescent="0.25">
      <c r="B131" t="s">
        <v>253</v>
      </c>
      <c r="C131" t="s">
        <v>216</v>
      </c>
      <c r="D131" t="s">
        <v>211</v>
      </c>
      <c r="E131" t="s">
        <v>2</v>
      </c>
      <c r="F131" t="s">
        <v>85</v>
      </c>
      <c r="G131" t="s">
        <v>86</v>
      </c>
      <c r="H131" s="2">
        <v>812000</v>
      </c>
      <c r="I131">
        <v>148</v>
      </c>
      <c r="J131">
        <v>36</v>
      </c>
      <c r="K131">
        <v>55</v>
      </c>
      <c r="L131" t="s">
        <v>71</v>
      </c>
      <c r="M131">
        <v>3</v>
      </c>
    </row>
    <row r="132" spans="2:13" x14ac:dyDescent="0.25">
      <c r="B132" t="s">
        <v>254</v>
      </c>
      <c r="C132" t="s">
        <v>213</v>
      </c>
      <c r="D132" t="s">
        <v>211</v>
      </c>
      <c r="E132" t="s">
        <v>2</v>
      </c>
      <c r="F132" t="s">
        <v>85</v>
      </c>
      <c r="G132" t="s">
        <v>86</v>
      </c>
      <c r="H132" s="2">
        <v>3840000</v>
      </c>
      <c r="I132">
        <v>164</v>
      </c>
      <c r="J132">
        <v>21</v>
      </c>
      <c r="K132">
        <v>41</v>
      </c>
      <c r="L132" t="s">
        <v>59</v>
      </c>
      <c r="M132">
        <v>20</v>
      </c>
    </row>
    <row r="133" spans="2:13" x14ac:dyDescent="0.25">
      <c r="B133" t="s">
        <v>255</v>
      </c>
      <c r="C133" t="s">
        <v>234</v>
      </c>
      <c r="D133" t="s">
        <v>211</v>
      </c>
      <c r="E133" t="s">
        <v>2</v>
      </c>
      <c r="F133" t="s">
        <v>61</v>
      </c>
      <c r="G133" t="s">
        <v>62</v>
      </c>
      <c r="H133" s="2">
        <v>392000</v>
      </c>
      <c r="I133">
        <v>205</v>
      </c>
      <c r="J133">
        <v>48</v>
      </c>
      <c r="K133">
        <v>61</v>
      </c>
      <c r="L133" t="s">
        <v>38</v>
      </c>
      <c r="M133">
        <v>7</v>
      </c>
    </row>
    <row r="134" spans="2:13" x14ac:dyDescent="0.25">
      <c r="B134" t="s">
        <v>256</v>
      </c>
      <c r="C134" t="s">
        <v>210</v>
      </c>
      <c r="D134" t="s">
        <v>211</v>
      </c>
      <c r="E134" t="s">
        <v>2</v>
      </c>
      <c r="F134" t="s">
        <v>81</v>
      </c>
      <c r="G134" t="s">
        <v>82</v>
      </c>
      <c r="H134" s="2">
        <v>11002000</v>
      </c>
      <c r="I134">
        <v>176</v>
      </c>
      <c r="J134">
        <v>33</v>
      </c>
      <c r="K134">
        <v>46</v>
      </c>
      <c r="L134" t="s">
        <v>257</v>
      </c>
      <c r="M134">
        <v>15</v>
      </c>
    </row>
    <row r="135" spans="2:13" x14ac:dyDescent="0.25">
      <c r="B135" t="s">
        <v>258</v>
      </c>
      <c r="C135" t="s">
        <v>210</v>
      </c>
      <c r="D135" t="s">
        <v>211</v>
      </c>
      <c r="E135" t="s">
        <v>2</v>
      </c>
      <c r="F135" t="s">
        <v>32</v>
      </c>
      <c r="G135" t="s">
        <v>33</v>
      </c>
      <c r="H135" s="2">
        <v>3994000</v>
      </c>
      <c r="I135">
        <v>130</v>
      </c>
      <c r="J135">
        <v>27</v>
      </c>
      <c r="K135">
        <v>45</v>
      </c>
      <c r="L135" t="s">
        <v>259</v>
      </c>
      <c r="M135">
        <v>5</v>
      </c>
    </row>
    <row r="136" spans="2:13" x14ac:dyDescent="0.25">
      <c r="B136" t="s">
        <v>260</v>
      </c>
      <c r="C136" t="s">
        <v>261</v>
      </c>
      <c r="D136" t="s">
        <v>211</v>
      </c>
      <c r="E136" t="s">
        <v>2</v>
      </c>
      <c r="F136" t="s">
        <v>36</v>
      </c>
      <c r="G136" t="s">
        <v>37</v>
      </c>
      <c r="H136" s="2">
        <v>418000</v>
      </c>
      <c r="I136">
        <v>115</v>
      </c>
      <c r="J136">
        <v>49</v>
      </c>
      <c r="K136">
        <v>69</v>
      </c>
      <c r="L136" t="s">
        <v>45</v>
      </c>
      <c r="M136">
        <v>14</v>
      </c>
    </row>
    <row r="137" spans="2:13" x14ac:dyDescent="0.25">
      <c r="B137" t="s">
        <v>262</v>
      </c>
      <c r="C137" t="s">
        <v>223</v>
      </c>
      <c r="D137" t="s">
        <v>211</v>
      </c>
      <c r="E137" t="s">
        <v>2</v>
      </c>
      <c r="F137" t="s">
        <v>36</v>
      </c>
      <c r="G137" t="s">
        <v>37</v>
      </c>
      <c r="H137" s="2">
        <v>217000</v>
      </c>
      <c r="I137">
        <v>126</v>
      </c>
      <c r="J137">
        <v>10</v>
      </c>
      <c r="K137">
        <v>31</v>
      </c>
      <c r="L137" t="s">
        <v>259</v>
      </c>
      <c r="M137">
        <v>5</v>
      </c>
    </row>
    <row r="138" spans="2:13" x14ac:dyDescent="0.25">
      <c r="B138" t="s">
        <v>263</v>
      </c>
      <c r="C138" t="s">
        <v>213</v>
      </c>
      <c r="D138" t="s">
        <v>211</v>
      </c>
      <c r="E138" t="s">
        <v>2</v>
      </c>
      <c r="F138" t="s">
        <v>40</v>
      </c>
      <c r="G138" t="s">
        <v>41</v>
      </c>
      <c r="H138" s="2">
        <v>5415000</v>
      </c>
      <c r="I138">
        <v>221</v>
      </c>
      <c r="J138">
        <v>5</v>
      </c>
      <c r="K138">
        <v>55</v>
      </c>
      <c r="L138" t="s">
        <v>175</v>
      </c>
      <c r="M138">
        <v>15</v>
      </c>
    </row>
    <row r="139" spans="2:13" x14ac:dyDescent="0.25">
      <c r="B139" t="s">
        <v>264</v>
      </c>
      <c r="C139" t="s">
        <v>240</v>
      </c>
      <c r="D139" t="s">
        <v>211</v>
      </c>
      <c r="E139" t="s">
        <v>2</v>
      </c>
      <c r="F139" t="s">
        <v>55</v>
      </c>
      <c r="G139" t="s">
        <v>56</v>
      </c>
      <c r="H139" s="2">
        <v>446000</v>
      </c>
      <c r="I139">
        <v>142</v>
      </c>
      <c r="J139">
        <v>28</v>
      </c>
      <c r="K139">
        <v>52</v>
      </c>
      <c r="L139" t="s">
        <v>265</v>
      </c>
      <c r="M139">
        <v>16</v>
      </c>
    </row>
    <row r="140" spans="2:13" x14ac:dyDescent="0.25">
      <c r="B140" t="s">
        <v>266</v>
      </c>
      <c r="C140" t="s">
        <v>240</v>
      </c>
      <c r="D140" t="s">
        <v>211</v>
      </c>
      <c r="E140" t="s">
        <v>2</v>
      </c>
      <c r="F140" t="s">
        <v>36</v>
      </c>
      <c r="G140" t="s">
        <v>37</v>
      </c>
      <c r="H140" s="2">
        <v>454000</v>
      </c>
      <c r="I140">
        <v>78</v>
      </c>
      <c r="J140">
        <v>40</v>
      </c>
      <c r="K140">
        <v>49</v>
      </c>
      <c r="L140" t="s">
        <v>108</v>
      </c>
      <c r="M140">
        <v>17</v>
      </c>
    </row>
    <row r="141" spans="2:13" x14ac:dyDescent="0.25">
      <c r="B141" t="s">
        <v>267</v>
      </c>
      <c r="C141" t="s">
        <v>227</v>
      </c>
      <c r="D141" t="s">
        <v>211</v>
      </c>
      <c r="E141" t="s">
        <v>2</v>
      </c>
      <c r="F141" t="s">
        <v>17</v>
      </c>
      <c r="G141" t="s">
        <v>18</v>
      </c>
      <c r="H141" s="2">
        <v>579000</v>
      </c>
      <c r="I141">
        <v>171</v>
      </c>
      <c r="J141">
        <v>43</v>
      </c>
      <c r="K141">
        <v>73</v>
      </c>
      <c r="L141" t="s">
        <v>183</v>
      </c>
      <c r="M141">
        <v>7</v>
      </c>
    </row>
    <row r="142" spans="2:13" x14ac:dyDescent="0.25">
      <c r="B142" t="s">
        <v>268</v>
      </c>
      <c r="C142" t="s">
        <v>216</v>
      </c>
      <c r="D142" t="s">
        <v>211</v>
      </c>
      <c r="E142" t="s">
        <v>2</v>
      </c>
      <c r="F142" t="s">
        <v>85</v>
      </c>
      <c r="G142" t="s">
        <v>86</v>
      </c>
      <c r="H142" s="2">
        <v>864000</v>
      </c>
      <c r="I142">
        <v>13</v>
      </c>
      <c r="J142">
        <v>40</v>
      </c>
      <c r="K142">
        <v>58</v>
      </c>
      <c r="L142" t="s">
        <v>242</v>
      </c>
      <c r="M142">
        <v>5</v>
      </c>
    </row>
    <row r="143" spans="2:13" x14ac:dyDescent="0.25">
      <c r="B143" t="s">
        <v>269</v>
      </c>
      <c r="C143" t="s">
        <v>210</v>
      </c>
      <c r="D143" t="s">
        <v>211</v>
      </c>
      <c r="E143" t="s">
        <v>2</v>
      </c>
      <c r="F143" t="s">
        <v>36</v>
      </c>
      <c r="G143" t="s">
        <v>37</v>
      </c>
      <c r="H143" s="2">
        <v>4424000</v>
      </c>
      <c r="I143">
        <v>175</v>
      </c>
      <c r="J143">
        <v>14</v>
      </c>
      <c r="K143">
        <v>43</v>
      </c>
      <c r="L143" t="s">
        <v>117</v>
      </c>
      <c r="M143">
        <v>10</v>
      </c>
    </row>
    <row r="144" spans="2:13" x14ac:dyDescent="0.25">
      <c r="B144" t="s">
        <v>270</v>
      </c>
      <c r="C144" t="s">
        <v>213</v>
      </c>
      <c r="D144" t="s">
        <v>211</v>
      </c>
      <c r="E144" t="s">
        <v>2</v>
      </c>
      <c r="F144" t="s">
        <v>40</v>
      </c>
      <c r="G144" t="s">
        <v>41</v>
      </c>
      <c r="H144" s="2">
        <v>5152000</v>
      </c>
      <c r="I144">
        <v>130</v>
      </c>
      <c r="J144">
        <v>20</v>
      </c>
      <c r="K144">
        <v>39</v>
      </c>
      <c r="L144" t="s">
        <v>64</v>
      </c>
      <c r="M144">
        <v>14</v>
      </c>
    </row>
    <row r="145" spans="2:13" x14ac:dyDescent="0.25">
      <c r="B145" t="s">
        <v>271</v>
      </c>
      <c r="C145" t="s">
        <v>225</v>
      </c>
      <c r="D145" t="s">
        <v>211</v>
      </c>
      <c r="E145" t="s">
        <v>2</v>
      </c>
      <c r="F145" t="s">
        <v>81</v>
      </c>
      <c r="G145" t="s">
        <v>82</v>
      </c>
      <c r="H145" s="2">
        <v>921000</v>
      </c>
      <c r="I145">
        <v>163</v>
      </c>
      <c r="J145">
        <v>37</v>
      </c>
      <c r="K145">
        <v>65</v>
      </c>
      <c r="L145" t="s">
        <v>147</v>
      </c>
      <c r="M145">
        <v>10</v>
      </c>
    </row>
    <row r="146" spans="2:13" x14ac:dyDescent="0.25">
      <c r="B146" t="s">
        <v>272</v>
      </c>
      <c r="C146" t="s">
        <v>213</v>
      </c>
      <c r="D146" t="s">
        <v>211</v>
      </c>
      <c r="E146" t="s">
        <v>2</v>
      </c>
      <c r="F146" t="s">
        <v>22</v>
      </c>
      <c r="G146" t="s">
        <v>23</v>
      </c>
      <c r="H146" s="2">
        <v>3984000</v>
      </c>
      <c r="I146">
        <v>249</v>
      </c>
      <c r="J146">
        <v>37</v>
      </c>
      <c r="K146">
        <v>62</v>
      </c>
      <c r="L146" t="s">
        <v>113</v>
      </c>
      <c r="M146">
        <v>11</v>
      </c>
    </row>
    <row r="147" spans="2:13" x14ac:dyDescent="0.25">
      <c r="B147" t="s">
        <v>273</v>
      </c>
      <c r="C147" t="s">
        <v>234</v>
      </c>
      <c r="D147" t="s">
        <v>211</v>
      </c>
      <c r="E147" t="s">
        <v>2</v>
      </c>
      <c r="F147" t="s">
        <v>55</v>
      </c>
      <c r="G147" t="s">
        <v>56</v>
      </c>
      <c r="H147" s="2">
        <v>1537000</v>
      </c>
      <c r="I147">
        <v>178</v>
      </c>
      <c r="J147">
        <v>36</v>
      </c>
      <c r="K147">
        <v>45</v>
      </c>
      <c r="L147" t="s">
        <v>274</v>
      </c>
      <c r="M147">
        <v>17</v>
      </c>
    </row>
    <row r="148" spans="2:13" x14ac:dyDescent="0.25">
      <c r="B148" t="s">
        <v>275</v>
      </c>
      <c r="C148" t="s">
        <v>218</v>
      </c>
      <c r="D148" t="s">
        <v>211</v>
      </c>
      <c r="E148" t="s">
        <v>2</v>
      </c>
      <c r="F148" t="s">
        <v>55</v>
      </c>
      <c r="G148" t="s">
        <v>56</v>
      </c>
      <c r="H148" s="2">
        <v>1530000</v>
      </c>
      <c r="I148">
        <v>151</v>
      </c>
      <c r="J148">
        <v>39</v>
      </c>
      <c r="K148">
        <v>56</v>
      </c>
      <c r="L148" t="s">
        <v>259</v>
      </c>
      <c r="M148">
        <v>8</v>
      </c>
    </row>
    <row r="149" spans="2:13" x14ac:dyDescent="0.25">
      <c r="B149" t="s">
        <v>276</v>
      </c>
      <c r="C149" t="s">
        <v>225</v>
      </c>
      <c r="D149" t="s">
        <v>211</v>
      </c>
      <c r="E149" t="s">
        <v>2</v>
      </c>
      <c r="F149" t="s">
        <v>48</v>
      </c>
      <c r="G149" t="s">
        <v>49</v>
      </c>
      <c r="H149" s="2">
        <v>742000</v>
      </c>
      <c r="I149">
        <v>108</v>
      </c>
      <c r="J149">
        <v>19</v>
      </c>
      <c r="K149">
        <v>48</v>
      </c>
      <c r="L149" t="s">
        <v>38</v>
      </c>
      <c r="M149">
        <v>12</v>
      </c>
    </row>
    <row r="150" spans="2:13" x14ac:dyDescent="0.25">
      <c r="B150" t="s">
        <v>277</v>
      </c>
      <c r="C150" t="s">
        <v>210</v>
      </c>
      <c r="D150" t="s">
        <v>211</v>
      </c>
      <c r="E150" t="s">
        <v>2</v>
      </c>
      <c r="F150" t="s">
        <v>81</v>
      </c>
      <c r="G150" t="s">
        <v>82</v>
      </c>
      <c r="H150" s="2">
        <v>8746000</v>
      </c>
      <c r="I150">
        <v>108</v>
      </c>
      <c r="J150">
        <v>47</v>
      </c>
      <c r="K150">
        <v>77</v>
      </c>
      <c r="L150" t="s">
        <v>69</v>
      </c>
      <c r="M150">
        <v>3</v>
      </c>
    </row>
    <row r="151" spans="2:13" x14ac:dyDescent="0.25">
      <c r="B151" t="s">
        <v>278</v>
      </c>
      <c r="C151" t="s">
        <v>261</v>
      </c>
      <c r="D151" t="s">
        <v>211</v>
      </c>
      <c r="E151" t="s">
        <v>2</v>
      </c>
      <c r="F151" t="s">
        <v>55</v>
      </c>
      <c r="G151" t="s">
        <v>56</v>
      </c>
      <c r="H151" s="2">
        <v>507000</v>
      </c>
      <c r="I151">
        <v>161</v>
      </c>
      <c r="J151">
        <v>26</v>
      </c>
      <c r="K151">
        <v>40</v>
      </c>
      <c r="L151" t="s">
        <v>279</v>
      </c>
      <c r="M151">
        <v>18</v>
      </c>
    </row>
    <row r="152" spans="2:13" x14ac:dyDescent="0.25">
      <c r="B152" t="s">
        <v>280</v>
      </c>
      <c r="C152" t="s">
        <v>210</v>
      </c>
      <c r="D152" t="s">
        <v>211</v>
      </c>
      <c r="E152" t="s">
        <v>2</v>
      </c>
      <c r="F152" t="s">
        <v>81</v>
      </c>
      <c r="G152" t="s">
        <v>82</v>
      </c>
      <c r="H152" s="2">
        <v>2751000</v>
      </c>
      <c r="I152">
        <v>194</v>
      </c>
      <c r="J152">
        <v>14</v>
      </c>
      <c r="K152">
        <v>48</v>
      </c>
      <c r="L152" t="s">
        <v>126</v>
      </c>
      <c r="M152">
        <v>17</v>
      </c>
    </row>
    <row r="153" spans="2:13" x14ac:dyDescent="0.25">
      <c r="B153" t="s">
        <v>281</v>
      </c>
      <c r="C153" t="s">
        <v>216</v>
      </c>
      <c r="D153" t="s">
        <v>211</v>
      </c>
      <c r="E153" t="s">
        <v>2</v>
      </c>
      <c r="F153" t="s">
        <v>85</v>
      </c>
      <c r="G153" t="s">
        <v>86</v>
      </c>
      <c r="H153" s="2">
        <v>646000</v>
      </c>
      <c r="I153">
        <v>169</v>
      </c>
      <c r="J153">
        <v>49</v>
      </c>
      <c r="K153">
        <v>66</v>
      </c>
      <c r="L153" t="s">
        <v>166</v>
      </c>
      <c r="M153">
        <v>19</v>
      </c>
    </row>
    <row r="154" spans="2:13" x14ac:dyDescent="0.25">
      <c r="B154" t="s">
        <v>282</v>
      </c>
      <c r="C154" t="s">
        <v>213</v>
      </c>
      <c r="D154" t="s">
        <v>211</v>
      </c>
      <c r="E154" t="s">
        <v>2</v>
      </c>
      <c r="F154" t="s">
        <v>55</v>
      </c>
      <c r="G154" t="s">
        <v>56</v>
      </c>
      <c r="H154" s="2">
        <v>3794000</v>
      </c>
      <c r="I154">
        <v>170</v>
      </c>
      <c r="J154">
        <v>50</v>
      </c>
      <c r="K154">
        <v>79</v>
      </c>
      <c r="L154" t="s">
        <v>83</v>
      </c>
      <c r="M154">
        <v>3</v>
      </c>
    </row>
    <row r="155" spans="2:13" x14ac:dyDescent="0.25">
      <c r="B155" t="s">
        <v>283</v>
      </c>
      <c r="C155" t="s">
        <v>234</v>
      </c>
      <c r="D155" t="s">
        <v>211</v>
      </c>
      <c r="E155" t="s">
        <v>2</v>
      </c>
      <c r="F155" t="s">
        <v>36</v>
      </c>
      <c r="G155" t="s">
        <v>37</v>
      </c>
      <c r="H155" s="2">
        <v>490000</v>
      </c>
      <c r="I155">
        <v>70</v>
      </c>
      <c r="J155">
        <v>45</v>
      </c>
      <c r="K155">
        <v>71</v>
      </c>
      <c r="L155" t="s">
        <v>59</v>
      </c>
      <c r="M155">
        <v>4</v>
      </c>
    </row>
    <row r="156" spans="2:13" x14ac:dyDescent="0.25">
      <c r="B156" t="s">
        <v>284</v>
      </c>
      <c r="C156" t="s">
        <v>213</v>
      </c>
      <c r="D156" t="s">
        <v>211</v>
      </c>
      <c r="E156" t="s">
        <v>2</v>
      </c>
      <c r="F156" t="s">
        <v>85</v>
      </c>
      <c r="G156" t="s">
        <v>86</v>
      </c>
      <c r="H156" s="2">
        <v>2006000</v>
      </c>
      <c r="I156">
        <v>204</v>
      </c>
      <c r="J156">
        <v>45</v>
      </c>
      <c r="K156">
        <v>72</v>
      </c>
      <c r="L156" t="s">
        <v>108</v>
      </c>
      <c r="M156">
        <v>7</v>
      </c>
    </row>
    <row r="157" spans="2:13" x14ac:dyDescent="0.25">
      <c r="B157" t="s">
        <v>285</v>
      </c>
      <c r="C157" t="s">
        <v>216</v>
      </c>
      <c r="D157" t="s">
        <v>211</v>
      </c>
      <c r="E157" t="s">
        <v>2</v>
      </c>
      <c r="F157" t="s">
        <v>22</v>
      </c>
      <c r="G157" t="s">
        <v>23</v>
      </c>
      <c r="H157" s="2">
        <v>329000</v>
      </c>
      <c r="I157">
        <v>21</v>
      </c>
      <c r="J157">
        <v>25</v>
      </c>
      <c r="K157">
        <v>55</v>
      </c>
      <c r="L157" t="s">
        <v>42</v>
      </c>
      <c r="M157">
        <v>13</v>
      </c>
    </row>
    <row r="158" spans="2:13" x14ac:dyDescent="0.25">
      <c r="B158" t="s">
        <v>286</v>
      </c>
      <c r="C158" t="s">
        <v>218</v>
      </c>
      <c r="D158" t="s">
        <v>211</v>
      </c>
      <c r="E158" t="s">
        <v>2</v>
      </c>
      <c r="F158" t="s">
        <v>48</v>
      </c>
      <c r="G158" t="s">
        <v>49</v>
      </c>
      <c r="H158" s="2">
        <v>1732000</v>
      </c>
      <c r="I158">
        <v>47</v>
      </c>
      <c r="J158">
        <v>20</v>
      </c>
      <c r="K158">
        <v>41</v>
      </c>
      <c r="L158" t="s">
        <v>287</v>
      </c>
      <c r="M158">
        <v>7</v>
      </c>
    </row>
    <row r="159" spans="2:13" x14ac:dyDescent="0.25">
      <c r="B159" t="s">
        <v>288</v>
      </c>
      <c r="C159" t="s">
        <v>261</v>
      </c>
      <c r="D159" t="s">
        <v>211</v>
      </c>
      <c r="E159" t="s">
        <v>2</v>
      </c>
      <c r="F159" t="s">
        <v>61</v>
      </c>
      <c r="G159" t="s">
        <v>62</v>
      </c>
      <c r="H159" s="2">
        <v>339000</v>
      </c>
      <c r="I159">
        <v>30</v>
      </c>
      <c r="J159">
        <v>44</v>
      </c>
      <c r="K159">
        <v>61</v>
      </c>
      <c r="L159" t="s">
        <v>289</v>
      </c>
      <c r="M159">
        <v>9</v>
      </c>
    </row>
    <row r="160" spans="2:13" x14ac:dyDescent="0.25">
      <c r="B160" t="s">
        <v>290</v>
      </c>
      <c r="C160" t="s">
        <v>210</v>
      </c>
      <c r="D160" t="s">
        <v>211</v>
      </c>
      <c r="E160" t="s">
        <v>2</v>
      </c>
      <c r="F160" t="s">
        <v>36</v>
      </c>
      <c r="G160" t="s">
        <v>37</v>
      </c>
      <c r="H160" s="2">
        <v>12054000</v>
      </c>
      <c r="I160">
        <v>46</v>
      </c>
      <c r="J160">
        <v>19</v>
      </c>
      <c r="K160">
        <v>38</v>
      </c>
      <c r="L160" t="s">
        <v>124</v>
      </c>
      <c r="M160">
        <v>10</v>
      </c>
    </row>
    <row r="161" spans="2:13" x14ac:dyDescent="0.25">
      <c r="B161" t="s">
        <v>291</v>
      </c>
      <c r="C161" t="s">
        <v>240</v>
      </c>
      <c r="D161" t="s">
        <v>211</v>
      </c>
      <c r="E161" t="s">
        <v>2</v>
      </c>
      <c r="F161" t="s">
        <v>40</v>
      </c>
      <c r="G161" t="s">
        <v>41</v>
      </c>
      <c r="H161" s="2">
        <v>588000</v>
      </c>
      <c r="I161">
        <v>240</v>
      </c>
      <c r="J161">
        <v>23</v>
      </c>
      <c r="K161">
        <v>60</v>
      </c>
      <c r="L161" t="s">
        <v>292</v>
      </c>
      <c r="M161">
        <v>4</v>
      </c>
    </row>
    <row r="162" spans="2:13" x14ac:dyDescent="0.25">
      <c r="B162" t="s">
        <v>293</v>
      </c>
      <c r="C162" t="s">
        <v>210</v>
      </c>
      <c r="D162" t="s">
        <v>211</v>
      </c>
      <c r="E162" t="s">
        <v>2</v>
      </c>
      <c r="F162" t="s">
        <v>48</v>
      </c>
      <c r="G162" t="s">
        <v>49</v>
      </c>
      <c r="H162" s="2">
        <v>8161000</v>
      </c>
      <c r="I162">
        <v>160</v>
      </c>
      <c r="J162">
        <v>24</v>
      </c>
      <c r="K162">
        <v>49</v>
      </c>
      <c r="L162" t="s">
        <v>294</v>
      </c>
      <c r="M162">
        <v>10</v>
      </c>
    </row>
    <row r="163" spans="2:13" x14ac:dyDescent="0.25">
      <c r="B163" t="s">
        <v>295</v>
      </c>
      <c r="C163" t="s">
        <v>210</v>
      </c>
      <c r="D163" t="s">
        <v>211</v>
      </c>
      <c r="E163" t="s">
        <v>2</v>
      </c>
      <c r="F163" t="s">
        <v>85</v>
      </c>
      <c r="G163" t="s">
        <v>86</v>
      </c>
      <c r="H163" s="2">
        <v>7449000</v>
      </c>
      <c r="I163">
        <v>60</v>
      </c>
      <c r="J163">
        <v>29</v>
      </c>
      <c r="K163">
        <v>49</v>
      </c>
      <c r="L163" t="s">
        <v>140</v>
      </c>
      <c r="M163">
        <v>14</v>
      </c>
    </row>
    <row r="164" spans="2:13" x14ac:dyDescent="0.25">
      <c r="B164" t="s">
        <v>296</v>
      </c>
      <c r="C164" t="s">
        <v>234</v>
      </c>
      <c r="D164" t="s">
        <v>211</v>
      </c>
      <c r="E164" t="s">
        <v>2</v>
      </c>
      <c r="F164" t="s">
        <v>36</v>
      </c>
      <c r="G164" t="s">
        <v>37</v>
      </c>
      <c r="H164" s="2">
        <v>1085000</v>
      </c>
      <c r="I164">
        <v>157</v>
      </c>
      <c r="J164">
        <v>23</v>
      </c>
      <c r="K164">
        <v>50</v>
      </c>
      <c r="L164" t="s">
        <v>297</v>
      </c>
      <c r="M164">
        <v>14</v>
      </c>
    </row>
    <row r="165" spans="2:13" x14ac:dyDescent="0.25">
      <c r="B165" t="s">
        <v>298</v>
      </c>
      <c r="C165" t="s">
        <v>216</v>
      </c>
      <c r="D165" t="s">
        <v>211</v>
      </c>
      <c r="E165" t="s">
        <v>2</v>
      </c>
      <c r="F165" t="s">
        <v>22</v>
      </c>
      <c r="G165" t="s">
        <v>23</v>
      </c>
      <c r="H165" s="2">
        <v>308000</v>
      </c>
      <c r="I165">
        <v>154</v>
      </c>
      <c r="J165">
        <v>48</v>
      </c>
      <c r="K165">
        <v>77</v>
      </c>
      <c r="L165" t="s">
        <v>161</v>
      </c>
      <c r="M165">
        <v>17</v>
      </c>
    </row>
    <row r="166" spans="2:13" x14ac:dyDescent="0.25">
      <c r="B166" t="s">
        <v>299</v>
      </c>
      <c r="C166" t="s">
        <v>216</v>
      </c>
      <c r="D166" t="s">
        <v>211</v>
      </c>
      <c r="E166" t="s">
        <v>2</v>
      </c>
      <c r="F166" t="s">
        <v>17</v>
      </c>
      <c r="G166" t="s">
        <v>18</v>
      </c>
      <c r="H166" s="2">
        <v>535000</v>
      </c>
      <c r="I166">
        <v>165</v>
      </c>
      <c r="J166">
        <v>27</v>
      </c>
      <c r="K166">
        <v>41</v>
      </c>
      <c r="L166" t="s">
        <v>155</v>
      </c>
      <c r="M166">
        <v>10</v>
      </c>
    </row>
    <row r="167" spans="2:13" x14ac:dyDescent="0.25">
      <c r="B167" t="s">
        <v>300</v>
      </c>
      <c r="C167" t="s">
        <v>261</v>
      </c>
      <c r="D167" t="s">
        <v>211</v>
      </c>
      <c r="E167" t="s">
        <v>2</v>
      </c>
      <c r="F167" t="s">
        <v>22</v>
      </c>
      <c r="G167" t="s">
        <v>23</v>
      </c>
      <c r="H167" s="2">
        <v>299000</v>
      </c>
      <c r="I167">
        <v>241</v>
      </c>
      <c r="J167">
        <v>45</v>
      </c>
      <c r="K167">
        <v>70</v>
      </c>
      <c r="L167" t="s">
        <v>201</v>
      </c>
      <c r="M167">
        <v>16</v>
      </c>
    </row>
    <row r="168" spans="2:13" x14ac:dyDescent="0.25">
      <c r="B168" t="s">
        <v>301</v>
      </c>
      <c r="C168" t="s">
        <v>240</v>
      </c>
      <c r="D168" t="s">
        <v>211</v>
      </c>
      <c r="E168" t="s">
        <v>2</v>
      </c>
      <c r="F168" t="s">
        <v>36</v>
      </c>
      <c r="G168" t="s">
        <v>37</v>
      </c>
      <c r="H168" s="2">
        <v>646000</v>
      </c>
      <c r="I168">
        <v>103</v>
      </c>
      <c r="J168">
        <v>13</v>
      </c>
      <c r="K168">
        <v>25</v>
      </c>
      <c r="L168" t="s">
        <v>259</v>
      </c>
      <c r="M168">
        <v>15</v>
      </c>
    </row>
    <row r="169" spans="2:13" x14ac:dyDescent="0.25">
      <c r="B169" t="s">
        <v>302</v>
      </c>
      <c r="C169" t="s">
        <v>261</v>
      </c>
      <c r="D169" t="s">
        <v>211</v>
      </c>
      <c r="E169" t="s">
        <v>2</v>
      </c>
      <c r="F169" t="s">
        <v>40</v>
      </c>
      <c r="G169" t="s">
        <v>41</v>
      </c>
      <c r="H169" s="2">
        <v>352000</v>
      </c>
      <c r="I169">
        <v>43</v>
      </c>
      <c r="J169">
        <v>39</v>
      </c>
      <c r="K169">
        <v>55</v>
      </c>
      <c r="L169" t="s">
        <v>133</v>
      </c>
      <c r="M169">
        <v>10</v>
      </c>
    </row>
    <row r="170" spans="2:13" x14ac:dyDescent="0.25">
      <c r="B170" t="s">
        <v>303</v>
      </c>
      <c r="C170" t="s">
        <v>261</v>
      </c>
      <c r="D170" t="s">
        <v>211</v>
      </c>
      <c r="E170" t="s">
        <v>2</v>
      </c>
      <c r="F170" t="s">
        <v>36</v>
      </c>
      <c r="G170" t="s">
        <v>37</v>
      </c>
      <c r="H170" s="2">
        <v>381000</v>
      </c>
      <c r="I170">
        <v>243</v>
      </c>
      <c r="J170">
        <v>35</v>
      </c>
      <c r="K170">
        <v>65</v>
      </c>
      <c r="L170" t="s">
        <v>67</v>
      </c>
      <c r="M170">
        <v>12</v>
      </c>
    </row>
    <row r="171" spans="2:13" x14ac:dyDescent="0.25">
      <c r="B171" t="s">
        <v>304</v>
      </c>
      <c r="C171" t="s">
        <v>227</v>
      </c>
      <c r="D171" t="s">
        <v>211</v>
      </c>
      <c r="E171" t="s">
        <v>2</v>
      </c>
      <c r="F171" t="s">
        <v>17</v>
      </c>
      <c r="G171" t="s">
        <v>18</v>
      </c>
      <c r="H171" s="2">
        <v>1029000</v>
      </c>
      <c r="I171">
        <v>29</v>
      </c>
      <c r="J171">
        <v>14</v>
      </c>
      <c r="K171">
        <v>43</v>
      </c>
      <c r="L171" t="s">
        <v>305</v>
      </c>
      <c r="M171">
        <v>14</v>
      </c>
    </row>
    <row r="172" spans="2:13" x14ac:dyDescent="0.25">
      <c r="B172" t="s">
        <v>306</v>
      </c>
      <c r="C172" t="s">
        <v>223</v>
      </c>
      <c r="D172" t="s">
        <v>211</v>
      </c>
      <c r="E172" t="s">
        <v>2</v>
      </c>
      <c r="F172" t="s">
        <v>36</v>
      </c>
      <c r="G172" t="s">
        <v>37</v>
      </c>
      <c r="H172" s="2">
        <v>554000</v>
      </c>
      <c r="I172">
        <v>33</v>
      </c>
      <c r="J172">
        <v>30</v>
      </c>
      <c r="K172">
        <v>35</v>
      </c>
      <c r="L172" t="s">
        <v>274</v>
      </c>
      <c r="M172">
        <v>5</v>
      </c>
    </row>
    <row r="173" spans="2:13" x14ac:dyDescent="0.25">
      <c r="B173" t="s">
        <v>307</v>
      </c>
      <c r="C173" t="s">
        <v>210</v>
      </c>
      <c r="D173" t="s">
        <v>211</v>
      </c>
      <c r="E173" t="s">
        <v>2</v>
      </c>
      <c r="F173" t="s">
        <v>61</v>
      </c>
      <c r="G173" t="s">
        <v>62</v>
      </c>
      <c r="H173" s="2">
        <v>8538000</v>
      </c>
      <c r="I173">
        <v>182</v>
      </c>
      <c r="J173">
        <v>48</v>
      </c>
      <c r="K173">
        <v>61</v>
      </c>
      <c r="L173" t="s">
        <v>57</v>
      </c>
      <c r="M173">
        <v>13</v>
      </c>
    </row>
    <row r="174" spans="2:13" x14ac:dyDescent="0.25">
      <c r="B174" t="s">
        <v>308</v>
      </c>
      <c r="C174" t="s">
        <v>227</v>
      </c>
      <c r="D174" t="s">
        <v>211</v>
      </c>
      <c r="E174" t="s">
        <v>2</v>
      </c>
      <c r="F174" t="s">
        <v>40</v>
      </c>
      <c r="G174" t="s">
        <v>41</v>
      </c>
      <c r="H174" s="2">
        <v>789000</v>
      </c>
      <c r="I174">
        <v>130</v>
      </c>
      <c r="J174">
        <v>6</v>
      </c>
      <c r="K174">
        <v>32</v>
      </c>
      <c r="L174" t="s">
        <v>259</v>
      </c>
      <c r="M174">
        <v>21</v>
      </c>
    </row>
    <row r="175" spans="2:13" x14ac:dyDescent="0.25">
      <c r="B175" t="s">
        <v>309</v>
      </c>
      <c r="C175" t="s">
        <v>225</v>
      </c>
      <c r="D175" t="s">
        <v>211</v>
      </c>
      <c r="E175" t="s">
        <v>2</v>
      </c>
      <c r="F175" t="s">
        <v>36</v>
      </c>
      <c r="G175" t="s">
        <v>37</v>
      </c>
      <c r="H175" s="2">
        <v>781000</v>
      </c>
      <c r="I175">
        <v>26</v>
      </c>
      <c r="J175">
        <v>45</v>
      </c>
      <c r="K175">
        <v>64</v>
      </c>
      <c r="L175" t="s">
        <v>310</v>
      </c>
      <c r="M175">
        <v>15</v>
      </c>
    </row>
    <row r="176" spans="2:13" x14ac:dyDescent="0.25">
      <c r="B176" t="s">
        <v>311</v>
      </c>
      <c r="C176" t="s">
        <v>227</v>
      </c>
      <c r="D176" t="s">
        <v>211</v>
      </c>
      <c r="E176" t="s">
        <v>2</v>
      </c>
      <c r="F176" t="s">
        <v>55</v>
      </c>
      <c r="G176" t="s">
        <v>56</v>
      </c>
      <c r="H176" s="2">
        <v>693000</v>
      </c>
      <c r="I176">
        <v>21</v>
      </c>
      <c r="J176">
        <v>7</v>
      </c>
      <c r="K176">
        <v>21</v>
      </c>
      <c r="L176" t="s">
        <v>312</v>
      </c>
      <c r="M176">
        <v>5</v>
      </c>
    </row>
    <row r="177" spans="2:13" x14ac:dyDescent="0.25">
      <c r="B177" t="s">
        <v>313</v>
      </c>
      <c r="C177" t="s">
        <v>225</v>
      </c>
      <c r="D177" t="s">
        <v>211</v>
      </c>
      <c r="E177" t="s">
        <v>2</v>
      </c>
      <c r="F177" t="s">
        <v>55</v>
      </c>
      <c r="G177" t="s">
        <v>56</v>
      </c>
      <c r="H177" s="2">
        <v>904000</v>
      </c>
      <c r="I177">
        <v>147</v>
      </c>
      <c r="J177">
        <v>13</v>
      </c>
      <c r="K177">
        <v>36</v>
      </c>
      <c r="L177" t="s">
        <v>314</v>
      </c>
      <c r="M177">
        <v>19</v>
      </c>
    </row>
    <row r="178" spans="2:13" x14ac:dyDescent="0.25">
      <c r="B178" t="s">
        <v>315</v>
      </c>
      <c r="C178" t="s">
        <v>213</v>
      </c>
      <c r="D178" t="s">
        <v>211</v>
      </c>
      <c r="E178" t="s">
        <v>2</v>
      </c>
      <c r="F178" t="s">
        <v>85</v>
      </c>
      <c r="G178" t="s">
        <v>86</v>
      </c>
      <c r="H178" s="2">
        <v>6011000</v>
      </c>
      <c r="I178">
        <v>200</v>
      </c>
      <c r="J178">
        <v>14</v>
      </c>
      <c r="K178">
        <v>50</v>
      </c>
      <c r="L178" t="s">
        <v>189</v>
      </c>
      <c r="M178">
        <v>21</v>
      </c>
    </row>
    <row r="179" spans="2:13" x14ac:dyDescent="0.25">
      <c r="B179" t="s">
        <v>316</v>
      </c>
      <c r="C179" t="s">
        <v>213</v>
      </c>
      <c r="D179" t="s">
        <v>211</v>
      </c>
      <c r="E179" t="s">
        <v>2</v>
      </c>
      <c r="F179" t="s">
        <v>17</v>
      </c>
      <c r="G179" t="s">
        <v>18</v>
      </c>
      <c r="H179" s="2">
        <v>3491000</v>
      </c>
      <c r="I179">
        <v>18</v>
      </c>
      <c r="J179">
        <v>49</v>
      </c>
      <c r="K179">
        <v>65</v>
      </c>
      <c r="L179" t="s">
        <v>108</v>
      </c>
      <c r="M179">
        <v>16</v>
      </c>
    </row>
    <row r="180" spans="2:13" x14ac:dyDescent="0.25">
      <c r="B180" t="s">
        <v>317</v>
      </c>
      <c r="C180" t="s">
        <v>225</v>
      </c>
      <c r="D180" t="s">
        <v>211</v>
      </c>
      <c r="E180" t="s">
        <v>2</v>
      </c>
      <c r="F180" t="s">
        <v>32</v>
      </c>
      <c r="G180" t="s">
        <v>33</v>
      </c>
      <c r="H180" s="2">
        <v>887000</v>
      </c>
      <c r="I180">
        <v>102</v>
      </c>
      <c r="J180">
        <v>11</v>
      </c>
      <c r="K180">
        <v>37</v>
      </c>
      <c r="L180" t="s">
        <v>83</v>
      </c>
      <c r="M180">
        <v>13</v>
      </c>
    </row>
    <row r="181" spans="2:13" x14ac:dyDescent="0.25">
      <c r="B181" t="s">
        <v>318</v>
      </c>
      <c r="C181" t="s">
        <v>240</v>
      </c>
      <c r="D181" t="s">
        <v>211</v>
      </c>
      <c r="E181" t="s">
        <v>2</v>
      </c>
      <c r="F181" t="s">
        <v>55</v>
      </c>
      <c r="G181" t="s">
        <v>56</v>
      </c>
      <c r="H181" s="2">
        <v>553000</v>
      </c>
      <c r="I181">
        <v>80</v>
      </c>
      <c r="J181">
        <v>17</v>
      </c>
      <c r="K181">
        <v>25</v>
      </c>
      <c r="L181" t="s">
        <v>24</v>
      </c>
      <c r="M181">
        <v>8</v>
      </c>
    </row>
    <row r="182" spans="2:13" x14ac:dyDescent="0.25">
      <c r="B182" t="s">
        <v>319</v>
      </c>
      <c r="C182" t="s">
        <v>234</v>
      </c>
      <c r="D182" t="s">
        <v>211</v>
      </c>
      <c r="E182" t="s">
        <v>2</v>
      </c>
      <c r="F182" t="s">
        <v>81</v>
      </c>
      <c r="G182" t="s">
        <v>82</v>
      </c>
      <c r="H182" s="2">
        <v>393000</v>
      </c>
      <c r="I182">
        <v>22</v>
      </c>
      <c r="J182">
        <v>26</v>
      </c>
      <c r="K182">
        <v>38</v>
      </c>
      <c r="L182" t="s">
        <v>287</v>
      </c>
      <c r="M182">
        <v>8</v>
      </c>
    </row>
    <row r="183" spans="2:13" x14ac:dyDescent="0.25">
      <c r="B183" t="s">
        <v>320</v>
      </c>
      <c r="C183" t="s">
        <v>227</v>
      </c>
      <c r="D183" t="s">
        <v>211</v>
      </c>
      <c r="E183" t="s">
        <v>2</v>
      </c>
      <c r="F183" t="s">
        <v>32</v>
      </c>
      <c r="G183" t="s">
        <v>33</v>
      </c>
      <c r="H183" s="2">
        <v>762000</v>
      </c>
      <c r="I183">
        <v>160</v>
      </c>
      <c r="J183">
        <v>18</v>
      </c>
      <c r="K183">
        <v>40</v>
      </c>
      <c r="L183" t="s">
        <v>171</v>
      </c>
      <c r="M183">
        <v>6</v>
      </c>
    </row>
    <row r="184" spans="2:13" x14ac:dyDescent="0.25">
      <c r="B184" t="s">
        <v>321</v>
      </c>
      <c r="C184" t="s">
        <v>234</v>
      </c>
      <c r="D184" t="s">
        <v>211</v>
      </c>
      <c r="E184" t="s">
        <v>2</v>
      </c>
      <c r="F184" t="s">
        <v>40</v>
      </c>
      <c r="G184" t="s">
        <v>41</v>
      </c>
      <c r="H184" s="2">
        <v>355000</v>
      </c>
      <c r="I184">
        <v>80</v>
      </c>
      <c r="J184">
        <v>14</v>
      </c>
      <c r="K184">
        <v>23</v>
      </c>
      <c r="L184" t="s">
        <v>230</v>
      </c>
      <c r="M184">
        <v>7</v>
      </c>
    </row>
    <row r="185" spans="2:13" x14ac:dyDescent="0.25">
      <c r="B185" t="s">
        <v>322</v>
      </c>
      <c r="C185" t="s">
        <v>227</v>
      </c>
      <c r="D185" t="s">
        <v>211</v>
      </c>
      <c r="E185" t="s">
        <v>2</v>
      </c>
      <c r="F185" t="s">
        <v>17</v>
      </c>
      <c r="G185" t="s">
        <v>18</v>
      </c>
      <c r="H185" s="2">
        <v>576000</v>
      </c>
      <c r="I185">
        <v>43</v>
      </c>
      <c r="J185">
        <v>5</v>
      </c>
      <c r="K185">
        <v>21</v>
      </c>
      <c r="L185" t="s">
        <v>95</v>
      </c>
      <c r="M185">
        <v>12</v>
      </c>
    </row>
    <row r="186" spans="2:13" x14ac:dyDescent="0.25">
      <c r="B186" t="s">
        <v>323</v>
      </c>
      <c r="C186" t="s">
        <v>240</v>
      </c>
      <c r="D186" t="s">
        <v>211</v>
      </c>
      <c r="E186" t="s">
        <v>2</v>
      </c>
      <c r="F186" t="s">
        <v>48</v>
      </c>
      <c r="G186" t="s">
        <v>49</v>
      </c>
      <c r="H186" s="2">
        <v>439000</v>
      </c>
      <c r="I186">
        <v>77</v>
      </c>
      <c r="J186">
        <v>8</v>
      </c>
      <c r="K186">
        <v>19</v>
      </c>
      <c r="L186" t="s">
        <v>324</v>
      </c>
      <c r="M186">
        <v>5</v>
      </c>
    </row>
    <row r="187" spans="2:13" x14ac:dyDescent="0.25">
      <c r="B187" t="s">
        <v>325</v>
      </c>
      <c r="C187" t="s">
        <v>227</v>
      </c>
      <c r="D187" t="s">
        <v>211</v>
      </c>
      <c r="E187" t="s">
        <v>2</v>
      </c>
      <c r="F187" t="s">
        <v>61</v>
      </c>
      <c r="G187" t="s">
        <v>62</v>
      </c>
      <c r="H187" s="2">
        <v>1037000</v>
      </c>
      <c r="I187">
        <v>124</v>
      </c>
      <c r="J187">
        <v>28</v>
      </c>
      <c r="K187">
        <v>49</v>
      </c>
      <c r="L187" t="s">
        <v>34</v>
      </c>
      <c r="M187">
        <v>16</v>
      </c>
    </row>
    <row r="188" spans="2:13" x14ac:dyDescent="0.25">
      <c r="B188" t="s">
        <v>326</v>
      </c>
      <c r="C188" t="s">
        <v>223</v>
      </c>
      <c r="D188" t="s">
        <v>211</v>
      </c>
      <c r="E188" t="s">
        <v>2</v>
      </c>
      <c r="F188" t="s">
        <v>40</v>
      </c>
      <c r="G188" t="s">
        <v>41</v>
      </c>
      <c r="H188" s="2">
        <v>406000</v>
      </c>
      <c r="I188">
        <v>167</v>
      </c>
      <c r="J188">
        <v>7</v>
      </c>
      <c r="K188">
        <v>41</v>
      </c>
      <c r="L188" t="s">
        <v>327</v>
      </c>
      <c r="M188">
        <v>16</v>
      </c>
    </row>
    <row r="189" spans="2:13" x14ac:dyDescent="0.25">
      <c r="B189" t="s">
        <v>328</v>
      </c>
      <c r="C189" t="s">
        <v>240</v>
      </c>
      <c r="D189" t="s">
        <v>211</v>
      </c>
      <c r="E189" t="s">
        <v>2</v>
      </c>
      <c r="F189" t="s">
        <v>85</v>
      </c>
      <c r="G189" t="s">
        <v>86</v>
      </c>
      <c r="H189" s="2">
        <v>381000</v>
      </c>
      <c r="I189">
        <v>132</v>
      </c>
      <c r="J189">
        <v>30</v>
      </c>
      <c r="K189">
        <v>48</v>
      </c>
      <c r="L189" t="s">
        <v>189</v>
      </c>
      <c r="M189">
        <v>16</v>
      </c>
    </row>
    <row r="190" spans="2:13" x14ac:dyDescent="0.25">
      <c r="B190" t="s">
        <v>329</v>
      </c>
      <c r="C190" t="s">
        <v>227</v>
      </c>
      <c r="D190" t="s">
        <v>211</v>
      </c>
      <c r="E190" t="s">
        <v>2</v>
      </c>
      <c r="F190" t="s">
        <v>85</v>
      </c>
      <c r="G190" t="s">
        <v>86</v>
      </c>
      <c r="H190" s="2">
        <v>632000</v>
      </c>
      <c r="I190">
        <v>92</v>
      </c>
      <c r="J190">
        <v>43</v>
      </c>
      <c r="K190">
        <v>52</v>
      </c>
      <c r="L190" t="s">
        <v>330</v>
      </c>
      <c r="M190">
        <v>10</v>
      </c>
    </row>
    <row r="191" spans="2:13" x14ac:dyDescent="0.25">
      <c r="B191" t="s">
        <v>331</v>
      </c>
      <c r="C191" t="s">
        <v>234</v>
      </c>
      <c r="D191" t="s">
        <v>211</v>
      </c>
      <c r="E191" t="s">
        <v>2</v>
      </c>
      <c r="F191" t="s">
        <v>32</v>
      </c>
      <c r="G191" t="s">
        <v>33</v>
      </c>
      <c r="H191" s="2">
        <v>1646000</v>
      </c>
      <c r="I191">
        <v>159</v>
      </c>
      <c r="J191">
        <v>40</v>
      </c>
      <c r="K191">
        <v>67</v>
      </c>
      <c r="L191" t="s">
        <v>57</v>
      </c>
      <c r="M191">
        <v>21</v>
      </c>
    </row>
    <row r="192" spans="2:13" x14ac:dyDescent="0.25">
      <c r="B192" t="s">
        <v>332</v>
      </c>
      <c r="C192" t="s">
        <v>223</v>
      </c>
      <c r="D192" t="s">
        <v>211</v>
      </c>
      <c r="E192" t="s">
        <v>2</v>
      </c>
      <c r="F192" t="s">
        <v>48</v>
      </c>
      <c r="G192" t="s">
        <v>49</v>
      </c>
      <c r="H192" s="2">
        <v>481000</v>
      </c>
      <c r="I192">
        <v>126</v>
      </c>
      <c r="J192">
        <v>37</v>
      </c>
      <c r="K192">
        <v>61</v>
      </c>
      <c r="L192" t="s">
        <v>279</v>
      </c>
      <c r="M192">
        <v>5</v>
      </c>
    </row>
    <row r="193" spans="2:13" x14ac:dyDescent="0.25">
      <c r="B193" t="s">
        <v>333</v>
      </c>
      <c r="C193" t="s">
        <v>223</v>
      </c>
      <c r="D193" t="s">
        <v>211</v>
      </c>
      <c r="E193" t="s">
        <v>2</v>
      </c>
      <c r="F193" t="s">
        <v>55</v>
      </c>
      <c r="G193" t="s">
        <v>56</v>
      </c>
      <c r="H193" s="2">
        <v>918000</v>
      </c>
      <c r="I193">
        <v>231</v>
      </c>
      <c r="J193">
        <v>18</v>
      </c>
      <c r="K193">
        <v>57</v>
      </c>
      <c r="L193" t="s">
        <v>59</v>
      </c>
      <c r="M193">
        <v>15</v>
      </c>
    </row>
    <row r="194" spans="2:13" x14ac:dyDescent="0.25">
      <c r="B194" t="s">
        <v>334</v>
      </c>
      <c r="C194" t="s">
        <v>218</v>
      </c>
      <c r="D194" t="s">
        <v>211</v>
      </c>
      <c r="E194" t="s">
        <v>2</v>
      </c>
      <c r="F194" t="s">
        <v>85</v>
      </c>
      <c r="G194" t="s">
        <v>86</v>
      </c>
      <c r="H194" s="2">
        <v>2544000</v>
      </c>
      <c r="I194">
        <v>126</v>
      </c>
      <c r="J194">
        <v>30</v>
      </c>
      <c r="K194">
        <v>48</v>
      </c>
      <c r="L194" t="s">
        <v>181</v>
      </c>
      <c r="M194">
        <v>15</v>
      </c>
    </row>
    <row r="195" spans="2:13" x14ac:dyDescent="0.25">
      <c r="B195" t="s">
        <v>335</v>
      </c>
      <c r="C195" t="s">
        <v>218</v>
      </c>
      <c r="D195" t="s">
        <v>211</v>
      </c>
      <c r="E195" t="s">
        <v>2</v>
      </c>
      <c r="F195" t="s">
        <v>55</v>
      </c>
      <c r="G195" t="s">
        <v>56</v>
      </c>
      <c r="H195" s="2">
        <v>2212000</v>
      </c>
      <c r="I195">
        <v>75</v>
      </c>
      <c r="J195">
        <v>28</v>
      </c>
      <c r="K195">
        <v>37</v>
      </c>
      <c r="L195" t="s">
        <v>147</v>
      </c>
      <c r="M195">
        <v>4</v>
      </c>
    </row>
    <row r="196" spans="2:13" x14ac:dyDescent="0.25">
      <c r="B196" t="s">
        <v>336</v>
      </c>
      <c r="C196" t="s">
        <v>227</v>
      </c>
      <c r="D196" t="s">
        <v>211</v>
      </c>
      <c r="E196" t="s">
        <v>2</v>
      </c>
      <c r="F196" t="s">
        <v>32</v>
      </c>
      <c r="G196" t="s">
        <v>33</v>
      </c>
      <c r="H196" s="2">
        <v>645000</v>
      </c>
      <c r="I196">
        <v>120</v>
      </c>
      <c r="J196">
        <v>11</v>
      </c>
      <c r="K196">
        <v>39</v>
      </c>
      <c r="L196" t="s">
        <v>330</v>
      </c>
      <c r="M196">
        <v>19</v>
      </c>
    </row>
    <row r="197" spans="2:13" x14ac:dyDescent="0.25">
      <c r="B197" t="s">
        <v>337</v>
      </c>
      <c r="C197" t="s">
        <v>240</v>
      </c>
      <c r="D197" t="s">
        <v>211</v>
      </c>
      <c r="E197" t="s">
        <v>2</v>
      </c>
      <c r="F197" t="s">
        <v>85</v>
      </c>
      <c r="G197" t="s">
        <v>86</v>
      </c>
      <c r="H197" s="2">
        <v>650000</v>
      </c>
      <c r="I197">
        <v>153</v>
      </c>
      <c r="J197">
        <v>40</v>
      </c>
      <c r="K197">
        <v>55</v>
      </c>
      <c r="L197" t="s">
        <v>142</v>
      </c>
      <c r="M197">
        <v>13</v>
      </c>
    </row>
    <row r="198" spans="2:13" x14ac:dyDescent="0.25">
      <c r="B198" t="s">
        <v>338</v>
      </c>
      <c r="C198" t="s">
        <v>213</v>
      </c>
      <c r="D198" t="s">
        <v>211</v>
      </c>
      <c r="E198" t="s">
        <v>2</v>
      </c>
      <c r="F198" t="s">
        <v>32</v>
      </c>
      <c r="G198" t="s">
        <v>33</v>
      </c>
      <c r="H198" s="2">
        <v>1621000</v>
      </c>
      <c r="I198">
        <v>83</v>
      </c>
      <c r="J198">
        <v>43</v>
      </c>
      <c r="K198">
        <v>57</v>
      </c>
      <c r="L198" t="s">
        <v>34</v>
      </c>
      <c r="M198">
        <v>20</v>
      </c>
    </row>
    <row r="199" spans="2:13" x14ac:dyDescent="0.25">
      <c r="B199" t="s">
        <v>339</v>
      </c>
      <c r="C199" t="s">
        <v>223</v>
      </c>
      <c r="D199" t="s">
        <v>211</v>
      </c>
      <c r="E199" t="s">
        <v>2</v>
      </c>
      <c r="F199" t="s">
        <v>17</v>
      </c>
      <c r="G199" t="s">
        <v>18</v>
      </c>
      <c r="H199" s="2">
        <v>397000</v>
      </c>
      <c r="I199">
        <v>49</v>
      </c>
      <c r="J199">
        <v>47</v>
      </c>
      <c r="K199">
        <v>67</v>
      </c>
      <c r="L199" t="s">
        <v>34</v>
      </c>
      <c r="M199">
        <v>13</v>
      </c>
    </row>
    <row r="200" spans="2:13" x14ac:dyDescent="0.25">
      <c r="B200" t="s">
        <v>340</v>
      </c>
      <c r="C200" t="s">
        <v>223</v>
      </c>
      <c r="D200" t="s">
        <v>211</v>
      </c>
      <c r="E200" t="s">
        <v>2</v>
      </c>
      <c r="F200" t="s">
        <v>17</v>
      </c>
      <c r="G200" t="s">
        <v>18</v>
      </c>
      <c r="H200" s="2">
        <v>556000</v>
      </c>
      <c r="I200">
        <v>39</v>
      </c>
      <c r="J200">
        <v>22</v>
      </c>
      <c r="K200">
        <v>45</v>
      </c>
      <c r="L200" t="s">
        <v>177</v>
      </c>
      <c r="M200">
        <v>19</v>
      </c>
    </row>
    <row r="201" spans="2:13" x14ac:dyDescent="0.25">
      <c r="B201" t="s">
        <v>341</v>
      </c>
      <c r="C201" t="s">
        <v>234</v>
      </c>
      <c r="D201" t="s">
        <v>211</v>
      </c>
      <c r="E201" t="s">
        <v>2</v>
      </c>
      <c r="F201" t="s">
        <v>22</v>
      </c>
      <c r="G201" t="s">
        <v>23</v>
      </c>
      <c r="H201" s="2">
        <v>1606000</v>
      </c>
      <c r="I201">
        <v>182</v>
      </c>
      <c r="J201">
        <v>46</v>
      </c>
      <c r="K201">
        <v>68</v>
      </c>
      <c r="L201" t="s">
        <v>161</v>
      </c>
      <c r="M201">
        <v>10</v>
      </c>
    </row>
    <row r="202" spans="2:13" x14ac:dyDescent="0.25">
      <c r="B202" t="s">
        <v>342</v>
      </c>
      <c r="C202" t="s">
        <v>240</v>
      </c>
      <c r="D202" t="s">
        <v>211</v>
      </c>
      <c r="E202" t="s">
        <v>2</v>
      </c>
      <c r="F202" t="s">
        <v>36</v>
      </c>
      <c r="G202" t="s">
        <v>37</v>
      </c>
      <c r="H202" s="2">
        <v>442000</v>
      </c>
      <c r="I202">
        <v>79</v>
      </c>
      <c r="J202">
        <v>49</v>
      </c>
      <c r="K202">
        <v>78</v>
      </c>
      <c r="L202" t="s">
        <v>195</v>
      </c>
      <c r="M202">
        <v>13</v>
      </c>
    </row>
    <row r="203" spans="2:13" x14ac:dyDescent="0.25">
      <c r="B203" t="s">
        <v>343</v>
      </c>
      <c r="C203" t="s">
        <v>344</v>
      </c>
      <c r="D203" t="s">
        <v>345</v>
      </c>
      <c r="E203" t="s">
        <v>346</v>
      </c>
      <c r="F203" t="s">
        <v>48</v>
      </c>
      <c r="G203" t="s">
        <v>49</v>
      </c>
      <c r="H203" s="2">
        <v>51000</v>
      </c>
      <c r="I203">
        <v>232</v>
      </c>
      <c r="J203">
        <v>14</v>
      </c>
      <c r="K203">
        <v>58</v>
      </c>
      <c r="L203" t="s">
        <v>147</v>
      </c>
      <c r="M203">
        <v>6</v>
      </c>
    </row>
    <row r="204" spans="2:13" x14ac:dyDescent="0.25">
      <c r="B204" t="s">
        <v>347</v>
      </c>
      <c r="C204" t="s">
        <v>344</v>
      </c>
      <c r="D204" t="s">
        <v>345</v>
      </c>
      <c r="E204" t="s">
        <v>346</v>
      </c>
      <c r="F204" t="s">
        <v>48</v>
      </c>
      <c r="G204" t="s">
        <v>49</v>
      </c>
      <c r="H204" s="2">
        <v>45000</v>
      </c>
      <c r="I204">
        <v>201</v>
      </c>
      <c r="J204">
        <v>38</v>
      </c>
      <c r="K204">
        <v>50</v>
      </c>
      <c r="L204" t="s">
        <v>185</v>
      </c>
      <c r="M204">
        <v>16</v>
      </c>
    </row>
    <row r="205" spans="2:13" x14ac:dyDescent="0.25">
      <c r="B205" t="s">
        <v>348</v>
      </c>
      <c r="C205" t="s">
        <v>349</v>
      </c>
      <c r="D205" t="s">
        <v>345</v>
      </c>
      <c r="E205" t="s">
        <v>2</v>
      </c>
      <c r="F205" t="s">
        <v>32</v>
      </c>
      <c r="G205" t="s">
        <v>33</v>
      </c>
      <c r="H205" s="2">
        <v>4000</v>
      </c>
      <c r="I205">
        <v>104</v>
      </c>
      <c r="J205">
        <v>24</v>
      </c>
      <c r="K205">
        <v>52</v>
      </c>
      <c r="L205" t="s">
        <v>171</v>
      </c>
      <c r="M205">
        <v>20</v>
      </c>
    </row>
    <row r="206" spans="2:13" x14ac:dyDescent="0.25">
      <c r="B206" t="s">
        <v>350</v>
      </c>
      <c r="C206" t="s">
        <v>351</v>
      </c>
      <c r="D206" t="s">
        <v>345</v>
      </c>
      <c r="E206" t="s">
        <v>2</v>
      </c>
      <c r="F206" t="s">
        <v>81</v>
      </c>
      <c r="G206" t="s">
        <v>82</v>
      </c>
      <c r="H206" s="2">
        <v>266000</v>
      </c>
      <c r="I206">
        <v>236</v>
      </c>
      <c r="J206">
        <v>8</v>
      </c>
      <c r="K206">
        <v>59</v>
      </c>
      <c r="L206" t="s">
        <v>110</v>
      </c>
      <c r="M206">
        <v>21</v>
      </c>
    </row>
    <row r="207" spans="2:13" x14ac:dyDescent="0.25">
      <c r="B207" t="s">
        <v>352</v>
      </c>
      <c r="C207" t="s">
        <v>344</v>
      </c>
      <c r="D207" t="s">
        <v>345</v>
      </c>
      <c r="E207" t="s">
        <v>346</v>
      </c>
      <c r="F207" t="s">
        <v>48</v>
      </c>
      <c r="G207" t="s">
        <v>49</v>
      </c>
      <c r="H207" s="2">
        <v>45000</v>
      </c>
      <c r="I207">
        <v>79</v>
      </c>
      <c r="J207">
        <v>33</v>
      </c>
      <c r="K207">
        <v>59</v>
      </c>
      <c r="L207" t="s">
        <v>189</v>
      </c>
      <c r="M207">
        <v>21</v>
      </c>
    </row>
    <row r="208" spans="2:13" x14ac:dyDescent="0.25">
      <c r="B208" t="s">
        <v>353</v>
      </c>
      <c r="C208" t="s">
        <v>354</v>
      </c>
      <c r="D208" t="s">
        <v>345</v>
      </c>
      <c r="E208" t="s">
        <v>355</v>
      </c>
      <c r="F208" t="s">
        <v>40</v>
      </c>
      <c r="G208" t="s">
        <v>41</v>
      </c>
      <c r="H208" s="2">
        <v>21000</v>
      </c>
      <c r="I208">
        <v>79</v>
      </c>
      <c r="J208">
        <v>18</v>
      </c>
      <c r="K208">
        <v>47</v>
      </c>
      <c r="L208" t="s">
        <v>312</v>
      </c>
      <c r="M208">
        <v>13</v>
      </c>
    </row>
    <row r="209" spans="2:13" x14ac:dyDescent="0.25">
      <c r="B209" t="s">
        <v>356</v>
      </c>
      <c r="C209" t="s">
        <v>357</v>
      </c>
      <c r="D209" t="s">
        <v>345</v>
      </c>
      <c r="E209" t="s">
        <v>358</v>
      </c>
      <c r="F209" t="s">
        <v>61</v>
      </c>
      <c r="G209" t="s">
        <v>62</v>
      </c>
      <c r="H209" s="2">
        <v>27000</v>
      </c>
      <c r="I209">
        <v>82</v>
      </c>
      <c r="J209">
        <v>48</v>
      </c>
      <c r="K209">
        <v>74</v>
      </c>
      <c r="L209" t="s">
        <v>189</v>
      </c>
      <c r="M209">
        <v>18</v>
      </c>
    </row>
    <row r="210" spans="2:13" x14ac:dyDescent="0.25">
      <c r="B210" t="s">
        <v>359</v>
      </c>
      <c r="C210" t="s">
        <v>360</v>
      </c>
      <c r="D210" t="s">
        <v>345</v>
      </c>
      <c r="E210" t="s">
        <v>358</v>
      </c>
      <c r="F210" t="s">
        <v>22</v>
      </c>
      <c r="G210" t="s">
        <v>23</v>
      </c>
      <c r="H210" s="2">
        <v>6000</v>
      </c>
      <c r="I210">
        <v>66</v>
      </c>
      <c r="J210">
        <v>30</v>
      </c>
      <c r="K210">
        <v>54</v>
      </c>
      <c r="L210" t="s">
        <v>361</v>
      </c>
      <c r="M210">
        <v>8</v>
      </c>
    </row>
    <row r="211" spans="2:13" x14ac:dyDescent="0.25">
      <c r="B211" t="s">
        <v>362</v>
      </c>
      <c r="C211" t="s">
        <v>360</v>
      </c>
      <c r="D211" t="s">
        <v>345</v>
      </c>
      <c r="E211" t="s">
        <v>358</v>
      </c>
      <c r="F211" t="s">
        <v>36</v>
      </c>
      <c r="G211" t="s">
        <v>37</v>
      </c>
      <c r="H211" s="2">
        <v>11000</v>
      </c>
      <c r="I211">
        <v>206</v>
      </c>
      <c r="J211">
        <v>13</v>
      </c>
      <c r="K211">
        <v>51</v>
      </c>
      <c r="L211" t="s">
        <v>42</v>
      </c>
      <c r="M211">
        <v>12</v>
      </c>
    </row>
    <row r="212" spans="2:13" x14ac:dyDescent="0.25">
      <c r="B212" t="s">
        <v>363</v>
      </c>
      <c r="C212" t="s">
        <v>364</v>
      </c>
      <c r="D212" t="s">
        <v>345</v>
      </c>
      <c r="E212" t="s">
        <v>358</v>
      </c>
      <c r="F212" t="s">
        <v>81</v>
      </c>
      <c r="G212" t="s">
        <v>82</v>
      </c>
      <c r="H212" s="2">
        <v>18000</v>
      </c>
      <c r="I212">
        <v>137</v>
      </c>
      <c r="J212">
        <v>32</v>
      </c>
      <c r="K212">
        <v>42</v>
      </c>
      <c r="L212" t="s">
        <v>57</v>
      </c>
      <c r="M212">
        <v>19</v>
      </c>
    </row>
    <row r="213" spans="2:13" x14ac:dyDescent="0.25">
      <c r="B213" t="s">
        <v>365</v>
      </c>
      <c r="C213" t="s">
        <v>366</v>
      </c>
      <c r="D213" t="s">
        <v>345</v>
      </c>
      <c r="E213" t="s">
        <v>2</v>
      </c>
      <c r="F213" t="s">
        <v>32</v>
      </c>
      <c r="G213" t="s">
        <v>33</v>
      </c>
      <c r="H213" s="2">
        <v>79000</v>
      </c>
      <c r="I213">
        <v>153</v>
      </c>
      <c r="J213">
        <v>47</v>
      </c>
      <c r="K213">
        <v>77</v>
      </c>
      <c r="L213" t="s">
        <v>126</v>
      </c>
      <c r="M213">
        <v>14</v>
      </c>
    </row>
    <row r="214" spans="2:13" x14ac:dyDescent="0.25">
      <c r="B214" t="s">
        <v>367</v>
      </c>
      <c r="C214" t="s">
        <v>344</v>
      </c>
      <c r="D214" t="s">
        <v>345</v>
      </c>
      <c r="E214" t="s">
        <v>346</v>
      </c>
      <c r="F214" t="s">
        <v>32</v>
      </c>
      <c r="G214" t="s">
        <v>33</v>
      </c>
      <c r="H214" s="2">
        <v>67000</v>
      </c>
      <c r="I214">
        <v>14</v>
      </c>
      <c r="J214">
        <v>34</v>
      </c>
      <c r="K214">
        <v>41</v>
      </c>
      <c r="L214" t="s">
        <v>368</v>
      </c>
      <c r="M214">
        <v>15</v>
      </c>
    </row>
    <row r="215" spans="2:13" x14ac:dyDescent="0.25">
      <c r="B215" t="s">
        <v>369</v>
      </c>
      <c r="C215" t="s">
        <v>351</v>
      </c>
      <c r="D215" t="s">
        <v>345</v>
      </c>
      <c r="E215" t="s">
        <v>2</v>
      </c>
      <c r="F215" t="s">
        <v>36</v>
      </c>
      <c r="G215" t="s">
        <v>37</v>
      </c>
      <c r="H215" s="2">
        <v>594000</v>
      </c>
      <c r="I215">
        <v>191</v>
      </c>
      <c r="J215">
        <v>45</v>
      </c>
      <c r="K215">
        <v>63</v>
      </c>
      <c r="L215" t="s">
        <v>312</v>
      </c>
      <c r="M215">
        <v>14</v>
      </c>
    </row>
    <row r="216" spans="2:13" x14ac:dyDescent="0.25">
      <c r="B216" t="s">
        <v>370</v>
      </c>
      <c r="C216" t="s">
        <v>344</v>
      </c>
      <c r="D216" t="s">
        <v>345</v>
      </c>
      <c r="E216" t="s">
        <v>346</v>
      </c>
      <c r="F216" t="s">
        <v>32</v>
      </c>
      <c r="G216" t="s">
        <v>33</v>
      </c>
      <c r="H216" s="2">
        <v>60000</v>
      </c>
      <c r="I216">
        <v>53</v>
      </c>
      <c r="J216">
        <v>44</v>
      </c>
      <c r="K216">
        <v>63</v>
      </c>
      <c r="L216" t="s">
        <v>24</v>
      </c>
      <c r="M216">
        <v>15</v>
      </c>
    </row>
    <row r="217" spans="2:13" x14ac:dyDescent="0.25">
      <c r="B217" t="s">
        <v>371</v>
      </c>
      <c r="C217" t="s">
        <v>364</v>
      </c>
      <c r="D217" t="s">
        <v>345</v>
      </c>
      <c r="E217" t="s">
        <v>358</v>
      </c>
      <c r="F217" t="s">
        <v>40</v>
      </c>
      <c r="G217" t="s">
        <v>41</v>
      </c>
      <c r="H217" s="2">
        <v>25000</v>
      </c>
      <c r="I217">
        <v>121</v>
      </c>
      <c r="J217">
        <v>42</v>
      </c>
      <c r="K217">
        <v>59</v>
      </c>
      <c r="L217" t="s">
        <v>121</v>
      </c>
      <c r="M217">
        <v>14</v>
      </c>
    </row>
    <row r="218" spans="2:13" x14ac:dyDescent="0.25">
      <c r="B218" t="s">
        <v>372</v>
      </c>
      <c r="C218" t="s">
        <v>360</v>
      </c>
      <c r="D218" t="s">
        <v>345</v>
      </c>
      <c r="E218" t="s">
        <v>358</v>
      </c>
      <c r="F218" t="s">
        <v>81</v>
      </c>
      <c r="G218" t="s">
        <v>82</v>
      </c>
      <c r="H218" s="2">
        <v>15000</v>
      </c>
      <c r="I218">
        <v>66</v>
      </c>
      <c r="J218">
        <v>26</v>
      </c>
      <c r="K218">
        <v>55</v>
      </c>
      <c r="L218" t="s">
        <v>126</v>
      </c>
      <c r="M218">
        <v>18</v>
      </c>
    </row>
    <row r="219" spans="2:13" x14ac:dyDescent="0.25">
      <c r="B219" t="s">
        <v>373</v>
      </c>
      <c r="C219" t="s">
        <v>364</v>
      </c>
      <c r="D219" t="s">
        <v>345</v>
      </c>
      <c r="E219" t="s">
        <v>358</v>
      </c>
      <c r="F219" t="s">
        <v>32</v>
      </c>
      <c r="G219" t="s">
        <v>33</v>
      </c>
      <c r="H219" s="2">
        <v>34000</v>
      </c>
      <c r="I219">
        <v>140</v>
      </c>
      <c r="J219">
        <v>17</v>
      </c>
      <c r="K219">
        <v>46</v>
      </c>
      <c r="L219" t="s">
        <v>206</v>
      </c>
      <c r="M219">
        <v>6</v>
      </c>
    </row>
    <row r="220" spans="2:13" x14ac:dyDescent="0.25">
      <c r="B220" t="s">
        <v>374</v>
      </c>
      <c r="C220" t="s">
        <v>366</v>
      </c>
      <c r="D220" t="s">
        <v>345</v>
      </c>
      <c r="E220" t="s">
        <v>2</v>
      </c>
      <c r="F220" t="s">
        <v>81</v>
      </c>
      <c r="G220" t="s">
        <v>82</v>
      </c>
      <c r="H220" s="2">
        <v>28000</v>
      </c>
      <c r="I220">
        <v>47</v>
      </c>
      <c r="J220">
        <v>21</v>
      </c>
      <c r="K220">
        <v>32</v>
      </c>
      <c r="L220" t="s">
        <v>161</v>
      </c>
      <c r="M220">
        <v>6</v>
      </c>
    </row>
    <row r="221" spans="2:13" x14ac:dyDescent="0.25">
      <c r="B221" t="s">
        <v>375</v>
      </c>
      <c r="C221" t="s">
        <v>364</v>
      </c>
      <c r="D221" t="s">
        <v>345</v>
      </c>
      <c r="E221" t="s">
        <v>358</v>
      </c>
      <c r="F221" t="s">
        <v>55</v>
      </c>
      <c r="G221" t="s">
        <v>56</v>
      </c>
      <c r="H221" s="2">
        <v>23000</v>
      </c>
      <c r="I221">
        <v>207</v>
      </c>
      <c r="J221">
        <v>45</v>
      </c>
      <c r="K221">
        <v>65</v>
      </c>
      <c r="L221" t="s">
        <v>110</v>
      </c>
      <c r="M221">
        <v>20</v>
      </c>
    </row>
    <row r="222" spans="2:13" x14ac:dyDescent="0.25">
      <c r="B222" t="s">
        <v>376</v>
      </c>
      <c r="C222" t="s">
        <v>351</v>
      </c>
      <c r="D222" t="s">
        <v>345</v>
      </c>
      <c r="E222" t="s">
        <v>2</v>
      </c>
      <c r="F222" t="s">
        <v>61</v>
      </c>
      <c r="G222" t="s">
        <v>62</v>
      </c>
      <c r="H222" s="2">
        <v>639000</v>
      </c>
      <c r="I222">
        <v>184</v>
      </c>
      <c r="J222">
        <v>41</v>
      </c>
      <c r="K222">
        <v>66</v>
      </c>
      <c r="L222" t="s">
        <v>259</v>
      </c>
      <c r="M222">
        <v>12</v>
      </c>
    </row>
    <row r="223" spans="2:13" x14ac:dyDescent="0.25">
      <c r="B223" t="s">
        <v>377</v>
      </c>
      <c r="C223" t="s">
        <v>378</v>
      </c>
      <c r="D223" t="s">
        <v>345</v>
      </c>
      <c r="E223" t="s">
        <v>2</v>
      </c>
      <c r="F223" t="s">
        <v>36</v>
      </c>
      <c r="G223" t="s">
        <v>37</v>
      </c>
      <c r="H223" s="2">
        <v>22000</v>
      </c>
      <c r="I223">
        <v>27</v>
      </c>
      <c r="J223">
        <v>35</v>
      </c>
      <c r="K223">
        <v>54</v>
      </c>
      <c r="L223" t="s">
        <v>50</v>
      </c>
      <c r="M223">
        <v>20</v>
      </c>
    </row>
    <row r="224" spans="2:13" x14ac:dyDescent="0.25">
      <c r="B224" t="s">
        <v>379</v>
      </c>
      <c r="C224" t="s">
        <v>344</v>
      </c>
      <c r="D224" t="s">
        <v>345</v>
      </c>
      <c r="E224" t="s">
        <v>346</v>
      </c>
      <c r="F224" t="s">
        <v>55</v>
      </c>
      <c r="G224" t="s">
        <v>56</v>
      </c>
      <c r="H224" s="2">
        <v>62000</v>
      </c>
      <c r="I224">
        <v>139</v>
      </c>
      <c r="J224">
        <v>9</v>
      </c>
      <c r="K224">
        <v>34</v>
      </c>
      <c r="L224" t="s">
        <v>106</v>
      </c>
      <c r="M224">
        <v>3</v>
      </c>
    </row>
    <row r="225" spans="2:13" x14ac:dyDescent="0.25">
      <c r="B225" t="s">
        <v>380</v>
      </c>
      <c r="C225" t="s">
        <v>344</v>
      </c>
      <c r="D225" t="s">
        <v>345</v>
      </c>
      <c r="E225" t="s">
        <v>346</v>
      </c>
      <c r="F225" t="s">
        <v>85</v>
      </c>
      <c r="G225" t="s">
        <v>86</v>
      </c>
      <c r="H225" s="2">
        <v>63000</v>
      </c>
      <c r="I225">
        <v>222</v>
      </c>
      <c r="J225">
        <v>23</v>
      </c>
      <c r="K225">
        <v>55</v>
      </c>
      <c r="L225" t="s">
        <v>129</v>
      </c>
      <c r="M225">
        <v>21</v>
      </c>
    </row>
    <row r="226" spans="2:13" x14ac:dyDescent="0.25">
      <c r="B226" t="s">
        <v>381</v>
      </c>
      <c r="C226" t="s">
        <v>382</v>
      </c>
      <c r="D226" t="s">
        <v>345</v>
      </c>
      <c r="E226" t="s">
        <v>383</v>
      </c>
      <c r="F226" t="s">
        <v>22</v>
      </c>
      <c r="G226" t="s">
        <v>23</v>
      </c>
      <c r="H226" s="2">
        <v>148000</v>
      </c>
      <c r="I226">
        <v>128</v>
      </c>
      <c r="J226">
        <v>42</v>
      </c>
      <c r="K226">
        <v>64</v>
      </c>
      <c r="L226" t="s">
        <v>106</v>
      </c>
      <c r="M226">
        <v>20</v>
      </c>
    </row>
    <row r="227" spans="2:13" x14ac:dyDescent="0.25">
      <c r="B227" t="s">
        <v>384</v>
      </c>
      <c r="C227" t="s">
        <v>366</v>
      </c>
      <c r="D227" t="s">
        <v>345</v>
      </c>
      <c r="E227" t="s">
        <v>2</v>
      </c>
      <c r="F227" t="s">
        <v>81</v>
      </c>
      <c r="G227" t="s">
        <v>82</v>
      </c>
      <c r="H227" s="2">
        <v>56000</v>
      </c>
      <c r="I227">
        <v>164</v>
      </c>
      <c r="J227">
        <v>35</v>
      </c>
      <c r="K227">
        <v>56</v>
      </c>
      <c r="L227" t="s">
        <v>104</v>
      </c>
      <c r="M227">
        <v>16</v>
      </c>
    </row>
    <row r="228" spans="2:13" x14ac:dyDescent="0.25">
      <c r="B228" t="s">
        <v>385</v>
      </c>
      <c r="C228" t="s">
        <v>364</v>
      </c>
      <c r="D228" t="s">
        <v>345</v>
      </c>
      <c r="E228" t="s">
        <v>358</v>
      </c>
      <c r="F228" t="s">
        <v>85</v>
      </c>
      <c r="G228" t="s">
        <v>86</v>
      </c>
      <c r="H228" s="2">
        <v>43000</v>
      </c>
      <c r="I228">
        <v>240</v>
      </c>
      <c r="J228">
        <v>26</v>
      </c>
      <c r="K228">
        <v>60</v>
      </c>
      <c r="L228" t="s">
        <v>133</v>
      </c>
      <c r="M228">
        <v>7</v>
      </c>
    </row>
    <row r="229" spans="2:13" x14ac:dyDescent="0.25">
      <c r="B229" t="s">
        <v>386</v>
      </c>
      <c r="C229" t="s">
        <v>344</v>
      </c>
      <c r="D229" t="s">
        <v>345</v>
      </c>
      <c r="E229" t="s">
        <v>346</v>
      </c>
      <c r="F229" t="s">
        <v>40</v>
      </c>
      <c r="G229" t="s">
        <v>41</v>
      </c>
      <c r="H229" s="2">
        <v>55000</v>
      </c>
      <c r="I229">
        <v>191</v>
      </c>
      <c r="J229">
        <v>33</v>
      </c>
      <c r="K229">
        <v>52</v>
      </c>
      <c r="L229" t="s">
        <v>93</v>
      </c>
      <c r="M229">
        <v>21</v>
      </c>
    </row>
    <row r="230" spans="2:13" x14ac:dyDescent="0.25">
      <c r="B230" t="s">
        <v>387</v>
      </c>
      <c r="C230" t="s">
        <v>378</v>
      </c>
      <c r="D230" t="s">
        <v>345</v>
      </c>
      <c r="E230" t="s">
        <v>2</v>
      </c>
      <c r="F230" t="s">
        <v>48</v>
      </c>
      <c r="G230" t="s">
        <v>49</v>
      </c>
      <c r="H230" s="2">
        <v>19000</v>
      </c>
      <c r="I230">
        <v>105</v>
      </c>
      <c r="J230">
        <v>23</v>
      </c>
      <c r="K230">
        <v>40</v>
      </c>
      <c r="L230" t="s">
        <v>171</v>
      </c>
      <c r="M230">
        <v>12</v>
      </c>
    </row>
    <row r="231" spans="2:13" x14ac:dyDescent="0.25">
      <c r="B231" t="s">
        <v>388</v>
      </c>
      <c r="C231" t="s">
        <v>351</v>
      </c>
      <c r="D231" t="s">
        <v>345</v>
      </c>
      <c r="E231" t="s">
        <v>2</v>
      </c>
      <c r="F231" t="s">
        <v>32</v>
      </c>
      <c r="G231" t="s">
        <v>33</v>
      </c>
      <c r="H231" s="2">
        <v>233000</v>
      </c>
      <c r="I231">
        <v>212</v>
      </c>
      <c r="J231">
        <v>45</v>
      </c>
      <c r="K231">
        <v>70</v>
      </c>
      <c r="L231" t="s">
        <v>147</v>
      </c>
      <c r="M231">
        <v>12</v>
      </c>
    </row>
    <row r="232" spans="2:13" x14ac:dyDescent="0.25">
      <c r="B232" t="s">
        <v>389</v>
      </c>
      <c r="C232" t="s">
        <v>364</v>
      </c>
      <c r="D232" t="s">
        <v>345</v>
      </c>
      <c r="E232" t="s">
        <v>358</v>
      </c>
      <c r="F232" t="s">
        <v>36</v>
      </c>
      <c r="G232" t="s">
        <v>37</v>
      </c>
      <c r="H232" s="2">
        <v>35000</v>
      </c>
      <c r="I232">
        <v>183</v>
      </c>
      <c r="J232">
        <v>29</v>
      </c>
      <c r="K232">
        <v>45</v>
      </c>
      <c r="L232" t="s">
        <v>77</v>
      </c>
      <c r="M232">
        <v>21</v>
      </c>
    </row>
    <row r="233" spans="2:13" x14ac:dyDescent="0.25">
      <c r="B233" t="s">
        <v>390</v>
      </c>
      <c r="C233" t="s">
        <v>378</v>
      </c>
      <c r="D233" t="s">
        <v>345</v>
      </c>
      <c r="E233" t="s">
        <v>2</v>
      </c>
      <c r="F233" t="s">
        <v>81</v>
      </c>
      <c r="G233" t="s">
        <v>82</v>
      </c>
      <c r="H233" s="2">
        <v>18000</v>
      </c>
      <c r="I233">
        <v>30</v>
      </c>
      <c r="J233">
        <v>42</v>
      </c>
      <c r="K233">
        <v>68</v>
      </c>
      <c r="L233" t="s">
        <v>206</v>
      </c>
      <c r="M233">
        <v>11</v>
      </c>
    </row>
    <row r="234" spans="2:13" x14ac:dyDescent="0.25">
      <c r="B234" t="s">
        <v>391</v>
      </c>
      <c r="C234" t="s">
        <v>357</v>
      </c>
      <c r="D234" t="s">
        <v>345</v>
      </c>
      <c r="E234" t="s">
        <v>358</v>
      </c>
      <c r="F234" t="s">
        <v>36</v>
      </c>
      <c r="G234" t="s">
        <v>37</v>
      </c>
      <c r="H234" s="2">
        <v>28000</v>
      </c>
      <c r="I234">
        <v>162</v>
      </c>
      <c r="J234">
        <v>50</v>
      </c>
      <c r="K234">
        <v>57</v>
      </c>
      <c r="L234" t="s">
        <v>221</v>
      </c>
      <c r="M234">
        <v>14</v>
      </c>
    </row>
    <row r="235" spans="2:13" x14ac:dyDescent="0.25">
      <c r="B235" t="s">
        <v>392</v>
      </c>
      <c r="C235" t="s">
        <v>349</v>
      </c>
      <c r="D235" t="s">
        <v>345</v>
      </c>
      <c r="E235" t="s">
        <v>2</v>
      </c>
      <c r="F235" t="s">
        <v>40</v>
      </c>
      <c r="G235" t="s">
        <v>41</v>
      </c>
      <c r="H235" s="2">
        <v>15000</v>
      </c>
      <c r="I235">
        <v>42</v>
      </c>
      <c r="J235">
        <v>47</v>
      </c>
      <c r="K235">
        <v>74</v>
      </c>
      <c r="L235" t="s">
        <v>24</v>
      </c>
      <c r="M235">
        <v>15</v>
      </c>
    </row>
    <row r="236" spans="2:13" x14ac:dyDescent="0.25">
      <c r="B236" t="s">
        <v>393</v>
      </c>
      <c r="C236" t="s">
        <v>382</v>
      </c>
      <c r="D236" t="s">
        <v>345</v>
      </c>
      <c r="E236" t="s">
        <v>383</v>
      </c>
      <c r="F236" t="s">
        <v>81</v>
      </c>
      <c r="G236" t="s">
        <v>82</v>
      </c>
      <c r="H236" s="2">
        <v>142000</v>
      </c>
      <c r="I236">
        <v>14</v>
      </c>
      <c r="J236">
        <v>28</v>
      </c>
      <c r="K236">
        <v>42</v>
      </c>
      <c r="L236" t="s">
        <v>219</v>
      </c>
      <c r="M236">
        <v>12</v>
      </c>
    </row>
    <row r="237" spans="2:13" x14ac:dyDescent="0.25">
      <c r="B237" t="s">
        <v>394</v>
      </c>
      <c r="C237" t="s">
        <v>354</v>
      </c>
      <c r="D237" t="s">
        <v>345</v>
      </c>
      <c r="E237" t="s">
        <v>355</v>
      </c>
      <c r="F237" t="s">
        <v>85</v>
      </c>
      <c r="G237" t="s">
        <v>86</v>
      </c>
      <c r="H237" s="2">
        <v>14000</v>
      </c>
      <c r="I237">
        <v>67</v>
      </c>
      <c r="J237">
        <v>13</v>
      </c>
      <c r="K237">
        <v>22</v>
      </c>
      <c r="L237" t="s">
        <v>42</v>
      </c>
      <c r="M237">
        <v>5</v>
      </c>
    </row>
    <row r="238" spans="2:13" x14ac:dyDescent="0.25">
      <c r="B238" t="s">
        <v>395</v>
      </c>
      <c r="C238" t="s">
        <v>382</v>
      </c>
      <c r="D238" t="s">
        <v>345</v>
      </c>
      <c r="E238" t="s">
        <v>383</v>
      </c>
      <c r="F238" t="s">
        <v>61</v>
      </c>
      <c r="G238" t="s">
        <v>62</v>
      </c>
      <c r="H238" s="2">
        <v>59000</v>
      </c>
      <c r="I238">
        <v>179</v>
      </c>
      <c r="J238">
        <v>26</v>
      </c>
      <c r="K238">
        <v>55</v>
      </c>
      <c r="L238" t="s">
        <v>330</v>
      </c>
      <c r="M238">
        <v>21</v>
      </c>
    </row>
    <row r="239" spans="2:13" x14ac:dyDescent="0.25">
      <c r="B239" t="s">
        <v>396</v>
      </c>
      <c r="C239" t="s">
        <v>357</v>
      </c>
      <c r="D239" t="s">
        <v>345</v>
      </c>
      <c r="E239" t="s">
        <v>358</v>
      </c>
      <c r="F239" t="s">
        <v>61</v>
      </c>
      <c r="G239" t="s">
        <v>62</v>
      </c>
      <c r="H239" s="2">
        <v>29000</v>
      </c>
      <c r="I239">
        <v>51</v>
      </c>
      <c r="J239">
        <v>16</v>
      </c>
      <c r="K239">
        <v>43</v>
      </c>
      <c r="L239" t="s">
        <v>397</v>
      </c>
      <c r="M239">
        <v>16</v>
      </c>
    </row>
    <row r="240" spans="2:13" x14ac:dyDescent="0.25">
      <c r="B240" t="s">
        <v>398</v>
      </c>
      <c r="C240" t="s">
        <v>344</v>
      </c>
      <c r="D240" t="s">
        <v>345</v>
      </c>
      <c r="E240" t="s">
        <v>346</v>
      </c>
      <c r="F240" t="s">
        <v>17</v>
      </c>
      <c r="G240" t="s">
        <v>18</v>
      </c>
      <c r="H240" s="2">
        <v>66000</v>
      </c>
      <c r="I240">
        <v>103</v>
      </c>
      <c r="J240">
        <v>48</v>
      </c>
      <c r="K240">
        <v>76</v>
      </c>
      <c r="L240" t="s">
        <v>108</v>
      </c>
      <c r="M240">
        <v>21</v>
      </c>
    </row>
    <row r="241" spans="2:13" x14ac:dyDescent="0.25">
      <c r="B241" t="s">
        <v>399</v>
      </c>
      <c r="C241" t="s">
        <v>360</v>
      </c>
      <c r="D241" t="s">
        <v>345</v>
      </c>
      <c r="E241" t="s">
        <v>358</v>
      </c>
      <c r="F241" t="s">
        <v>36</v>
      </c>
      <c r="G241" t="s">
        <v>37</v>
      </c>
      <c r="H241" s="2">
        <v>19000</v>
      </c>
      <c r="I241">
        <v>69</v>
      </c>
      <c r="J241">
        <v>39</v>
      </c>
      <c r="K241">
        <v>51</v>
      </c>
      <c r="L241" t="s">
        <v>164</v>
      </c>
      <c r="M241">
        <v>8</v>
      </c>
    </row>
    <row r="242" spans="2:13" x14ac:dyDescent="0.25">
      <c r="B242" t="s">
        <v>400</v>
      </c>
      <c r="C242" t="s">
        <v>349</v>
      </c>
      <c r="D242" t="s">
        <v>345</v>
      </c>
      <c r="E242" t="s">
        <v>2</v>
      </c>
      <c r="F242" t="s">
        <v>36</v>
      </c>
      <c r="G242" t="s">
        <v>37</v>
      </c>
      <c r="H242" s="2">
        <v>12000</v>
      </c>
      <c r="I242">
        <v>156</v>
      </c>
      <c r="J242">
        <v>33</v>
      </c>
      <c r="K242">
        <v>52</v>
      </c>
      <c r="L242" t="s">
        <v>171</v>
      </c>
      <c r="M242">
        <v>14</v>
      </c>
    </row>
    <row r="243" spans="2:13" x14ac:dyDescent="0.25">
      <c r="B243" t="s">
        <v>401</v>
      </c>
      <c r="C243" t="s">
        <v>382</v>
      </c>
      <c r="D243" t="s">
        <v>345</v>
      </c>
      <c r="E243" t="s">
        <v>383</v>
      </c>
      <c r="F243" t="s">
        <v>61</v>
      </c>
      <c r="G243" t="s">
        <v>62</v>
      </c>
      <c r="H243" s="2">
        <v>157000</v>
      </c>
      <c r="I243">
        <v>51</v>
      </c>
      <c r="J243">
        <v>17</v>
      </c>
      <c r="K243">
        <v>47</v>
      </c>
      <c r="L243" t="s">
        <v>19</v>
      </c>
      <c r="M243">
        <v>10</v>
      </c>
    </row>
    <row r="244" spans="2:13" x14ac:dyDescent="0.25">
      <c r="B244" t="s">
        <v>402</v>
      </c>
      <c r="C244" t="s">
        <v>344</v>
      </c>
      <c r="D244" t="s">
        <v>345</v>
      </c>
      <c r="E244" t="s">
        <v>346</v>
      </c>
      <c r="F244" t="s">
        <v>85</v>
      </c>
      <c r="G244" t="s">
        <v>86</v>
      </c>
      <c r="H244" s="2">
        <v>70000</v>
      </c>
      <c r="I244">
        <v>233</v>
      </c>
      <c r="J244">
        <v>28</v>
      </c>
      <c r="K244">
        <v>58</v>
      </c>
      <c r="L244" t="s">
        <v>27</v>
      </c>
      <c r="M244">
        <v>18</v>
      </c>
    </row>
    <row r="245" spans="2:13" x14ac:dyDescent="0.25">
      <c r="B245" t="s">
        <v>403</v>
      </c>
      <c r="C245" t="s">
        <v>364</v>
      </c>
      <c r="D245" t="s">
        <v>345</v>
      </c>
      <c r="E245" t="s">
        <v>358</v>
      </c>
      <c r="F245" t="s">
        <v>55</v>
      </c>
      <c r="G245" t="s">
        <v>56</v>
      </c>
      <c r="H245" s="2">
        <v>27000</v>
      </c>
      <c r="I245">
        <v>31</v>
      </c>
      <c r="J245">
        <v>15</v>
      </c>
      <c r="K245">
        <v>28</v>
      </c>
      <c r="L245" t="s">
        <v>117</v>
      </c>
      <c r="M245">
        <v>6</v>
      </c>
    </row>
    <row r="246" spans="2:13" x14ac:dyDescent="0.25">
      <c r="B246" t="s">
        <v>404</v>
      </c>
      <c r="C246" t="s">
        <v>357</v>
      </c>
      <c r="D246" t="s">
        <v>345</v>
      </c>
      <c r="E246" t="s">
        <v>358</v>
      </c>
      <c r="F246" t="s">
        <v>32</v>
      </c>
      <c r="G246" t="s">
        <v>33</v>
      </c>
      <c r="H246" s="2">
        <v>25000</v>
      </c>
      <c r="I246">
        <v>243</v>
      </c>
      <c r="J246">
        <v>19</v>
      </c>
      <c r="K246">
        <v>60</v>
      </c>
      <c r="L246" t="s">
        <v>149</v>
      </c>
      <c r="M246">
        <v>15</v>
      </c>
    </row>
    <row r="247" spans="2:13" x14ac:dyDescent="0.25">
      <c r="B247" t="s">
        <v>405</v>
      </c>
      <c r="C247" t="s">
        <v>344</v>
      </c>
      <c r="D247" t="s">
        <v>345</v>
      </c>
      <c r="E247" t="s">
        <v>346</v>
      </c>
      <c r="F247" t="s">
        <v>48</v>
      </c>
      <c r="G247" t="s">
        <v>49</v>
      </c>
      <c r="H247" s="2">
        <v>65000</v>
      </c>
      <c r="I247">
        <v>138</v>
      </c>
      <c r="J247">
        <v>28</v>
      </c>
      <c r="K247">
        <v>40</v>
      </c>
      <c r="L247" t="s">
        <v>121</v>
      </c>
      <c r="M247">
        <v>13</v>
      </c>
    </row>
    <row r="248" spans="2:13" x14ac:dyDescent="0.25">
      <c r="B248" t="s">
        <v>406</v>
      </c>
      <c r="C248" t="s">
        <v>366</v>
      </c>
      <c r="D248" t="s">
        <v>345</v>
      </c>
      <c r="E248" t="s">
        <v>2</v>
      </c>
      <c r="F248" t="s">
        <v>32</v>
      </c>
      <c r="G248" t="s">
        <v>33</v>
      </c>
      <c r="H248" s="2">
        <v>18000</v>
      </c>
      <c r="I248">
        <v>91</v>
      </c>
      <c r="J248">
        <v>11</v>
      </c>
      <c r="K248">
        <v>38</v>
      </c>
      <c r="L248" t="s">
        <v>64</v>
      </c>
      <c r="M248">
        <v>6</v>
      </c>
    </row>
    <row r="249" spans="2:13" x14ac:dyDescent="0.25">
      <c r="B249" t="s">
        <v>407</v>
      </c>
      <c r="C249" t="s">
        <v>344</v>
      </c>
      <c r="D249" t="s">
        <v>345</v>
      </c>
      <c r="E249" t="s">
        <v>346</v>
      </c>
      <c r="F249" t="s">
        <v>81</v>
      </c>
      <c r="G249" t="s">
        <v>82</v>
      </c>
      <c r="H249" s="2">
        <v>58000</v>
      </c>
      <c r="I249">
        <v>244</v>
      </c>
      <c r="J249">
        <v>35</v>
      </c>
      <c r="K249">
        <v>62</v>
      </c>
      <c r="L249" t="s">
        <v>30</v>
      </c>
      <c r="M249">
        <v>17</v>
      </c>
    </row>
    <row r="250" spans="2:13" x14ac:dyDescent="0.25">
      <c r="B250" t="s">
        <v>408</v>
      </c>
      <c r="C250" t="s">
        <v>354</v>
      </c>
      <c r="D250" t="s">
        <v>345</v>
      </c>
      <c r="E250" t="s">
        <v>355</v>
      </c>
      <c r="F250" t="s">
        <v>36</v>
      </c>
      <c r="G250" t="s">
        <v>37</v>
      </c>
      <c r="H250" s="2">
        <v>27000</v>
      </c>
      <c r="I250">
        <v>11</v>
      </c>
      <c r="J250">
        <v>10</v>
      </c>
      <c r="K250">
        <v>15</v>
      </c>
      <c r="L250" t="s">
        <v>219</v>
      </c>
      <c r="M250">
        <v>6</v>
      </c>
    </row>
    <row r="251" spans="2:13" x14ac:dyDescent="0.25">
      <c r="B251" t="s">
        <v>409</v>
      </c>
      <c r="C251" t="s">
        <v>382</v>
      </c>
      <c r="D251" t="s">
        <v>345</v>
      </c>
      <c r="E251" t="s">
        <v>383</v>
      </c>
      <c r="F251" t="s">
        <v>36</v>
      </c>
      <c r="G251" t="s">
        <v>37</v>
      </c>
      <c r="H251" s="2">
        <v>158000</v>
      </c>
      <c r="I251">
        <v>38</v>
      </c>
      <c r="J251">
        <v>23</v>
      </c>
      <c r="K251">
        <v>35</v>
      </c>
      <c r="L251" t="s">
        <v>410</v>
      </c>
      <c r="M251">
        <v>3</v>
      </c>
    </row>
    <row r="252" spans="2:13" x14ac:dyDescent="0.25">
      <c r="B252" t="s">
        <v>411</v>
      </c>
      <c r="C252" t="s">
        <v>366</v>
      </c>
      <c r="D252" t="s">
        <v>345</v>
      </c>
      <c r="E252" t="s">
        <v>2</v>
      </c>
      <c r="F252" t="s">
        <v>85</v>
      </c>
      <c r="G252" t="s">
        <v>86</v>
      </c>
      <c r="H252" s="2">
        <v>68000</v>
      </c>
      <c r="I252">
        <v>173</v>
      </c>
      <c r="J252">
        <v>44</v>
      </c>
      <c r="K252">
        <v>63</v>
      </c>
      <c r="L252" t="s">
        <v>312</v>
      </c>
      <c r="M252">
        <v>17</v>
      </c>
    </row>
    <row r="253" spans="2:13" x14ac:dyDescent="0.25">
      <c r="B253" t="s">
        <v>412</v>
      </c>
      <c r="C253" t="s">
        <v>351</v>
      </c>
      <c r="D253" t="s">
        <v>345</v>
      </c>
      <c r="E253" t="s">
        <v>2</v>
      </c>
      <c r="F253" t="s">
        <v>61</v>
      </c>
      <c r="G253" t="s">
        <v>62</v>
      </c>
      <c r="H253" s="2">
        <v>728000</v>
      </c>
      <c r="I253">
        <v>14</v>
      </c>
      <c r="J253">
        <v>45</v>
      </c>
      <c r="K253">
        <v>66</v>
      </c>
      <c r="L253" t="s">
        <v>140</v>
      </c>
      <c r="M253">
        <v>6</v>
      </c>
    </row>
    <row r="254" spans="2:13" x14ac:dyDescent="0.25">
      <c r="B254" t="s">
        <v>413</v>
      </c>
      <c r="C254" t="s">
        <v>360</v>
      </c>
      <c r="D254" t="s">
        <v>345</v>
      </c>
      <c r="E254" t="s">
        <v>358</v>
      </c>
      <c r="F254" t="s">
        <v>17</v>
      </c>
      <c r="G254" t="s">
        <v>18</v>
      </c>
      <c r="H254" s="2">
        <v>18000</v>
      </c>
      <c r="I254">
        <v>10</v>
      </c>
      <c r="J254">
        <v>44</v>
      </c>
      <c r="K254">
        <v>60</v>
      </c>
      <c r="L254" t="s">
        <v>368</v>
      </c>
      <c r="M254">
        <v>15</v>
      </c>
    </row>
    <row r="255" spans="2:13" x14ac:dyDescent="0.25">
      <c r="B255" t="s">
        <v>414</v>
      </c>
      <c r="C255" t="s">
        <v>378</v>
      </c>
      <c r="D255" t="s">
        <v>345</v>
      </c>
      <c r="E255" t="s">
        <v>2</v>
      </c>
      <c r="F255" t="s">
        <v>32</v>
      </c>
      <c r="G255" t="s">
        <v>33</v>
      </c>
      <c r="H255" s="2">
        <v>29000</v>
      </c>
      <c r="I255">
        <v>181</v>
      </c>
      <c r="J255">
        <v>10</v>
      </c>
      <c r="K255">
        <v>45</v>
      </c>
      <c r="L255" t="s">
        <v>147</v>
      </c>
      <c r="M255">
        <v>18</v>
      </c>
    </row>
    <row r="256" spans="2:13" x14ac:dyDescent="0.25">
      <c r="B256" t="s">
        <v>415</v>
      </c>
      <c r="C256" t="s">
        <v>382</v>
      </c>
      <c r="D256" t="s">
        <v>345</v>
      </c>
      <c r="E256" t="s">
        <v>383</v>
      </c>
      <c r="F256" t="s">
        <v>22</v>
      </c>
      <c r="G256" t="s">
        <v>23</v>
      </c>
      <c r="H256" s="2">
        <v>179000</v>
      </c>
      <c r="I256">
        <v>211</v>
      </c>
      <c r="J256">
        <v>37</v>
      </c>
      <c r="K256">
        <v>59</v>
      </c>
      <c r="L256" t="s">
        <v>152</v>
      </c>
      <c r="M256">
        <v>17</v>
      </c>
    </row>
    <row r="257" spans="2:13" x14ac:dyDescent="0.25">
      <c r="B257" t="s">
        <v>416</v>
      </c>
      <c r="C257" t="s">
        <v>344</v>
      </c>
      <c r="D257" t="s">
        <v>345</v>
      </c>
      <c r="E257" t="s">
        <v>346</v>
      </c>
      <c r="F257" t="s">
        <v>22</v>
      </c>
      <c r="G257" t="s">
        <v>23</v>
      </c>
      <c r="H257" s="2">
        <v>64000</v>
      </c>
      <c r="I257">
        <v>105</v>
      </c>
      <c r="J257">
        <v>21</v>
      </c>
      <c r="K257">
        <v>49</v>
      </c>
      <c r="L257" t="s">
        <v>102</v>
      </c>
      <c r="M257">
        <v>4</v>
      </c>
    </row>
    <row r="258" spans="2:13" x14ac:dyDescent="0.25">
      <c r="B258" t="s">
        <v>417</v>
      </c>
      <c r="C258" t="s">
        <v>349</v>
      </c>
      <c r="D258" t="s">
        <v>345</v>
      </c>
      <c r="E258" t="s">
        <v>2</v>
      </c>
      <c r="F258" t="s">
        <v>85</v>
      </c>
      <c r="G258" t="s">
        <v>86</v>
      </c>
      <c r="H258" s="2">
        <v>5000</v>
      </c>
      <c r="I258">
        <v>197</v>
      </c>
      <c r="J258">
        <v>47</v>
      </c>
      <c r="K258">
        <v>72</v>
      </c>
      <c r="L258" t="s">
        <v>75</v>
      </c>
      <c r="M258">
        <v>20</v>
      </c>
    </row>
    <row r="259" spans="2:13" x14ac:dyDescent="0.25">
      <c r="B259" t="s">
        <v>418</v>
      </c>
      <c r="C259" t="s">
        <v>349</v>
      </c>
      <c r="D259" t="s">
        <v>345</v>
      </c>
      <c r="E259" t="s">
        <v>2</v>
      </c>
      <c r="F259" t="s">
        <v>32</v>
      </c>
      <c r="G259" t="s">
        <v>33</v>
      </c>
      <c r="H259" s="2">
        <v>4000</v>
      </c>
      <c r="I259">
        <v>21</v>
      </c>
      <c r="J259">
        <v>27</v>
      </c>
      <c r="K259">
        <v>49</v>
      </c>
      <c r="L259" t="s">
        <v>250</v>
      </c>
      <c r="M259">
        <v>7</v>
      </c>
    </row>
    <row r="260" spans="2:13" x14ac:dyDescent="0.25">
      <c r="B260" t="s">
        <v>419</v>
      </c>
      <c r="C260" t="s">
        <v>354</v>
      </c>
      <c r="D260" t="s">
        <v>345</v>
      </c>
      <c r="E260" t="s">
        <v>355</v>
      </c>
      <c r="F260" t="s">
        <v>81</v>
      </c>
      <c r="G260" t="s">
        <v>82</v>
      </c>
      <c r="H260" s="2">
        <v>30000</v>
      </c>
      <c r="I260">
        <v>132</v>
      </c>
      <c r="J260">
        <v>45</v>
      </c>
      <c r="K260">
        <v>55</v>
      </c>
      <c r="L260" t="s">
        <v>147</v>
      </c>
      <c r="M260">
        <v>16</v>
      </c>
    </row>
    <row r="261" spans="2:13" x14ac:dyDescent="0.25">
      <c r="B261" t="s">
        <v>420</v>
      </c>
      <c r="C261" t="s">
        <v>344</v>
      </c>
      <c r="D261" t="s">
        <v>345</v>
      </c>
      <c r="E261" t="s">
        <v>346</v>
      </c>
      <c r="F261" t="s">
        <v>17</v>
      </c>
      <c r="G261" t="s">
        <v>18</v>
      </c>
      <c r="H261" s="2">
        <v>58000</v>
      </c>
      <c r="I261">
        <v>61</v>
      </c>
      <c r="J261">
        <v>7</v>
      </c>
      <c r="K261">
        <v>37</v>
      </c>
      <c r="L261" t="s">
        <v>38</v>
      </c>
      <c r="M261">
        <v>12</v>
      </c>
    </row>
    <row r="262" spans="2:13" x14ac:dyDescent="0.25">
      <c r="B262" t="s">
        <v>421</v>
      </c>
      <c r="C262" t="s">
        <v>360</v>
      </c>
      <c r="D262" t="s">
        <v>345</v>
      </c>
      <c r="E262" t="s">
        <v>358</v>
      </c>
      <c r="F262" t="s">
        <v>36</v>
      </c>
      <c r="G262" t="s">
        <v>37</v>
      </c>
      <c r="H262" s="2">
        <v>17000</v>
      </c>
      <c r="I262">
        <v>218</v>
      </c>
      <c r="J262">
        <v>39</v>
      </c>
      <c r="K262">
        <v>59</v>
      </c>
      <c r="L262" t="s">
        <v>144</v>
      </c>
      <c r="M262">
        <v>8</v>
      </c>
    </row>
    <row r="263" spans="2:13" x14ac:dyDescent="0.25">
      <c r="B263" t="s">
        <v>422</v>
      </c>
      <c r="C263" t="s">
        <v>360</v>
      </c>
      <c r="D263" t="s">
        <v>345</v>
      </c>
      <c r="E263" t="s">
        <v>358</v>
      </c>
      <c r="F263" t="s">
        <v>32</v>
      </c>
      <c r="G263" t="s">
        <v>33</v>
      </c>
      <c r="H263" s="2">
        <v>16000</v>
      </c>
      <c r="I263">
        <v>230</v>
      </c>
      <c r="J263">
        <v>8</v>
      </c>
      <c r="K263">
        <v>57</v>
      </c>
      <c r="L263" t="s">
        <v>423</v>
      </c>
      <c r="M263">
        <v>5</v>
      </c>
    </row>
    <row r="264" spans="2:13" x14ac:dyDescent="0.25">
      <c r="B264" t="s">
        <v>424</v>
      </c>
      <c r="C264" t="s">
        <v>349</v>
      </c>
      <c r="D264" t="s">
        <v>345</v>
      </c>
      <c r="E264" t="s">
        <v>2</v>
      </c>
      <c r="F264" t="s">
        <v>55</v>
      </c>
      <c r="G264" t="s">
        <v>56</v>
      </c>
      <c r="H264" s="2">
        <v>8000</v>
      </c>
      <c r="I264">
        <v>237</v>
      </c>
      <c r="J264">
        <v>30</v>
      </c>
      <c r="K264">
        <v>59</v>
      </c>
      <c r="L264" t="s">
        <v>152</v>
      </c>
      <c r="M264">
        <v>12</v>
      </c>
    </row>
    <row r="265" spans="2:13" x14ac:dyDescent="0.25">
      <c r="B265" t="s">
        <v>425</v>
      </c>
      <c r="C265" t="s">
        <v>378</v>
      </c>
      <c r="D265" t="s">
        <v>345</v>
      </c>
      <c r="E265" t="s">
        <v>2</v>
      </c>
      <c r="F265" t="s">
        <v>40</v>
      </c>
      <c r="G265" t="s">
        <v>41</v>
      </c>
      <c r="H265" s="2">
        <v>23000</v>
      </c>
      <c r="I265">
        <v>187</v>
      </c>
      <c r="J265">
        <v>36</v>
      </c>
      <c r="K265">
        <v>52</v>
      </c>
      <c r="L265" t="s">
        <v>423</v>
      </c>
      <c r="M265">
        <v>4</v>
      </c>
    </row>
    <row r="266" spans="2:13" x14ac:dyDescent="0.25">
      <c r="B266" t="s">
        <v>426</v>
      </c>
      <c r="C266" t="s">
        <v>357</v>
      </c>
      <c r="D266" t="s">
        <v>345</v>
      </c>
      <c r="E266" t="s">
        <v>358</v>
      </c>
      <c r="F266" t="s">
        <v>40</v>
      </c>
      <c r="G266" t="s">
        <v>41</v>
      </c>
      <c r="H266" s="2">
        <v>25000</v>
      </c>
      <c r="I266">
        <v>120</v>
      </c>
      <c r="J266">
        <v>43</v>
      </c>
      <c r="K266">
        <v>53</v>
      </c>
      <c r="L266" t="s">
        <v>42</v>
      </c>
      <c r="M266">
        <v>12</v>
      </c>
    </row>
    <row r="267" spans="2:13" x14ac:dyDescent="0.25">
      <c r="B267" t="s">
        <v>427</v>
      </c>
      <c r="C267" t="s">
        <v>364</v>
      </c>
      <c r="D267" t="s">
        <v>345</v>
      </c>
      <c r="E267" t="s">
        <v>358</v>
      </c>
      <c r="F267" t="s">
        <v>36</v>
      </c>
      <c r="G267" t="s">
        <v>37</v>
      </c>
      <c r="H267" s="2">
        <v>20000</v>
      </c>
      <c r="I267">
        <v>93</v>
      </c>
      <c r="J267">
        <v>47</v>
      </c>
      <c r="K267">
        <v>61</v>
      </c>
      <c r="L267" t="s">
        <v>106</v>
      </c>
      <c r="M267">
        <v>21</v>
      </c>
    </row>
    <row r="268" spans="2:13" x14ac:dyDescent="0.25">
      <c r="B268" t="s">
        <v>428</v>
      </c>
      <c r="C268" t="s">
        <v>357</v>
      </c>
      <c r="D268" t="s">
        <v>345</v>
      </c>
      <c r="E268" t="s">
        <v>358</v>
      </c>
      <c r="F268" t="s">
        <v>55</v>
      </c>
      <c r="G268" t="s">
        <v>56</v>
      </c>
      <c r="H268" s="2">
        <v>30000</v>
      </c>
      <c r="I268">
        <v>186</v>
      </c>
      <c r="J268">
        <v>33</v>
      </c>
      <c r="K268">
        <v>49</v>
      </c>
      <c r="L268" t="s">
        <v>38</v>
      </c>
      <c r="M268">
        <v>13</v>
      </c>
    </row>
    <row r="269" spans="2:13" x14ac:dyDescent="0.25">
      <c r="B269" t="s">
        <v>429</v>
      </c>
      <c r="C269" t="s">
        <v>351</v>
      </c>
      <c r="D269" t="s">
        <v>345</v>
      </c>
      <c r="E269" t="s">
        <v>2</v>
      </c>
      <c r="F269" t="s">
        <v>22</v>
      </c>
      <c r="G269" t="s">
        <v>23</v>
      </c>
      <c r="H269" s="2">
        <v>625000</v>
      </c>
      <c r="I269">
        <v>80</v>
      </c>
      <c r="J269">
        <v>45</v>
      </c>
      <c r="K269">
        <v>75</v>
      </c>
      <c r="L269" t="s">
        <v>126</v>
      </c>
      <c r="M269">
        <v>14</v>
      </c>
    </row>
    <row r="270" spans="2:13" x14ac:dyDescent="0.25">
      <c r="B270" t="s">
        <v>430</v>
      </c>
      <c r="C270" t="s">
        <v>349</v>
      </c>
      <c r="D270" t="s">
        <v>345</v>
      </c>
      <c r="E270" t="s">
        <v>2</v>
      </c>
      <c r="F270" t="s">
        <v>22</v>
      </c>
      <c r="G270" t="s">
        <v>23</v>
      </c>
      <c r="H270" s="2">
        <v>10000</v>
      </c>
      <c r="I270">
        <v>215</v>
      </c>
      <c r="J270">
        <v>48</v>
      </c>
      <c r="K270">
        <v>58</v>
      </c>
      <c r="L270" t="s">
        <v>64</v>
      </c>
      <c r="M270">
        <v>21</v>
      </c>
    </row>
    <row r="271" spans="2:13" x14ac:dyDescent="0.25">
      <c r="B271" t="s">
        <v>431</v>
      </c>
      <c r="C271" t="s">
        <v>354</v>
      </c>
      <c r="D271" t="s">
        <v>345</v>
      </c>
      <c r="E271" t="s">
        <v>355</v>
      </c>
      <c r="F271" t="s">
        <v>32</v>
      </c>
      <c r="G271" t="s">
        <v>33</v>
      </c>
      <c r="H271" s="2">
        <v>9000</v>
      </c>
      <c r="I271">
        <v>42</v>
      </c>
      <c r="J271">
        <v>9</v>
      </c>
      <c r="K271">
        <v>21</v>
      </c>
      <c r="L271" t="s">
        <v>87</v>
      </c>
      <c r="M271">
        <v>14</v>
      </c>
    </row>
    <row r="272" spans="2:13" x14ac:dyDescent="0.25">
      <c r="B272" t="s">
        <v>432</v>
      </c>
      <c r="C272" t="s">
        <v>351</v>
      </c>
      <c r="D272" t="s">
        <v>345</v>
      </c>
      <c r="E272" t="s">
        <v>2</v>
      </c>
      <c r="F272" t="s">
        <v>55</v>
      </c>
      <c r="G272" t="s">
        <v>56</v>
      </c>
      <c r="H272" s="2">
        <v>213000</v>
      </c>
      <c r="I272">
        <v>164</v>
      </c>
      <c r="J272">
        <v>14</v>
      </c>
      <c r="K272">
        <v>41</v>
      </c>
      <c r="L272" t="s">
        <v>314</v>
      </c>
      <c r="M272">
        <v>13</v>
      </c>
    </row>
    <row r="273" spans="2:13" x14ac:dyDescent="0.25">
      <c r="B273" t="s">
        <v>433</v>
      </c>
      <c r="C273" t="s">
        <v>354</v>
      </c>
      <c r="D273" t="s">
        <v>345</v>
      </c>
      <c r="E273" t="s">
        <v>355</v>
      </c>
      <c r="F273" t="s">
        <v>32</v>
      </c>
      <c r="G273" t="s">
        <v>33</v>
      </c>
      <c r="H273" s="2">
        <v>10000</v>
      </c>
      <c r="I273">
        <v>156</v>
      </c>
      <c r="J273">
        <v>13</v>
      </c>
      <c r="K273">
        <v>39</v>
      </c>
      <c r="L273" t="s">
        <v>203</v>
      </c>
      <c r="M273">
        <v>12</v>
      </c>
    </row>
    <row r="274" spans="2:13" x14ac:dyDescent="0.25">
      <c r="B274" t="s">
        <v>434</v>
      </c>
      <c r="C274" t="s">
        <v>360</v>
      </c>
      <c r="D274" t="s">
        <v>345</v>
      </c>
      <c r="E274" t="s">
        <v>358</v>
      </c>
      <c r="F274" t="s">
        <v>81</v>
      </c>
      <c r="G274" t="s">
        <v>82</v>
      </c>
      <c r="H274" s="2">
        <v>12000</v>
      </c>
      <c r="I274">
        <v>39</v>
      </c>
      <c r="J274">
        <v>6</v>
      </c>
      <c r="K274">
        <v>34</v>
      </c>
      <c r="L274" t="s">
        <v>69</v>
      </c>
      <c r="M274">
        <v>18</v>
      </c>
    </row>
    <row r="275" spans="2:13" x14ac:dyDescent="0.25">
      <c r="B275" t="s">
        <v>435</v>
      </c>
      <c r="C275" t="s">
        <v>357</v>
      </c>
      <c r="D275" t="s">
        <v>345</v>
      </c>
      <c r="E275" t="s">
        <v>358</v>
      </c>
      <c r="F275" t="s">
        <v>36</v>
      </c>
      <c r="G275" t="s">
        <v>37</v>
      </c>
      <c r="H275" s="2">
        <v>55000</v>
      </c>
      <c r="I275">
        <v>40</v>
      </c>
      <c r="J275">
        <v>21</v>
      </c>
      <c r="K275">
        <v>50</v>
      </c>
      <c r="L275" t="s">
        <v>183</v>
      </c>
      <c r="M275">
        <v>16</v>
      </c>
    </row>
    <row r="276" spans="2:13" x14ac:dyDescent="0.25">
      <c r="B276" t="s">
        <v>436</v>
      </c>
      <c r="C276" t="s">
        <v>366</v>
      </c>
      <c r="D276" t="s">
        <v>345</v>
      </c>
      <c r="E276" t="s">
        <v>2</v>
      </c>
      <c r="F276" t="s">
        <v>85</v>
      </c>
      <c r="G276" t="s">
        <v>86</v>
      </c>
      <c r="H276" s="2">
        <v>51000</v>
      </c>
      <c r="I276">
        <v>187</v>
      </c>
      <c r="J276">
        <v>36</v>
      </c>
      <c r="K276">
        <v>47</v>
      </c>
      <c r="L276" t="s">
        <v>19</v>
      </c>
      <c r="M276">
        <v>4</v>
      </c>
    </row>
    <row r="277" spans="2:13" x14ac:dyDescent="0.25">
      <c r="B277" t="s">
        <v>437</v>
      </c>
      <c r="C277" t="s">
        <v>354</v>
      </c>
      <c r="D277" t="s">
        <v>345</v>
      </c>
      <c r="E277" t="s">
        <v>355</v>
      </c>
      <c r="F277" t="s">
        <v>85</v>
      </c>
      <c r="G277" t="s">
        <v>86</v>
      </c>
      <c r="H277" s="2">
        <v>13000</v>
      </c>
      <c r="I277">
        <v>240</v>
      </c>
      <c r="J277">
        <v>50</v>
      </c>
      <c r="K277">
        <v>69</v>
      </c>
      <c r="L277" t="s">
        <v>289</v>
      </c>
      <c r="M277">
        <v>12</v>
      </c>
    </row>
    <row r="278" spans="2:13" x14ac:dyDescent="0.25">
      <c r="B278" t="s">
        <v>438</v>
      </c>
      <c r="C278" t="s">
        <v>349</v>
      </c>
      <c r="D278" t="s">
        <v>345</v>
      </c>
      <c r="E278" t="s">
        <v>2</v>
      </c>
      <c r="F278" t="s">
        <v>36</v>
      </c>
      <c r="G278" t="s">
        <v>37</v>
      </c>
      <c r="H278" s="2">
        <v>13000</v>
      </c>
      <c r="I278">
        <v>26</v>
      </c>
      <c r="J278">
        <v>40</v>
      </c>
      <c r="K278">
        <v>62</v>
      </c>
      <c r="L278" t="s">
        <v>327</v>
      </c>
      <c r="M278">
        <v>7</v>
      </c>
    </row>
    <row r="279" spans="2:13" x14ac:dyDescent="0.25">
      <c r="B279" t="s">
        <v>439</v>
      </c>
      <c r="C279" t="s">
        <v>378</v>
      </c>
      <c r="D279" t="s">
        <v>345</v>
      </c>
      <c r="E279" t="s">
        <v>2</v>
      </c>
      <c r="F279" t="s">
        <v>85</v>
      </c>
      <c r="G279" t="s">
        <v>86</v>
      </c>
      <c r="H279" s="2">
        <v>33000</v>
      </c>
      <c r="I279">
        <v>102</v>
      </c>
      <c r="J279">
        <v>37</v>
      </c>
      <c r="K279">
        <v>49</v>
      </c>
      <c r="L279" t="s">
        <v>440</v>
      </c>
      <c r="M279">
        <v>6</v>
      </c>
    </row>
    <row r="280" spans="2:13" x14ac:dyDescent="0.25">
      <c r="B280" t="s">
        <v>441</v>
      </c>
      <c r="C280" t="s">
        <v>366</v>
      </c>
      <c r="D280" t="s">
        <v>345</v>
      </c>
      <c r="E280" t="s">
        <v>2</v>
      </c>
      <c r="F280" t="s">
        <v>61</v>
      </c>
      <c r="G280" t="s">
        <v>62</v>
      </c>
      <c r="H280" s="2">
        <v>78000</v>
      </c>
      <c r="I280">
        <v>16</v>
      </c>
      <c r="J280">
        <v>28</v>
      </c>
      <c r="K280">
        <v>50</v>
      </c>
      <c r="L280" t="s">
        <v>314</v>
      </c>
      <c r="M280">
        <v>16</v>
      </c>
    </row>
    <row r="281" spans="2:13" x14ac:dyDescent="0.25">
      <c r="B281" t="s">
        <v>442</v>
      </c>
      <c r="C281" t="s">
        <v>382</v>
      </c>
      <c r="D281" t="s">
        <v>345</v>
      </c>
      <c r="E281" t="s">
        <v>383</v>
      </c>
      <c r="F281" t="s">
        <v>36</v>
      </c>
      <c r="G281" t="s">
        <v>37</v>
      </c>
      <c r="H281" s="2">
        <v>83000</v>
      </c>
      <c r="I281">
        <v>166</v>
      </c>
      <c r="J281">
        <v>10</v>
      </c>
      <c r="K281">
        <v>41</v>
      </c>
      <c r="L281" t="s">
        <v>203</v>
      </c>
      <c r="M281">
        <v>17</v>
      </c>
    </row>
    <row r="282" spans="2:13" x14ac:dyDescent="0.25">
      <c r="B282" t="s">
        <v>443</v>
      </c>
      <c r="C282" t="s">
        <v>382</v>
      </c>
      <c r="D282" t="s">
        <v>345</v>
      </c>
      <c r="E282" t="s">
        <v>383</v>
      </c>
      <c r="F282" t="s">
        <v>85</v>
      </c>
      <c r="G282" t="s">
        <v>86</v>
      </c>
      <c r="H282" s="2">
        <v>155000</v>
      </c>
      <c r="I282">
        <v>206</v>
      </c>
      <c r="J282">
        <v>31</v>
      </c>
      <c r="K282">
        <v>54</v>
      </c>
      <c r="L282" t="s">
        <v>330</v>
      </c>
      <c r="M282">
        <v>12</v>
      </c>
    </row>
    <row r="283" spans="2:13" x14ac:dyDescent="0.25">
      <c r="B283" t="s">
        <v>444</v>
      </c>
      <c r="C283" t="s">
        <v>364</v>
      </c>
      <c r="D283" t="s">
        <v>345</v>
      </c>
      <c r="E283" t="s">
        <v>358</v>
      </c>
      <c r="F283" t="s">
        <v>32</v>
      </c>
      <c r="G283" t="s">
        <v>33</v>
      </c>
      <c r="H283" s="2">
        <v>32000</v>
      </c>
      <c r="I283">
        <v>129</v>
      </c>
      <c r="J283">
        <v>48</v>
      </c>
      <c r="K283">
        <v>69</v>
      </c>
      <c r="L283" t="s">
        <v>330</v>
      </c>
      <c r="M283">
        <v>19</v>
      </c>
    </row>
    <row r="284" spans="2:13" x14ac:dyDescent="0.25">
      <c r="B284" t="s">
        <v>445</v>
      </c>
      <c r="C284" t="s">
        <v>351</v>
      </c>
      <c r="D284" t="s">
        <v>345</v>
      </c>
      <c r="E284" t="s">
        <v>2</v>
      </c>
      <c r="F284" t="s">
        <v>40</v>
      </c>
      <c r="G284" t="s">
        <v>41</v>
      </c>
      <c r="H284" s="2">
        <v>366000</v>
      </c>
      <c r="I284">
        <v>206</v>
      </c>
      <c r="J284">
        <v>13</v>
      </c>
      <c r="K284">
        <v>51</v>
      </c>
      <c r="L284" t="s">
        <v>104</v>
      </c>
      <c r="M284">
        <v>5</v>
      </c>
    </row>
    <row r="285" spans="2:13" x14ac:dyDescent="0.25">
      <c r="B285" t="s">
        <v>446</v>
      </c>
      <c r="C285" t="s">
        <v>382</v>
      </c>
      <c r="D285" t="s">
        <v>345</v>
      </c>
      <c r="E285" t="s">
        <v>383</v>
      </c>
      <c r="F285" t="s">
        <v>32</v>
      </c>
      <c r="G285" t="s">
        <v>33</v>
      </c>
      <c r="H285" s="2">
        <v>89000</v>
      </c>
      <c r="I285">
        <v>87</v>
      </c>
      <c r="J285">
        <v>15</v>
      </c>
      <c r="K285">
        <v>25</v>
      </c>
      <c r="L285" t="s">
        <v>183</v>
      </c>
      <c r="M285">
        <v>9</v>
      </c>
    </row>
    <row r="286" spans="2:13" x14ac:dyDescent="0.25">
      <c r="B286" t="s">
        <v>447</v>
      </c>
      <c r="C286" t="s">
        <v>349</v>
      </c>
      <c r="D286" t="s">
        <v>345</v>
      </c>
      <c r="E286" t="s">
        <v>2</v>
      </c>
      <c r="F286" t="s">
        <v>36</v>
      </c>
      <c r="G286" t="s">
        <v>37</v>
      </c>
      <c r="H286" s="2">
        <v>10000</v>
      </c>
      <c r="I286">
        <v>239</v>
      </c>
      <c r="J286">
        <v>23</v>
      </c>
      <c r="K286">
        <v>59</v>
      </c>
      <c r="L286" t="s">
        <v>440</v>
      </c>
      <c r="M286">
        <v>19</v>
      </c>
    </row>
    <row r="287" spans="2:13" x14ac:dyDescent="0.25">
      <c r="B287" t="s">
        <v>448</v>
      </c>
      <c r="C287" t="s">
        <v>360</v>
      </c>
      <c r="D287" t="s">
        <v>345</v>
      </c>
      <c r="E287" t="s">
        <v>358</v>
      </c>
      <c r="F287" t="s">
        <v>40</v>
      </c>
      <c r="G287" t="s">
        <v>41</v>
      </c>
      <c r="H287" s="2">
        <v>9000</v>
      </c>
      <c r="I287">
        <v>170</v>
      </c>
      <c r="J287">
        <v>24</v>
      </c>
      <c r="K287">
        <v>48</v>
      </c>
      <c r="L287" t="s">
        <v>24</v>
      </c>
      <c r="M287">
        <v>18</v>
      </c>
    </row>
    <row r="288" spans="2:13" x14ac:dyDescent="0.25">
      <c r="B288" t="s">
        <v>449</v>
      </c>
      <c r="C288" t="s">
        <v>378</v>
      </c>
      <c r="D288" t="s">
        <v>345</v>
      </c>
      <c r="E288" t="s">
        <v>2</v>
      </c>
      <c r="F288" t="s">
        <v>61</v>
      </c>
      <c r="G288" t="s">
        <v>62</v>
      </c>
      <c r="H288" s="2">
        <v>26000</v>
      </c>
      <c r="I288">
        <v>158</v>
      </c>
      <c r="J288">
        <v>14</v>
      </c>
      <c r="K288">
        <v>39</v>
      </c>
      <c r="L288" t="s">
        <v>77</v>
      </c>
      <c r="M288">
        <v>21</v>
      </c>
    </row>
    <row r="289" spans="2:13" x14ac:dyDescent="0.25">
      <c r="B289" t="s">
        <v>450</v>
      </c>
      <c r="C289" t="s">
        <v>349</v>
      </c>
      <c r="D289" t="s">
        <v>345</v>
      </c>
      <c r="E289" t="s">
        <v>2</v>
      </c>
      <c r="F289" t="s">
        <v>22</v>
      </c>
      <c r="G289" t="s">
        <v>23</v>
      </c>
      <c r="H289" s="2">
        <v>15000</v>
      </c>
      <c r="I289">
        <v>246</v>
      </c>
      <c r="J289">
        <v>41</v>
      </c>
      <c r="K289">
        <v>61</v>
      </c>
      <c r="L289" t="s">
        <v>121</v>
      </c>
      <c r="M289">
        <v>3</v>
      </c>
    </row>
    <row r="290" spans="2:13" x14ac:dyDescent="0.25">
      <c r="B290" t="s">
        <v>451</v>
      </c>
      <c r="C290" t="s">
        <v>351</v>
      </c>
      <c r="D290" t="s">
        <v>345</v>
      </c>
      <c r="E290" t="s">
        <v>2</v>
      </c>
      <c r="F290" t="s">
        <v>61</v>
      </c>
      <c r="G290" t="s">
        <v>62</v>
      </c>
      <c r="H290" s="2">
        <v>451000</v>
      </c>
      <c r="I290">
        <v>176</v>
      </c>
      <c r="J290">
        <v>18</v>
      </c>
      <c r="K290">
        <v>47</v>
      </c>
      <c r="L290" t="s">
        <v>185</v>
      </c>
      <c r="M290">
        <v>21</v>
      </c>
    </row>
    <row r="291" spans="2:13" x14ac:dyDescent="0.25">
      <c r="B291" t="s">
        <v>452</v>
      </c>
      <c r="C291" t="s">
        <v>344</v>
      </c>
      <c r="D291" t="s">
        <v>345</v>
      </c>
      <c r="E291" t="s">
        <v>346</v>
      </c>
      <c r="F291" t="s">
        <v>36</v>
      </c>
      <c r="G291" t="s">
        <v>37</v>
      </c>
      <c r="H291" s="2">
        <v>71000</v>
      </c>
      <c r="I291">
        <v>237</v>
      </c>
      <c r="J291">
        <v>45</v>
      </c>
      <c r="K291">
        <v>67</v>
      </c>
      <c r="L291" t="s">
        <v>250</v>
      </c>
      <c r="M291">
        <v>11</v>
      </c>
    </row>
    <row r="292" spans="2:13" x14ac:dyDescent="0.25">
      <c r="B292" t="s">
        <v>453</v>
      </c>
      <c r="C292" t="s">
        <v>354</v>
      </c>
      <c r="D292" t="s">
        <v>345</v>
      </c>
      <c r="E292" t="s">
        <v>355</v>
      </c>
      <c r="F292" t="s">
        <v>36</v>
      </c>
      <c r="G292" t="s">
        <v>37</v>
      </c>
      <c r="H292" s="2">
        <v>15000</v>
      </c>
      <c r="I292">
        <v>216</v>
      </c>
      <c r="J292">
        <v>48</v>
      </c>
      <c r="K292">
        <v>65</v>
      </c>
      <c r="L292" t="s">
        <v>124</v>
      </c>
      <c r="M292">
        <v>4</v>
      </c>
    </row>
    <row r="293" spans="2:13" x14ac:dyDescent="0.25">
      <c r="B293" t="s">
        <v>454</v>
      </c>
      <c r="C293" t="s">
        <v>344</v>
      </c>
      <c r="D293" t="s">
        <v>345</v>
      </c>
      <c r="E293" t="s">
        <v>346</v>
      </c>
      <c r="F293" t="s">
        <v>55</v>
      </c>
      <c r="G293" t="s">
        <v>56</v>
      </c>
      <c r="H293" s="2">
        <v>50000</v>
      </c>
      <c r="I293">
        <v>122</v>
      </c>
      <c r="J293">
        <v>31</v>
      </c>
      <c r="K293">
        <v>51</v>
      </c>
      <c r="L293" t="s">
        <v>455</v>
      </c>
      <c r="M293">
        <v>12</v>
      </c>
    </row>
    <row r="294" spans="2:13" x14ac:dyDescent="0.25">
      <c r="B294" t="s">
        <v>456</v>
      </c>
      <c r="C294" t="s">
        <v>351</v>
      </c>
      <c r="D294" t="s">
        <v>345</v>
      </c>
      <c r="E294" t="s">
        <v>2</v>
      </c>
      <c r="F294" t="s">
        <v>32</v>
      </c>
      <c r="G294" t="s">
        <v>33</v>
      </c>
      <c r="H294" s="2">
        <v>327000</v>
      </c>
      <c r="I294">
        <v>90</v>
      </c>
      <c r="J294">
        <v>50</v>
      </c>
      <c r="K294">
        <v>65</v>
      </c>
      <c r="L294" t="s">
        <v>119</v>
      </c>
      <c r="M294">
        <v>6</v>
      </c>
    </row>
    <row r="295" spans="2:13" x14ac:dyDescent="0.25">
      <c r="B295" t="s">
        <v>457</v>
      </c>
      <c r="C295" t="s">
        <v>349</v>
      </c>
      <c r="D295" t="s">
        <v>345</v>
      </c>
      <c r="E295" t="s">
        <v>2</v>
      </c>
      <c r="F295" t="s">
        <v>17</v>
      </c>
      <c r="G295" t="s">
        <v>18</v>
      </c>
      <c r="H295" s="2">
        <v>10000</v>
      </c>
      <c r="I295">
        <v>153</v>
      </c>
      <c r="J295">
        <v>11</v>
      </c>
      <c r="K295">
        <v>38</v>
      </c>
      <c r="L295" t="s">
        <v>175</v>
      </c>
      <c r="M295">
        <v>5</v>
      </c>
    </row>
    <row r="296" spans="2:13" x14ac:dyDescent="0.25">
      <c r="B296" t="s">
        <v>458</v>
      </c>
      <c r="C296" t="s">
        <v>360</v>
      </c>
      <c r="D296" t="s">
        <v>345</v>
      </c>
      <c r="E296" t="s">
        <v>358</v>
      </c>
      <c r="F296" t="s">
        <v>22</v>
      </c>
      <c r="G296" t="s">
        <v>23</v>
      </c>
      <c r="H296" s="2">
        <v>19000</v>
      </c>
      <c r="I296">
        <v>73</v>
      </c>
      <c r="J296">
        <v>14</v>
      </c>
      <c r="K296">
        <v>22</v>
      </c>
      <c r="L296" t="s">
        <v>42</v>
      </c>
      <c r="M296">
        <v>14</v>
      </c>
    </row>
    <row r="297" spans="2:13" x14ac:dyDescent="0.25">
      <c r="B297" t="s">
        <v>459</v>
      </c>
      <c r="C297" t="s">
        <v>351</v>
      </c>
      <c r="D297" t="s">
        <v>345</v>
      </c>
      <c r="E297" t="s">
        <v>2</v>
      </c>
      <c r="F297" t="s">
        <v>61</v>
      </c>
      <c r="G297" t="s">
        <v>62</v>
      </c>
      <c r="H297" s="2">
        <v>608000</v>
      </c>
      <c r="I297">
        <v>73</v>
      </c>
      <c r="J297">
        <v>15</v>
      </c>
      <c r="K297">
        <v>30</v>
      </c>
      <c r="L297" t="s">
        <v>77</v>
      </c>
      <c r="M297">
        <v>12</v>
      </c>
    </row>
    <row r="298" spans="2:13" x14ac:dyDescent="0.25">
      <c r="B298" t="s">
        <v>460</v>
      </c>
      <c r="C298" t="s">
        <v>366</v>
      </c>
      <c r="D298" t="s">
        <v>345</v>
      </c>
      <c r="E298" t="s">
        <v>2</v>
      </c>
      <c r="F298" t="s">
        <v>55</v>
      </c>
      <c r="G298" t="s">
        <v>56</v>
      </c>
      <c r="H298" s="2">
        <v>35000</v>
      </c>
      <c r="I298">
        <v>137</v>
      </c>
      <c r="J298">
        <v>37</v>
      </c>
      <c r="K298">
        <v>56</v>
      </c>
      <c r="L298" t="s">
        <v>201</v>
      </c>
      <c r="M298">
        <v>17</v>
      </c>
    </row>
    <row r="299" spans="2:13" x14ac:dyDescent="0.25">
      <c r="B299" t="s">
        <v>461</v>
      </c>
      <c r="C299" t="s">
        <v>344</v>
      </c>
      <c r="D299" t="s">
        <v>345</v>
      </c>
      <c r="E299" t="s">
        <v>346</v>
      </c>
      <c r="F299" t="s">
        <v>17</v>
      </c>
      <c r="G299" t="s">
        <v>18</v>
      </c>
      <c r="H299" s="2">
        <v>45000</v>
      </c>
      <c r="I299">
        <v>110</v>
      </c>
      <c r="J299">
        <v>37</v>
      </c>
      <c r="K299">
        <v>56</v>
      </c>
      <c r="L299" t="s">
        <v>219</v>
      </c>
      <c r="M299">
        <v>20</v>
      </c>
    </row>
    <row r="300" spans="2:13" x14ac:dyDescent="0.25">
      <c r="B300" t="s">
        <v>462</v>
      </c>
      <c r="C300" t="s">
        <v>349</v>
      </c>
      <c r="D300" t="s">
        <v>345</v>
      </c>
      <c r="E300" t="s">
        <v>2</v>
      </c>
      <c r="F300" t="s">
        <v>61</v>
      </c>
      <c r="G300" t="s">
        <v>62</v>
      </c>
      <c r="H300" s="2">
        <v>2000</v>
      </c>
      <c r="I300">
        <v>22</v>
      </c>
      <c r="J300">
        <v>23</v>
      </c>
      <c r="K300">
        <v>43</v>
      </c>
      <c r="L300" t="s">
        <v>310</v>
      </c>
      <c r="M300">
        <v>17</v>
      </c>
    </row>
    <row r="301" spans="2:13" x14ac:dyDescent="0.25">
      <c r="B301" t="s">
        <v>463</v>
      </c>
      <c r="C301" t="s">
        <v>360</v>
      </c>
      <c r="D301" t="s">
        <v>345</v>
      </c>
      <c r="E301" t="s">
        <v>358</v>
      </c>
      <c r="F301" t="s">
        <v>81</v>
      </c>
      <c r="G301" t="s">
        <v>82</v>
      </c>
      <c r="H301" s="2">
        <v>5000</v>
      </c>
      <c r="I301">
        <v>226</v>
      </c>
      <c r="J301">
        <v>11</v>
      </c>
      <c r="K301">
        <v>56</v>
      </c>
      <c r="L301" t="s">
        <v>464</v>
      </c>
      <c r="M301">
        <v>13</v>
      </c>
    </row>
    <row r="302" spans="2:13" x14ac:dyDescent="0.25">
      <c r="B302" t="s">
        <v>465</v>
      </c>
      <c r="C302" t="s">
        <v>357</v>
      </c>
      <c r="D302" t="s">
        <v>345</v>
      </c>
      <c r="E302" t="s">
        <v>358</v>
      </c>
      <c r="F302" t="s">
        <v>61</v>
      </c>
      <c r="G302" t="s">
        <v>62</v>
      </c>
      <c r="H302" s="2">
        <v>43000</v>
      </c>
      <c r="I302">
        <v>21</v>
      </c>
      <c r="J302">
        <v>30</v>
      </c>
      <c r="K302">
        <v>36</v>
      </c>
      <c r="L302" t="s">
        <v>221</v>
      </c>
      <c r="M302">
        <v>8</v>
      </c>
    </row>
    <row r="303" spans="2:13" x14ac:dyDescent="0.25">
      <c r="B303" t="s">
        <v>466</v>
      </c>
      <c r="C303" t="s">
        <v>467</v>
      </c>
      <c r="D303" t="s">
        <v>468</v>
      </c>
      <c r="E303" t="s">
        <v>469</v>
      </c>
      <c r="F303" t="s">
        <v>40</v>
      </c>
      <c r="G303" t="s">
        <v>41</v>
      </c>
      <c r="H303" s="2">
        <v>45000</v>
      </c>
      <c r="I303">
        <v>83</v>
      </c>
      <c r="J303">
        <v>9</v>
      </c>
      <c r="K303">
        <v>26</v>
      </c>
      <c r="L303" t="s">
        <v>106</v>
      </c>
      <c r="M303">
        <v>19</v>
      </c>
    </row>
    <row r="304" spans="2:13" x14ac:dyDescent="0.25">
      <c r="B304" t="s">
        <v>470</v>
      </c>
      <c r="C304" t="s">
        <v>471</v>
      </c>
      <c r="D304" t="s">
        <v>468</v>
      </c>
      <c r="E304" t="s">
        <v>355</v>
      </c>
      <c r="F304" t="s">
        <v>32</v>
      </c>
      <c r="G304" t="s">
        <v>33</v>
      </c>
      <c r="H304" s="2">
        <v>30000</v>
      </c>
      <c r="I304">
        <v>42</v>
      </c>
      <c r="J304">
        <v>11</v>
      </c>
      <c r="K304">
        <v>28</v>
      </c>
      <c r="L304" t="s">
        <v>195</v>
      </c>
      <c r="M304">
        <v>19</v>
      </c>
    </row>
    <row r="305" spans="2:13" x14ac:dyDescent="0.25">
      <c r="B305" t="s">
        <v>472</v>
      </c>
      <c r="C305" t="s">
        <v>467</v>
      </c>
      <c r="D305" t="s">
        <v>468</v>
      </c>
      <c r="E305" t="s">
        <v>469</v>
      </c>
      <c r="F305" t="s">
        <v>40</v>
      </c>
      <c r="G305" t="s">
        <v>41</v>
      </c>
      <c r="H305" s="2">
        <v>58000</v>
      </c>
      <c r="I305">
        <v>46</v>
      </c>
      <c r="J305">
        <v>17</v>
      </c>
      <c r="K305">
        <v>41</v>
      </c>
      <c r="L305" t="s">
        <v>119</v>
      </c>
      <c r="M305">
        <v>18</v>
      </c>
    </row>
    <row r="306" spans="2:13" x14ac:dyDescent="0.25">
      <c r="B306" t="s">
        <v>473</v>
      </c>
      <c r="C306" t="s">
        <v>474</v>
      </c>
      <c r="D306" t="s">
        <v>468</v>
      </c>
      <c r="E306" t="s">
        <v>2</v>
      </c>
      <c r="F306" t="s">
        <v>32</v>
      </c>
      <c r="G306" t="s">
        <v>33</v>
      </c>
      <c r="H306" s="2">
        <v>2000</v>
      </c>
      <c r="I306">
        <v>19</v>
      </c>
      <c r="J306">
        <v>13</v>
      </c>
      <c r="K306">
        <v>40</v>
      </c>
      <c r="L306" t="s">
        <v>164</v>
      </c>
      <c r="M306">
        <v>18</v>
      </c>
    </row>
    <row r="307" spans="2:13" x14ac:dyDescent="0.25">
      <c r="B307" t="s">
        <v>475</v>
      </c>
      <c r="C307" t="s">
        <v>476</v>
      </c>
      <c r="D307" t="s">
        <v>468</v>
      </c>
      <c r="E307" t="s">
        <v>477</v>
      </c>
      <c r="F307" t="s">
        <v>32</v>
      </c>
      <c r="G307" t="s">
        <v>33</v>
      </c>
      <c r="H307" s="2">
        <v>7000</v>
      </c>
      <c r="I307">
        <v>165</v>
      </c>
      <c r="J307">
        <v>37</v>
      </c>
      <c r="K307">
        <v>46</v>
      </c>
      <c r="L307" t="s">
        <v>129</v>
      </c>
      <c r="M307">
        <v>12</v>
      </c>
    </row>
    <row r="308" spans="2:13" x14ac:dyDescent="0.25">
      <c r="B308" t="s">
        <v>478</v>
      </c>
      <c r="C308" t="s">
        <v>479</v>
      </c>
      <c r="D308" t="s">
        <v>468</v>
      </c>
      <c r="E308" t="s">
        <v>469</v>
      </c>
      <c r="F308" t="s">
        <v>32</v>
      </c>
      <c r="G308" t="s">
        <v>33</v>
      </c>
      <c r="H308" s="2">
        <v>20000</v>
      </c>
      <c r="I308">
        <v>167</v>
      </c>
      <c r="J308">
        <v>24</v>
      </c>
      <c r="K308">
        <v>47</v>
      </c>
      <c r="L308" t="s">
        <v>133</v>
      </c>
      <c r="M308">
        <v>18</v>
      </c>
    </row>
    <row r="309" spans="2:13" x14ac:dyDescent="0.25">
      <c r="B309" t="s">
        <v>480</v>
      </c>
      <c r="C309" t="s">
        <v>481</v>
      </c>
      <c r="D309" t="s">
        <v>468</v>
      </c>
      <c r="E309" t="s">
        <v>2</v>
      </c>
      <c r="F309" t="s">
        <v>55</v>
      </c>
      <c r="G309" t="s">
        <v>56</v>
      </c>
      <c r="H309" s="2">
        <v>330000</v>
      </c>
      <c r="I309">
        <v>191</v>
      </c>
      <c r="J309">
        <v>41</v>
      </c>
      <c r="K309">
        <v>55</v>
      </c>
      <c r="L309" t="s">
        <v>297</v>
      </c>
      <c r="M309">
        <v>13</v>
      </c>
    </row>
    <row r="310" spans="2:13" x14ac:dyDescent="0.25">
      <c r="B310" t="s">
        <v>482</v>
      </c>
      <c r="C310" t="s">
        <v>467</v>
      </c>
      <c r="D310" t="s">
        <v>468</v>
      </c>
      <c r="E310" t="s">
        <v>469</v>
      </c>
      <c r="F310" t="s">
        <v>36</v>
      </c>
      <c r="G310" t="s">
        <v>37</v>
      </c>
      <c r="H310" s="2">
        <v>53000</v>
      </c>
      <c r="I310">
        <v>38</v>
      </c>
      <c r="J310">
        <v>31</v>
      </c>
      <c r="K310">
        <v>54</v>
      </c>
      <c r="L310" t="s">
        <v>77</v>
      </c>
      <c r="M310">
        <v>2</v>
      </c>
    </row>
    <row r="311" spans="2:13" x14ac:dyDescent="0.25">
      <c r="B311" t="s">
        <v>483</v>
      </c>
      <c r="C311" t="s">
        <v>484</v>
      </c>
      <c r="D311" t="s">
        <v>468</v>
      </c>
      <c r="E311" t="s">
        <v>469</v>
      </c>
      <c r="F311" t="s">
        <v>61</v>
      </c>
      <c r="G311" t="s">
        <v>62</v>
      </c>
      <c r="H311" s="2">
        <v>80000</v>
      </c>
      <c r="I311">
        <v>77</v>
      </c>
      <c r="J311">
        <v>46</v>
      </c>
      <c r="K311">
        <v>76</v>
      </c>
      <c r="L311" t="s">
        <v>368</v>
      </c>
      <c r="M311">
        <v>9</v>
      </c>
    </row>
    <row r="312" spans="2:13" x14ac:dyDescent="0.25">
      <c r="B312" t="s">
        <v>485</v>
      </c>
      <c r="C312" t="s">
        <v>474</v>
      </c>
      <c r="D312" t="s">
        <v>468</v>
      </c>
      <c r="E312" t="s">
        <v>2</v>
      </c>
      <c r="F312" t="s">
        <v>61</v>
      </c>
      <c r="G312" t="s">
        <v>62</v>
      </c>
      <c r="H312" s="2">
        <v>11000</v>
      </c>
      <c r="I312">
        <v>132</v>
      </c>
      <c r="J312">
        <v>15</v>
      </c>
      <c r="K312">
        <v>36</v>
      </c>
      <c r="L312" t="s">
        <v>171</v>
      </c>
      <c r="M312">
        <v>14</v>
      </c>
    </row>
    <row r="313" spans="2:13" x14ac:dyDescent="0.25">
      <c r="B313" t="s">
        <v>486</v>
      </c>
      <c r="C313" t="s">
        <v>479</v>
      </c>
      <c r="D313" t="s">
        <v>468</v>
      </c>
      <c r="E313" t="s">
        <v>469</v>
      </c>
      <c r="F313" t="s">
        <v>61</v>
      </c>
      <c r="G313" t="s">
        <v>62</v>
      </c>
      <c r="H313" s="2">
        <v>34000</v>
      </c>
      <c r="I313">
        <v>184</v>
      </c>
      <c r="J313">
        <v>20</v>
      </c>
      <c r="K313">
        <v>46</v>
      </c>
      <c r="L313" t="s">
        <v>52</v>
      </c>
      <c r="M313">
        <v>5</v>
      </c>
    </row>
    <row r="314" spans="2:13" x14ac:dyDescent="0.25">
      <c r="B314" t="s">
        <v>487</v>
      </c>
      <c r="C314" t="s">
        <v>488</v>
      </c>
      <c r="D314" t="s">
        <v>468</v>
      </c>
      <c r="E314" t="s">
        <v>469</v>
      </c>
      <c r="F314" t="s">
        <v>81</v>
      </c>
      <c r="G314" t="s">
        <v>82</v>
      </c>
      <c r="H314" s="2">
        <v>34000</v>
      </c>
      <c r="I314">
        <v>122</v>
      </c>
      <c r="J314">
        <v>25</v>
      </c>
      <c r="K314">
        <v>43</v>
      </c>
      <c r="L314" t="s">
        <v>142</v>
      </c>
      <c r="M314">
        <v>8</v>
      </c>
    </row>
    <row r="315" spans="2:13" x14ac:dyDescent="0.25">
      <c r="B315" t="s">
        <v>489</v>
      </c>
      <c r="C315" t="s">
        <v>490</v>
      </c>
      <c r="D315" t="s">
        <v>468</v>
      </c>
      <c r="E315" t="s">
        <v>355</v>
      </c>
      <c r="F315" t="s">
        <v>22</v>
      </c>
      <c r="G315" t="s">
        <v>23</v>
      </c>
      <c r="H315" s="2">
        <v>40000</v>
      </c>
      <c r="I315">
        <v>208</v>
      </c>
      <c r="J315">
        <v>44</v>
      </c>
      <c r="K315">
        <v>64</v>
      </c>
      <c r="L315" t="s">
        <v>183</v>
      </c>
      <c r="M315">
        <v>6</v>
      </c>
    </row>
    <row r="316" spans="2:13" x14ac:dyDescent="0.25">
      <c r="B316" t="s">
        <v>491</v>
      </c>
      <c r="C316" t="s">
        <v>481</v>
      </c>
      <c r="D316" t="s">
        <v>468</v>
      </c>
      <c r="E316" t="s">
        <v>2</v>
      </c>
      <c r="F316" t="s">
        <v>55</v>
      </c>
      <c r="G316" t="s">
        <v>56</v>
      </c>
      <c r="H316" s="2">
        <v>186000</v>
      </c>
      <c r="I316">
        <v>153</v>
      </c>
      <c r="J316">
        <v>25</v>
      </c>
      <c r="K316">
        <v>51</v>
      </c>
      <c r="L316" t="s">
        <v>324</v>
      </c>
      <c r="M316">
        <v>14</v>
      </c>
    </row>
    <row r="317" spans="2:13" x14ac:dyDescent="0.25">
      <c r="B317" t="s">
        <v>492</v>
      </c>
      <c r="C317" t="s">
        <v>467</v>
      </c>
      <c r="D317" t="s">
        <v>468</v>
      </c>
      <c r="E317" t="s">
        <v>469</v>
      </c>
      <c r="F317" t="s">
        <v>40</v>
      </c>
      <c r="G317" t="s">
        <v>41</v>
      </c>
      <c r="H317" s="2">
        <v>21000</v>
      </c>
      <c r="I317">
        <v>127</v>
      </c>
      <c r="J317">
        <v>39</v>
      </c>
      <c r="K317">
        <v>54</v>
      </c>
      <c r="L317" t="s">
        <v>102</v>
      </c>
      <c r="M317">
        <v>10</v>
      </c>
    </row>
    <row r="318" spans="2:13" x14ac:dyDescent="0.25">
      <c r="B318" t="s">
        <v>493</v>
      </c>
      <c r="C318" t="s">
        <v>484</v>
      </c>
      <c r="D318" t="s">
        <v>468</v>
      </c>
      <c r="E318" t="s">
        <v>469</v>
      </c>
      <c r="F318" t="s">
        <v>40</v>
      </c>
      <c r="G318" t="s">
        <v>41</v>
      </c>
      <c r="H318" s="2">
        <v>81000</v>
      </c>
      <c r="I318">
        <v>59</v>
      </c>
      <c r="J318">
        <v>20</v>
      </c>
      <c r="K318">
        <v>33</v>
      </c>
      <c r="L318" t="s">
        <v>327</v>
      </c>
      <c r="M318">
        <v>9</v>
      </c>
    </row>
    <row r="319" spans="2:13" x14ac:dyDescent="0.25">
      <c r="B319" t="s">
        <v>494</v>
      </c>
      <c r="C319" t="s">
        <v>471</v>
      </c>
      <c r="D319" t="s">
        <v>468</v>
      </c>
      <c r="E319" t="s">
        <v>355</v>
      </c>
      <c r="F319" t="s">
        <v>55</v>
      </c>
      <c r="G319" t="s">
        <v>56</v>
      </c>
      <c r="H319" s="2">
        <v>51000</v>
      </c>
      <c r="I319">
        <v>190</v>
      </c>
      <c r="J319">
        <v>18</v>
      </c>
      <c r="K319">
        <v>47</v>
      </c>
      <c r="L319" t="s">
        <v>181</v>
      </c>
      <c r="M319">
        <v>17</v>
      </c>
    </row>
    <row r="320" spans="2:13" x14ac:dyDescent="0.25">
      <c r="B320" t="s">
        <v>495</v>
      </c>
      <c r="C320" t="s">
        <v>467</v>
      </c>
      <c r="D320" t="s">
        <v>468</v>
      </c>
      <c r="E320" t="s">
        <v>469</v>
      </c>
      <c r="F320" t="s">
        <v>85</v>
      </c>
      <c r="G320" t="s">
        <v>86</v>
      </c>
      <c r="H320" s="2">
        <v>45000</v>
      </c>
      <c r="I320">
        <v>249</v>
      </c>
      <c r="J320">
        <v>22</v>
      </c>
      <c r="K320">
        <v>62</v>
      </c>
      <c r="L320" t="s">
        <v>368</v>
      </c>
      <c r="M320">
        <v>19</v>
      </c>
    </row>
    <row r="321" spans="2:13" x14ac:dyDescent="0.25">
      <c r="B321" t="s">
        <v>496</v>
      </c>
      <c r="C321" t="s">
        <v>490</v>
      </c>
      <c r="D321" t="s">
        <v>468</v>
      </c>
      <c r="E321" t="s">
        <v>355</v>
      </c>
      <c r="F321" t="s">
        <v>81</v>
      </c>
      <c r="G321" t="s">
        <v>82</v>
      </c>
      <c r="H321" s="2">
        <v>33000</v>
      </c>
      <c r="I321">
        <v>219</v>
      </c>
      <c r="J321">
        <v>27</v>
      </c>
      <c r="K321">
        <v>56</v>
      </c>
      <c r="L321" t="s">
        <v>42</v>
      </c>
      <c r="M321">
        <v>3</v>
      </c>
    </row>
    <row r="322" spans="2:13" x14ac:dyDescent="0.25">
      <c r="B322" t="s">
        <v>497</v>
      </c>
      <c r="C322" t="s">
        <v>471</v>
      </c>
      <c r="D322" t="s">
        <v>468</v>
      </c>
      <c r="E322" t="s">
        <v>355</v>
      </c>
      <c r="F322" t="s">
        <v>36</v>
      </c>
      <c r="G322" t="s">
        <v>37</v>
      </c>
      <c r="H322" s="2">
        <v>25000</v>
      </c>
      <c r="I322">
        <v>98</v>
      </c>
      <c r="J322">
        <v>33</v>
      </c>
      <c r="K322">
        <v>58</v>
      </c>
      <c r="L322" t="s">
        <v>67</v>
      </c>
      <c r="M322">
        <v>17</v>
      </c>
    </row>
    <row r="323" spans="2:13" x14ac:dyDescent="0.25">
      <c r="B323" t="s">
        <v>498</v>
      </c>
      <c r="C323" t="s">
        <v>488</v>
      </c>
      <c r="D323" t="s">
        <v>468</v>
      </c>
      <c r="E323" t="s">
        <v>469</v>
      </c>
      <c r="F323" t="s">
        <v>40</v>
      </c>
      <c r="G323" t="s">
        <v>41</v>
      </c>
      <c r="H323" s="2">
        <v>81000</v>
      </c>
      <c r="I323">
        <v>221</v>
      </c>
      <c r="J323">
        <v>39</v>
      </c>
      <c r="K323">
        <v>55</v>
      </c>
      <c r="L323" t="s">
        <v>52</v>
      </c>
      <c r="M323">
        <v>10</v>
      </c>
    </row>
    <row r="324" spans="2:13" x14ac:dyDescent="0.25">
      <c r="B324" t="s">
        <v>499</v>
      </c>
      <c r="C324" t="s">
        <v>479</v>
      </c>
      <c r="D324" t="s">
        <v>468</v>
      </c>
      <c r="E324" t="s">
        <v>469</v>
      </c>
      <c r="F324" t="s">
        <v>17</v>
      </c>
      <c r="G324" t="s">
        <v>18</v>
      </c>
      <c r="H324" s="2">
        <v>11000</v>
      </c>
      <c r="I324">
        <v>167</v>
      </c>
      <c r="J324">
        <v>42</v>
      </c>
      <c r="K324">
        <v>54</v>
      </c>
      <c r="L324" t="s">
        <v>173</v>
      </c>
      <c r="M324">
        <v>18</v>
      </c>
    </row>
    <row r="325" spans="2:13" x14ac:dyDescent="0.25">
      <c r="B325" t="s">
        <v>500</v>
      </c>
      <c r="C325" t="s">
        <v>488</v>
      </c>
      <c r="D325" t="s">
        <v>468</v>
      </c>
      <c r="E325" t="s">
        <v>469</v>
      </c>
      <c r="F325" t="s">
        <v>32</v>
      </c>
      <c r="G325" t="s">
        <v>33</v>
      </c>
      <c r="H325" s="2">
        <v>89000</v>
      </c>
      <c r="I325">
        <v>23</v>
      </c>
      <c r="J325">
        <v>11</v>
      </c>
      <c r="K325">
        <v>29</v>
      </c>
      <c r="L325" t="s">
        <v>27</v>
      </c>
      <c r="M325">
        <v>17</v>
      </c>
    </row>
    <row r="326" spans="2:13" x14ac:dyDescent="0.25">
      <c r="B326" t="s">
        <v>501</v>
      </c>
      <c r="C326" t="s">
        <v>502</v>
      </c>
      <c r="D326" t="s">
        <v>468</v>
      </c>
      <c r="E326" t="s">
        <v>469</v>
      </c>
      <c r="F326" t="s">
        <v>40</v>
      </c>
      <c r="G326" t="s">
        <v>41</v>
      </c>
      <c r="H326" s="2">
        <v>112000</v>
      </c>
      <c r="I326">
        <v>207</v>
      </c>
      <c r="J326">
        <v>13</v>
      </c>
      <c r="K326">
        <v>51</v>
      </c>
      <c r="L326" t="s">
        <v>292</v>
      </c>
      <c r="M326">
        <v>15</v>
      </c>
    </row>
    <row r="327" spans="2:13" x14ac:dyDescent="0.25">
      <c r="B327" t="s">
        <v>503</v>
      </c>
      <c r="C327" t="s">
        <v>476</v>
      </c>
      <c r="D327" t="s">
        <v>468</v>
      </c>
      <c r="E327" t="s">
        <v>477</v>
      </c>
      <c r="F327" t="s">
        <v>36</v>
      </c>
      <c r="G327" t="s">
        <v>37</v>
      </c>
      <c r="H327" s="2">
        <v>18000</v>
      </c>
      <c r="I327">
        <v>176</v>
      </c>
      <c r="J327">
        <v>17</v>
      </c>
      <c r="K327">
        <v>46</v>
      </c>
      <c r="L327" t="s">
        <v>259</v>
      </c>
      <c r="M327">
        <v>11</v>
      </c>
    </row>
    <row r="328" spans="2:13" x14ac:dyDescent="0.25">
      <c r="B328" t="s">
        <v>504</v>
      </c>
      <c r="C328" t="s">
        <v>474</v>
      </c>
      <c r="D328" t="s">
        <v>468</v>
      </c>
      <c r="E328" t="s">
        <v>2</v>
      </c>
      <c r="F328" t="s">
        <v>17</v>
      </c>
      <c r="G328" t="s">
        <v>18</v>
      </c>
      <c r="H328" s="2">
        <v>14000</v>
      </c>
      <c r="I328">
        <v>32</v>
      </c>
      <c r="J328">
        <v>46</v>
      </c>
      <c r="K328">
        <v>69</v>
      </c>
      <c r="L328" t="s">
        <v>274</v>
      </c>
      <c r="M328">
        <v>3</v>
      </c>
    </row>
    <row r="329" spans="2:13" x14ac:dyDescent="0.25">
      <c r="B329" t="s">
        <v>505</v>
      </c>
      <c r="C329" t="s">
        <v>479</v>
      </c>
      <c r="D329" t="s">
        <v>468</v>
      </c>
      <c r="E329" t="s">
        <v>469</v>
      </c>
      <c r="F329" t="s">
        <v>48</v>
      </c>
      <c r="G329" t="s">
        <v>49</v>
      </c>
      <c r="H329" s="2">
        <v>21000</v>
      </c>
      <c r="I329">
        <v>235</v>
      </c>
      <c r="J329">
        <v>16</v>
      </c>
      <c r="K329">
        <v>58</v>
      </c>
      <c r="L329" t="s">
        <v>69</v>
      </c>
      <c r="M329">
        <v>7</v>
      </c>
    </row>
    <row r="330" spans="2:13" x14ac:dyDescent="0.25">
      <c r="B330" t="s">
        <v>506</v>
      </c>
      <c r="C330" t="s">
        <v>471</v>
      </c>
      <c r="D330" t="s">
        <v>468</v>
      </c>
      <c r="E330" t="s">
        <v>355</v>
      </c>
      <c r="F330" t="s">
        <v>61</v>
      </c>
      <c r="G330" t="s">
        <v>62</v>
      </c>
      <c r="H330" s="2">
        <v>19000</v>
      </c>
      <c r="I330">
        <v>12</v>
      </c>
      <c r="J330">
        <v>24</v>
      </c>
      <c r="K330">
        <v>47</v>
      </c>
      <c r="L330" t="s">
        <v>34</v>
      </c>
      <c r="M330">
        <v>12</v>
      </c>
    </row>
    <row r="331" spans="2:13" x14ac:dyDescent="0.25">
      <c r="B331" t="s">
        <v>507</v>
      </c>
      <c r="C331" t="s">
        <v>471</v>
      </c>
      <c r="D331" t="s">
        <v>468</v>
      </c>
      <c r="E331" t="s">
        <v>355</v>
      </c>
      <c r="F331" t="s">
        <v>55</v>
      </c>
      <c r="G331" t="s">
        <v>56</v>
      </c>
      <c r="H331" s="2">
        <v>73000</v>
      </c>
      <c r="I331">
        <v>174</v>
      </c>
      <c r="J331">
        <v>39</v>
      </c>
      <c r="K331">
        <v>60</v>
      </c>
      <c r="L331" t="s">
        <v>19</v>
      </c>
      <c r="M331">
        <v>18</v>
      </c>
    </row>
    <row r="332" spans="2:13" x14ac:dyDescent="0.25">
      <c r="B332" t="s">
        <v>508</v>
      </c>
      <c r="C332" t="s">
        <v>476</v>
      </c>
      <c r="D332" t="s">
        <v>468</v>
      </c>
      <c r="E332" t="s">
        <v>477</v>
      </c>
      <c r="F332" t="s">
        <v>81</v>
      </c>
      <c r="G332" t="s">
        <v>82</v>
      </c>
      <c r="H332" s="2">
        <v>11000</v>
      </c>
      <c r="I332">
        <v>59</v>
      </c>
      <c r="J332">
        <v>12</v>
      </c>
      <c r="K332">
        <v>27</v>
      </c>
      <c r="L332" t="s">
        <v>89</v>
      </c>
      <c r="M332">
        <v>16</v>
      </c>
    </row>
    <row r="333" spans="2:13" x14ac:dyDescent="0.25">
      <c r="B333" t="s">
        <v>509</v>
      </c>
      <c r="C333" t="s">
        <v>471</v>
      </c>
      <c r="D333" t="s">
        <v>468</v>
      </c>
      <c r="E333" t="s">
        <v>355</v>
      </c>
      <c r="F333" t="s">
        <v>36</v>
      </c>
      <c r="G333" t="s">
        <v>37</v>
      </c>
      <c r="H333" s="2">
        <v>38000</v>
      </c>
      <c r="I333">
        <v>13</v>
      </c>
      <c r="J333">
        <v>26</v>
      </c>
      <c r="K333">
        <v>56</v>
      </c>
      <c r="L333" t="s">
        <v>287</v>
      </c>
      <c r="M333">
        <v>8</v>
      </c>
    </row>
    <row r="334" spans="2:13" x14ac:dyDescent="0.25">
      <c r="B334" t="s">
        <v>510</v>
      </c>
      <c r="C334" t="s">
        <v>479</v>
      </c>
      <c r="D334" t="s">
        <v>468</v>
      </c>
      <c r="E334" t="s">
        <v>469</v>
      </c>
      <c r="F334" t="s">
        <v>48</v>
      </c>
      <c r="G334" t="s">
        <v>49</v>
      </c>
      <c r="H334" s="2">
        <v>27000</v>
      </c>
      <c r="I334">
        <v>229</v>
      </c>
      <c r="J334">
        <v>45</v>
      </c>
      <c r="K334">
        <v>62</v>
      </c>
      <c r="L334" t="s">
        <v>117</v>
      </c>
      <c r="M334">
        <v>12</v>
      </c>
    </row>
    <row r="335" spans="2:13" x14ac:dyDescent="0.25">
      <c r="B335" t="s">
        <v>511</v>
      </c>
      <c r="C335" t="s">
        <v>502</v>
      </c>
      <c r="D335" t="s">
        <v>468</v>
      </c>
      <c r="E335" t="s">
        <v>469</v>
      </c>
      <c r="F335" t="s">
        <v>81</v>
      </c>
      <c r="G335" t="s">
        <v>82</v>
      </c>
      <c r="H335" s="2">
        <v>76000</v>
      </c>
      <c r="I335">
        <v>181</v>
      </c>
      <c r="J335">
        <v>11</v>
      </c>
      <c r="K335">
        <v>45</v>
      </c>
      <c r="L335" t="s">
        <v>512</v>
      </c>
      <c r="M335">
        <v>12</v>
      </c>
    </row>
    <row r="336" spans="2:13" x14ac:dyDescent="0.25">
      <c r="B336" t="s">
        <v>513</v>
      </c>
      <c r="C336" t="s">
        <v>488</v>
      </c>
      <c r="D336" t="s">
        <v>468</v>
      </c>
      <c r="E336" t="s">
        <v>469</v>
      </c>
      <c r="F336" t="s">
        <v>55</v>
      </c>
      <c r="G336" t="s">
        <v>56</v>
      </c>
      <c r="H336" s="2">
        <v>31000</v>
      </c>
      <c r="I336">
        <v>76</v>
      </c>
      <c r="J336">
        <v>29</v>
      </c>
      <c r="K336">
        <v>41</v>
      </c>
      <c r="L336" t="s">
        <v>110</v>
      </c>
      <c r="M336">
        <v>10</v>
      </c>
    </row>
    <row r="337" spans="2:13" x14ac:dyDescent="0.25">
      <c r="B337" t="s">
        <v>514</v>
      </c>
      <c r="C337" t="s">
        <v>467</v>
      </c>
      <c r="D337" t="s">
        <v>468</v>
      </c>
      <c r="E337" t="s">
        <v>469</v>
      </c>
      <c r="F337" t="s">
        <v>36</v>
      </c>
      <c r="G337" t="s">
        <v>37</v>
      </c>
      <c r="H337" s="2">
        <v>29000</v>
      </c>
      <c r="I337">
        <v>159</v>
      </c>
      <c r="J337">
        <v>41</v>
      </c>
      <c r="K337">
        <v>46</v>
      </c>
      <c r="L337" t="s">
        <v>310</v>
      </c>
      <c r="M337">
        <v>13</v>
      </c>
    </row>
    <row r="338" spans="2:13" x14ac:dyDescent="0.25">
      <c r="B338" t="s">
        <v>515</v>
      </c>
      <c r="C338" t="s">
        <v>488</v>
      </c>
      <c r="D338" t="s">
        <v>468</v>
      </c>
      <c r="E338" t="s">
        <v>469</v>
      </c>
      <c r="F338" t="s">
        <v>36</v>
      </c>
      <c r="G338" t="s">
        <v>37</v>
      </c>
      <c r="H338" s="2">
        <v>45000</v>
      </c>
      <c r="I338">
        <v>180</v>
      </c>
      <c r="J338">
        <v>12</v>
      </c>
      <c r="K338">
        <v>45</v>
      </c>
      <c r="L338" t="s">
        <v>292</v>
      </c>
      <c r="M338">
        <v>14</v>
      </c>
    </row>
    <row r="339" spans="2:13" x14ac:dyDescent="0.25">
      <c r="B339" t="s">
        <v>516</v>
      </c>
      <c r="C339" t="s">
        <v>481</v>
      </c>
      <c r="D339" t="s">
        <v>468</v>
      </c>
      <c r="E339" t="s">
        <v>2</v>
      </c>
      <c r="F339" t="s">
        <v>36</v>
      </c>
      <c r="G339" t="s">
        <v>37</v>
      </c>
      <c r="H339" s="2">
        <v>239000</v>
      </c>
      <c r="I339">
        <v>186</v>
      </c>
      <c r="J339">
        <v>12</v>
      </c>
      <c r="K339">
        <v>46</v>
      </c>
      <c r="L339" t="s">
        <v>314</v>
      </c>
      <c r="M339">
        <v>21</v>
      </c>
    </row>
    <row r="340" spans="2:13" x14ac:dyDescent="0.25">
      <c r="B340" t="s">
        <v>517</v>
      </c>
      <c r="C340" t="s">
        <v>488</v>
      </c>
      <c r="D340" t="s">
        <v>468</v>
      </c>
      <c r="E340" t="s">
        <v>469</v>
      </c>
      <c r="F340" t="s">
        <v>55</v>
      </c>
      <c r="G340" t="s">
        <v>56</v>
      </c>
      <c r="H340" s="2">
        <v>86000</v>
      </c>
      <c r="I340">
        <v>44</v>
      </c>
      <c r="J340">
        <v>35</v>
      </c>
      <c r="K340">
        <v>44</v>
      </c>
      <c r="L340" t="s">
        <v>67</v>
      </c>
      <c r="M340">
        <v>21</v>
      </c>
    </row>
    <row r="341" spans="2:13" x14ac:dyDescent="0.25">
      <c r="B341" t="s">
        <v>518</v>
      </c>
      <c r="C341" t="s">
        <v>467</v>
      </c>
      <c r="D341" t="s">
        <v>468</v>
      </c>
      <c r="E341" t="s">
        <v>469</v>
      </c>
      <c r="F341" t="s">
        <v>40</v>
      </c>
      <c r="G341" t="s">
        <v>41</v>
      </c>
      <c r="H341" s="2">
        <v>36000</v>
      </c>
      <c r="I341">
        <v>189</v>
      </c>
      <c r="J341">
        <v>40</v>
      </c>
      <c r="K341">
        <v>60</v>
      </c>
      <c r="L341" t="s">
        <v>98</v>
      </c>
      <c r="M341">
        <v>8</v>
      </c>
    </row>
    <row r="342" spans="2:13" x14ac:dyDescent="0.25">
      <c r="B342" t="s">
        <v>519</v>
      </c>
      <c r="C342" t="s">
        <v>488</v>
      </c>
      <c r="D342" t="s">
        <v>468</v>
      </c>
      <c r="E342" t="s">
        <v>469</v>
      </c>
      <c r="F342" t="s">
        <v>32</v>
      </c>
      <c r="G342" t="s">
        <v>33</v>
      </c>
      <c r="H342" s="2">
        <v>50000</v>
      </c>
      <c r="I342">
        <v>144</v>
      </c>
      <c r="J342">
        <v>33</v>
      </c>
      <c r="K342">
        <v>54</v>
      </c>
      <c r="L342" t="s">
        <v>126</v>
      </c>
      <c r="M342">
        <v>20</v>
      </c>
    </row>
    <row r="343" spans="2:13" x14ac:dyDescent="0.25">
      <c r="B343" t="s">
        <v>520</v>
      </c>
      <c r="C343" t="s">
        <v>502</v>
      </c>
      <c r="D343" t="s">
        <v>468</v>
      </c>
      <c r="E343" t="s">
        <v>469</v>
      </c>
      <c r="F343" t="s">
        <v>17</v>
      </c>
      <c r="G343" t="s">
        <v>18</v>
      </c>
      <c r="H343" s="2">
        <v>32000</v>
      </c>
      <c r="I343">
        <v>222</v>
      </c>
      <c r="J343">
        <v>40</v>
      </c>
      <c r="K343">
        <v>61</v>
      </c>
      <c r="L343" t="s">
        <v>368</v>
      </c>
      <c r="M343">
        <v>19</v>
      </c>
    </row>
    <row r="344" spans="2:13" x14ac:dyDescent="0.25">
      <c r="B344" t="s">
        <v>521</v>
      </c>
      <c r="C344" t="s">
        <v>479</v>
      </c>
      <c r="D344" t="s">
        <v>468</v>
      </c>
      <c r="E344" t="s">
        <v>469</v>
      </c>
      <c r="F344" t="s">
        <v>85</v>
      </c>
      <c r="G344" t="s">
        <v>86</v>
      </c>
      <c r="H344" s="2">
        <v>13000</v>
      </c>
      <c r="I344">
        <v>93</v>
      </c>
      <c r="J344">
        <v>38</v>
      </c>
      <c r="K344">
        <v>57</v>
      </c>
      <c r="L344" t="s">
        <v>289</v>
      </c>
      <c r="M344">
        <v>8</v>
      </c>
    </row>
    <row r="345" spans="2:13" x14ac:dyDescent="0.25">
      <c r="B345" t="s">
        <v>522</v>
      </c>
      <c r="C345" t="s">
        <v>484</v>
      </c>
      <c r="D345" t="s">
        <v>468</v>
      </c>
      <c r="E345" t="s">
        <v>469</v>
      </c>
      <c r="F345" t="s">
        <v>22</v>
      </c>
      <c r="G345" t="s">
        <v>23</v>
      </c>
      <c r="H345" s="2">
        <v>82000</v>
      </c>
      <c r="I345">
        <v>33</v>
      </c>
      <c r="J345">
        <v>37</v>
      </c>
      <c r="K345">
        <v>56</v>
      </c>
      <c r="L345" t="s">
        <v>124</v>
      </c>
      <c r="M345">
        <v>6</v>
      </c>
    </row>
    <row r="346" spans="2:13" x14ac:dyDescent="0.25">
      <c r="B346" t="s">
        <v>523</v>
      </c>
      <c r="C346" t="s">
        <v>481</v>
      </c>
      <c r="D346" t="s">
        <v>468</v>
      </c>
      <c r="E346" t="s">
        <v>2</v>
      </c>
      <c r="F346" t="s">
        <v>40</v>
      </c>
      <c r="G346" t="s">
        <v>41</v>
      </c>
      <c r="H346" s="2">
        <v>292000</v>
      </c>
      <c r="I346">
        <v>126</v>
      </c>
      <c r="J346">
        <v>41</v>
      </c>
      <c r="K346">
        <v>47</v>
      </c>
      <c r="L346" t="s">
        <v>175</v>
      </c>
      <c r="M346">
        <v>11</v>
      </c>
    </row>
    <row r="347" spans="2:13" x14ac:dyDescent="0.25">
      <c r="B347" t="s">
        <v>524</v>
      </c>
      <c r="C347" t="s">
        <v>474</v>
      </c>
      <c r="D347" t="s">
        <v>468</v>
      </c>
      <c r="E347" t="s">
        <v>2</v>
      </c>
      <c r="F347" t="s">
        <v>17</v>
      </c>
      <c r="G347" t="s">
        <v>18</v>
      </c>
      <c r="H347" s="2">
        <v>8000</v>
      </c>
      <c r="I347">
        <v>75</v>
      </c>
      <c r="J347">
        <v>5</v>
      </c>
      <c r="K347">
        <v>33</v>
      </c>
      <c r="L347" t="s">
        <v>257</v>
      </c>
      <c r="M347">
        <v>4</v>
      </c>
    </row>
    <row r="348" spans="2:13" x14ac:dyDescent="0.25">
      <c r="B348" t="s">
        <v>525</v>
      </c>
      <c r="C348" t="s">
        <v>474</v>
      </c>
      <c r="D348" t="s">
        <v>468</v>
      </c>
      <c r="E348" t="s">
        <v>2</v>
      </c>
      <c r="F348" t="s">
        <v>40</v>
      </c>
      <c r="G348" t="s">
        <v>41</v>
      </c>
      <c r="H348" s="2">
        <v>8000</v>
      </c>
      <c r="I348">
        <v>98</v>
      </c>
      <c r="J348">
        <v>49</v>
      </c>
      <c r="K348">
        <v>56</v>
      </c>
      <c r="L348" t="s">
        <v>104</v>
      </c>
      <c r="M348">
        <v>4</v>
      </c>
    </row>
    <row r="349" spans="2:13" x14ac:dyDescent="0.25">
      <c r="B349" t="s">
        <v>526</v>
      </c>
      <c r="C349" t="s">
        <v>476</v>
      </c>
      <c r="D349" t="s">
        <v>468</v>
      </c>
      <c r="E349" t="s">
        <v>477</v>
      </c>
      <c r="F349" t="s">
        <v>81</v>
      </c>
      <c r="G349" t="s">
        <v>82</v>
      </c>
      <c r="H349" s="2">
        <v>4000</v>
      </c>
      <c r="I349">
        <v>83</v>
      </c>
      <c r="J349">
        <v>31</v>
      </c>
      <c r="K349">
        <v>41</v>
      </c>
      <c r="L349" t="s">
        <v>75</v>
      </c>
      <c r="M349">
        <v>15</v>
      </c>
    </row>
    <row r="350" spans="2:13" x14ac:dyDescent="0.25">
      <c r="B350" t="s">
        <v>527</v>
      </c>
      <c r="C350" t="s">
        <v>467</v>
      </c>
      <c r="D350" t="s">
        <v>468</v>
      </c>
      <c r="E350" t="s">
        <v>469</v>
      </c>
      <c r="F350" t="s">
        <v>85</v>
      </c>
      <c r="G350" t="s">
        <v>86</v>
      </c>
      <c r="H350" s="2">
        <v>34000</v>
      </c>
      <c r="I350">
        <v>124</v>
      </c>
      <c r="J350">
        <v>29</v>
      </c>
      <c r="K350">
        <v>46</v>
      </c>
      <c r="L350" t="s">
        <v>289</v>
      </c>
      <c r="M350">
        <v>19</v>
      </c>
    </row>
    <row r="351" spans="2:13" x14ac:dyDescent="0.25">
      <c r="B351" t="s">
        <v>528</v>
      </c>
      <c r="C351" t="s">
        <v>479</v>
      </c>
      <c r="D351" t="s">
        <v>468</v>
      </c>
      <c r="E351" t="s">
        <v>469</v>
      </c>
      <c r="F351" t="s">
        <v>81</v>
      </c>
      <c r="G351" t="s">
        <v>82</v>
      </c>
      <c r="H351" s="2">
        <v>28000</v>
      </c>
      <c r="I351">
        <v>230</v>
      </c>
      <c r="J351">
        <v>27</v>
      </c>
      <c r="K351">
        <v>57</v>
      </c>
      <c r="L351" t="s">
        <v>274</v>
      </c>
      <c r="M351">
        <v>14</v>
      </c>
    </row>
    <row r="352" spans="2:13" x14ac:dyDescent="0.25">
      <c r="B352" t="s">
        <v>529</v>
      </c>
      <c r="C352" t="s">
        <v>481</v>
      </c>
      <c r="D352" t="s">
        <v>468</v>
      </c>
      <c r="E352" t="s">
        <v>2</v>
      </c>
      <c r="F352" t="s">
        <v>22</v>
      </c>
      <c r="G352" t="s">
        <v>23</v>
      </c>
      <c r="H352" s="2">
        <v>145000</v>
      </c>
      <c r="I352">
        <v>196</v>
      </c>
      <c r="J352">
        <v>19</v>
      </c>
      <c r="K352">
        <v>49</v>
      </c>
      <c r="L352" t="s">
        <v>327</v>
      </c>
      <c r="M352">
        <v>16</v>
      </c>
    </row>
    <row r="353" spans="2:13" x14ac:dyDescent="0.25">
      <c r="B353" t="s">
        <v>530</v>
      </c>
      <c r="C353" t="s">
        <v>481</v>
      </c>
      <c r="D353" t="s">
        <v>468</v>
      </c>
      <c r="E353" t="s">
        <v>2</v>
      </c>
      <c r="F353" t="s">
        <v>17</v>
      </c>
      <c r="G353" t="s">
        <v>18</v>
      </c>
      <c r="H353" s="2">
        <v>297000</v>
      </c>
      <c r="I353">
        <v>146</v>
      </c>
      <c r="J353">
        <v>29</v>
      </c>
      <c r="K353">
        <v>41</v>
      </c>
      <c r="L353" t="s">
        <v>124</v>
      </c>
      <c r="M353">
        <v>13</v>
      </c>
    </row>
    <row r="354" spans="2:13" x14ac:dyDescent="0.25">
      <c r="B354" t="s">
        <v>531</v>
      </c>
      <c r="C354" t="s">
        <v>479</v>
      </c>
      <c r="D354" t="s">
        <v>468</v>
      </c>
      <c r="E354" t="s">
        <v>469</v>
      </c>
      <c r="F354" t="s">
        <v>48</v>
      </c>
      <c r="G354" t="s">
        <v>49</v>
      </c>
      <c r="H354" s="2">
        <v>16000</v>
      </c>
      <c r="I354">
        <v>58</v>
      </c>
      <c r="J354">
        <v>12</v>
      </c>
      <c r="K354">
        <v>18</v>
      </c>
      <c r="L354" t="s">
        <v>129</v>
      </c>
      <c r="M354">
        <v>2</v>
      </c>
    </row>
    <row r="355" spans="2:13" x14ac:dyDescent="0.25">
      <c r="B355" t="s">
        <v>532</v>
      </c>
      <c r="C355" t="s">
        <v>488</v>
      </c>
      <c r="D355" t="s">
        <v>468</v>
      </c>
      <c r="E355" t="s">
        <v>469</v>
      </c>
      <c r="F355" t="s">
        <v>22</v>
      </c>
      <c r="G355" t="s">
        <v>23</v>
      </c>
      <c r="H355" s="2">
        <v>82000</v>
      </c>
      <c r="I355">
        <v>27</v>
      </c>
      <c r="J355">
        <v>11</v>
      </c>
      <c r="K355">
        <v>35</v>
      </c>
      <c r="L355" t="s">
        <v>106</v>
      </c>
      <c r="M355">
        <v>21</v>
      </c>
    </row>
    <row r="356" spans="2:13" x14ac:dyDescent="0.25">
      <c r="B356" t="s">
        <v>533</v>
      </c>
      <c r="C356" t="s">
        <v>474</v>
      </c>
      <c r="D356" t="s">
        <v>468</v>
      </c>
      <c r="E356" t="s">
        <v>2</v>
      </c>
      <c r="F356" t="s">
        <v>55</v>
      </c>
      <c r="G356" t="s">
        <v>56</v>
      </c>
      <c r="H356" s="2">
        <v>5000</v>
      </c>
      <c r="I356">
        <v>199</v>
      </c>
      <c r="J356">
        <v>7</v>
      </c>
      <c r="K356">
        <v>49</v>
      </c>
      <c r="L356" t="s">
        <v>59</v>
      </c>
      <c r="M356">
        <v>19</v>
      </c>
    </row>
    <row r="357" spans="2:13" x14ac:dyDescent="0.25">
      <c r="B357" t="s">
        <v>534</v>
      </c>
      <c r="C357" t="s">
        <v>488</v>
      </c>
      <c r="D357" t="s">
        <v>468</v>
      </c>
      <c r="E357" t="s">
        <v>469</v>
      </c>
      <c r="F357" t="s">
        <v>17</v>
      </c>
      <c r="G357" t="s">
        <v>18</v>
      </c>
      <c r="H357" s="2">
        <v>44000</v>
      </c>
      <c r="I357">
        <v>45</v>
      </c>
      <c r="J357">
        <v>37</v>
      </c>
      <c r="K357">
        <v>51</v>
      </c>
      <c r="L357" t="s">
        <v>89</v>
      </c>
      <c r="M357">
        <v>20</v>
      </c>
    </row>
    <row r="358" spans="2:13" x14ac:dyDescent="0.25">
      <c r="B358" t="s">
        <v>535</v>
      </c>
      <c r="C358" t="s">
        <v>467</v>
      </c>
      <c r="D358" t="s">
        <v>468</v>
      </c>
      <c r="E358" t="s">
        <v>469</v>
      </c>
      <c r="F358" t="s">
        <v>17</v>
      </c>
      <c r="G358" t="s">
        <v>18</v>
      </c>
      <c r="H358" s="2">
        <v>46000</v>
      </c>
      <c r="I358">
        <v>163</v>
      </c>
      <c r="J358">
        <v>48</v>
      </c>
      <c r="K358">
        <v>63</v>
      </c>
      <c r="L358" t="s">
        <v>327</v>
      </c>
      <c r="M358">
        <v>6</v>
      </c>
    </row>
    <row r="359" spans="2:13" x14ac:dyDescent="0.25">
      <c r="B359" t="s">
        <v>536</v>
      </c>
      <c r="C359" t="s">
        <v>481</v>
      </c>
      <c r="D359" t="s">
        <v>468</v>
      </c>
      <c r="E359" t="s">
        <v>2</v>
      </c>
      <c r="F359" t="s">
        <v>22</v>
      </c>
      <c r="G359" t="s">
        <v>23</v>
      </c>
      <c r="H359" s="2">
        <v>193000</v>
      </c>
      <c r="I359">
        <v>115</v>
      </c>
      <c r="J359">
        <v>24</v>
      </c>
      <c r="K359">
        <v>37</v>
      </c>
      <c r="L359" t="s">
        <v>221</v>
      </c>
      <c r="M359">
        <v>20</v>
      </c>
    </row>
    <row r="360" spans="2:13" x14ac:dyDescent="0.25">
      <c r="B360" t="s">
        <v>537</v>
      </c>
      <c r="C360" t="s">
        <v>479</v>
      </c>
      <c r="D360" t="s">
        <v>468</v>
      </c>
      <c r="E360" t="s">
        <v>469</v>
      </c>
      <c r="F360" t="s">
        <v>55</v>
      </c>
      <c r="G360" t="s">
        <v>56</v>
      </c>
      <c r="H360" s="2">
        <v>28000</v>
      </c>
      <c r="I360">
        <v>183</v>
      </c>
      <c r="J360">
        <v>32</v>
      </c>
      <c r="K360">
        <v>54</v>
      </c>
      <c r="L360" t="s">
        <v>173</v>
      </c>
      <c r="M360">
        <v>13</v>
      </c>
    </row>
    <row r="361" spans="2:13" x14ac:dyDescent="0.25">
      <c r="B361" t="s">
        <v>538</v>
      </c>
      <c r="C361" t="s">
        <v>490</v>
      </c>
      <c r="D361" t="s">
        <v>468</v>
      </c>
      <c r="E361" t="s">
        <v>355</v>
      </c>
      <c r="F361" t="s">
        <v>81</v>
      </c>
      <c r="G361" t="s">
        <v>82</v>
      </c>
      <c r="H361" s="2">
        <v>28000</v>
      </c>
      <c r="I361">
        <v>188</v>
      </c>
      <c r="J361">
        <v>31</v>
      </c>
      <c r="K361">
        <v>49</v>
      </c>
      <c r="L361" t="s">
        <v>327</v>
      </c>
      <c r="M361">
        <v>14</v>
      </c>
    </row>
    <row r="362" spans="2:13" x14ac:dyDescent="0.25">
      <c r="B362" t="s">
        <v>539</v>
      </c>
      <c r="C362" t="s">
        <v>479</v>
      </c>
      <c r="D362" t="s">
        <v>468</v>
      </c>
      <c r="E362" t="s">
        <v>469</v>
      </c>
      <c r="F362" t="s">
        <v>17</v>
      </c>
      <c r="G362" t="s">
        <v>18</v>
      </c>
      <c r="H362" s="2">
        <v>32000</v>
      </c>
      <c r="I362">
        <v>147</v>
      </c>
      <c r="J362">
        <v>35</v>
      </c>
      <c r="K362">
        <v>47</v>
      </c>
      <c r="L362" t="s">
        <v>327</v>
      </c>
      <c r="M362">
        <v>6</v>
      </c>
    </row>
    <row r="363" spans="2:13" x14ac:dyDescent="0.25">
      <c r="B363" t="s">
        <v>540</v>
      </c>
      <c r="C363" t="s">
        <v>476</v>
      </c>
      <c r="D363" t="s">
        <v>468</v>
      </c>
      <c r="E363" t="s">
        <v>477</v>
      </c>
      <c r="F363" t="s">
        <v>40</v>
      </c>
      <c r="G363" t="s">
        <v>41</v>
      </c>
      <c r="H363" s="2">
        <v>4000</v>
      </c>
      <c r="I363">
        <v>153</v>
      </c>
      <c r="J363">
        <v>31</v>
      </c>
      <c r="K363">
        <v>49</v>
      </c>
      <c r="L363" t="s">
        <v>324</v>
      </c>
      <c r="M363">
        <v>6</v>
      </c>
    </row>
    <row r="364" spans="2:13" x14ac:dyDescent="0.25">
      <c r="B364" t="s">
        <v>541</v>
      </c>
      <c r="C364" t="s">
        <v>490</v>
      </c>
      <c r="D364" t="s">
        <v>468</v>
      </c>
      <c r="E364" t="s">
        <v>355</v>
      </c>
      <c r="F364" t="s">
        <v>85</v>
      </c>
      <c r="G364" t="s">
        <v>86</v>
      </c>
      <c r="H364" s="2">
        <v>23000</v>
      </c>
      <c r="I364">
        <v>75</v>
      </c>
      <c r="J364">
        <v>18</v>
      </c>
      <c r="K364">
        <v>33</v>
      </c>
      <c r="L364" t="s">
        <v>106</v>
      </c>
      <c r="M364">
        <v>13</v>
      </c>
    </row>
    <row r="365" spans="2:13" x14ac:dyDescent="0.25">
      <c r="B365" t="s">
        <v>542</v>
      </c>
      <c r="C365" t="s">
        <v>502</v>
      </c>
      <c r="D365" t="s">
        <v>468</v>
      </c>
      <c r="E365" t="s">
        <v>469</v>
      </c>
      <c r="F365" t="s">
        <v>36</v>
      </c>
      <c r="G365" t="s">
        <v>37</v>
      </c>
      <c r="H365" s="2">
        <v>93000</v>
      </c>
      <c r="I365">
        <v>195</v>
      </c>
      <c r="J365">
        <v>17</v>
      </c>
      <c r="K365">
        <v>48</v>
      </c>
      <c r="L365" t="s">
        <v>57</v>
      </c>
      <c r="M365">
        <v>21</v>
      </c>
    </row>
    <row r="366" spans="2:13" x14ac:dyDescent="0.25">
      <c r="B366" t="s">
        <v>543</v>
      </c>
      <c r="C366" t="s">
        <v>484</v>
      </c>
      <c r="D366" t="s">
        <v>468</v>
      </c>
      <c r="E366" t="s">
        <v>469</v>
      </c>
      <c r="F366" t="s">
        <v>61</v>
      </c>
      <c r="G366" t="s">
        <v>62</v>
      </c>
      <c r="H366" s="2">
        <v>25000</v>
      </c>
      <c r="I366">
        <v>233</v>
      </c>
      <c r="J366">
        <v>9</v>
      </c>
      <c r="K366">
        <v>58</v>
      </c>
      <c r="L366" t="s">
        <v>77</v>
      </c>
      <c r="M366">
        <v>19</v>
      </c>
    </row>
    <row r="367" spans="2:13" x14ac:dyDescent="0.25">
      <c r="B367" t="s">
        <v>544</v>
      </c>
      <c r="C367" t="s">
        <v>488</v>
      </c>
      <c r="D367" t="s">
        <v>468</v>
      </c>
      <c r="E367" t="s">
        <v>469</v>
      </c>
      <c r="F367" t="s">
        <v>22</v>
      </c>
      <c r="G367" t="s">
        <v>23</v>
      </c>
      <c r="H367" s="2">
        <v>152000</v>
      </c>
      <c r="I367">
        <v>63</v>
      </c>
      <c r="J367">
        <v>26</v>
      </c>
      <c r="K367">
        <v>40</v>
      </c>
      <c r="L367" t="s">
        <v>219</v>
      </c>
      <c r="M367">
        <v>8</v>
      </c>
    </row>
    <row r="368" spans="2:13" x14ac:dyDescent="0.25">
      <c r="B368" t="s">
        <v>545</v>
      </c>
      <c r="C368" t="s">
        <v>502</v>
      </c>
      <c r="D368" t="s">
        <v>468</v>
      </c>
      <c r="E368" t="s">
        <v>469</v>
      </c>
      <c r="F368" t="s">
        <v>61</v>
      </c>
      <c r="G368" t="s">
        <v>62</v>
      </c>
      <c r="H368" s="2">
        <v>120000</v>
      </c>
      <c r="I368">
        <v>203</v>
      </c>
      <c r="J368">
        <v>35</v>
      </c>
      <c r="K368">
        <v>50</v>
      </c>
      <c r="L368" t="s">
        <v>183</v>
      </c>
      <c r="M368">
        <v>8</v>
      </c>
    </row>
    <row r="369" spans="2:13" x14ac:dyDescent="0.25">
      <c r="B369" t="s">
        <v>546</v>
      </c>
      <c r="C369" t="s">
        <v>490</v>
      </c>
      <c r="D369" t="s">
        <v>468</v>
      </c>
      <c r="E369" t="s">
        <v>355</v>
      </c>
      <c r="F369" t="s">
        <v>36</v>
      </c>
      <c r="G369" t="s">
        <v>37</v>
      </c>
      <c r="H369" s="2">
        <v>23000</v>
      </c>
      <c r="I369">
        <v>151</v>
      </c>
      <c r="J369">
        <v>25</v>
      </c>
      <c r="K369">
        <v>54</v>
      </c>
      <c r="L369" t="s">
        <v>57</v>
      </c>
      <c r="M369">
        <v>16</v>
      </c>
    </row>
    <row r="370" spans="2:13" x14ac:dyDescent="0.25">
      <c r="B370" t="s">
        <v>547</v>
      </c>
      <c r="C370" t="s">
        <v>481</v>
      </c>
      <c r="D370" t="s">
        <v>468</v>
      </c>
      <c r="E370" t="s">
        <v>2</v>
      </c>
      <c r="F370" t="s">
        <v>40</v>
      </c>
      <c r="G370" t="s">
        <v>41</v>
      </c>
      <c r="H370" s="2">
        <v>263000</v>
      </c>
      <c r="I370">
        <v>88</v>
      </c>
      <c r="J370">
        <v>21</v>
      </c>
      <c r="K370">
        <v>37</v>
      </c>
      <c r="L370" t="s">
        <v>69</v>
      </c>
      <c r="M370">
        <v>16</v>
      </c>
    </row>
    <row r="371" spans="2:13" x14ac:dyDescent="0.25">
      <c r="B371" t="s">
        <v>548</v>
      </c>
      <c r="C371" t="s">
        <v>502</v>
      </c>
      <c r="D371" t="s">
        <v>468</v>
      </c>
      <c r="E371" t="s">
        <v>469</v>
      </c>
      <c r="F371" t="s">
        <v>32</v>
      </c>
      <c r="G371" t="s">
        <v>33</v>
      </c>
      <c r="H371" s="2">
        <v>117000</v>
      </c>
      <c r="I371">
        <v>130</v>
      </c>
      <c r="J371">
        <v>25</v>
      </c>
      <c r="K371">
        <v>36</v>
      </c>
      <c r="L371" t="s">
        <v>181</v>
      </c>
      <c r="M371">
        <v>15</v>
      </c>
    </row>
    <row r="372" spans="2:13" x14ac:dyDescent="0.25">
      <c r="B372" t="s">
        <v>549</v>
      </c>
      <c r="C372" t="s">
        <v>474</v>
      </c>
      <c r="D372" t="s">
        <v>468</v>
      </c>
      <c r="E372" t="s">
        <v>2</v>
      </c>
      <c r="F372" t="s">
        <v>81</v>
      </c>
      <c r="G372" t="s">
        <v>82</v>
      </c>
      <c r="H372" s="2">
        <v>11000</v>
      </c>
      <c r="I372">
        <v>231</v>
      </c>
      <c r="J372">
        <v>19</v>
      </c>
      <c r="K372">
        <v>57</v>
      </c>
      <c r="L372" t="s">
        <v>297</v>
      </c>
      <c r="M372">
        <v>10</v>
      </c>
    </row>
    <row r="373" spans="2:13" x14ac:dyDescent="0.25">
      <c r="B373" t="s">
        <v>550</v>
      </c>
      <c r="C373" t="s">
        <v>481</v>
      </c>
      <c r="D373" t="s">
        <v>468</v>
      </c>
      <c r="E373" t="s">
        <v>2</v>
      </c>
      <c r="F373" t="s">
        <v>32</v>
      </c>
      <c r="G373" t="s">
        <v>33</v>
      </c>
      <c r="H373" s="2">
        <v>293000</v>
      </c>
      <c r="I373">
        <v>85</v>
      </c>
      <c r="J373">
        <v>14</v>
      </c>
      <c r="K373">
        <v>25</v>
      </c>
      <c r="L373" t="s">
        <v>59</v>
      </c>
      <c r="M373">
        <v>14</v>
      </c>
    </row>
    <row r="374" spans="2:13" x14ac:dyDescent="0.25">
      <c r="B374" t="s">
        <v>551</v>
      </c>
      <c r="C374" t="s">
        <v>484</v>
      </c>
      <c r="D374" t="s">
        <v>468</v>
      </c>
      <c r="E374" t="s">
        <v>469</v>
      </c>
      <c r="F374" t="s">
        <v>32</v>
      </c>
      <c r="G374" t="s">
        <v>33</v>
      </c>
      <c r="H374" s="2">
        <v>51000</v>
      </c>
      <c r="I374">
        <v>137</v>
      </c>
      <c r="J374">
        <v>40</v>
      </c>
      <c r="K374">
        <v>65</v>
      </c>
      <c r="L374" t="s">
        <v>230</v>
      </c>
      <c r="M374">
        <v>17</v>
      </c>
    </row>
    <row r="375" spans="2:13" x14ac:dyDescent="0.25">
      <c r="B375" t="s">
        <v>552</v>
      </c>
      <c r="C375" t="s">
        <v>476</v>
      </c>
      <c r="D375" t="s">
        <v>468</v>
      </c>
      <c r="E375" t="s">
        <v>477</v>
      </c>
      <c r="F375" t="s">
        <v>81</v>
      </c>
      <c r="G375" t="s">
        <v>82</v>
      </c>
      <c r="H375" s="2">
        <v>17000</v>
      </c>
      <c r="I375">
        <v>53</v>
      </c>
      <c r="J375">
        <v>27</v>
      </c>
      <c r="K375">
        <v>37</v>
      </c>
      <c r="L375" t="s">
        <v>77</v>
      </c>
      <c r="M375">
        <v>19</v>
      </c>
    </row>
    <row r="376" spans="2:13" x14ac:dyDescent="0.25">
      <c r="B376" t="s">
        <v>553</v>
      </c>
      <c r="C376" t="s">
        <v>476</v>
      </c>
      <c r="D376" t="s">
        <v>468</v>
      </c>
      <c r="E376" t="s">
        <v>477</v>
      </c>
      <c r="F376" t="s">
        <v>22</v>
      </c>
      <c r="G376" t="s">
        <v>23</v>
      </c>
      <c r="H376" s="2">
        <v>8000</v>
      </c>
      <c r="I376">
        <v>244</v>
      </c>
      <c r="J376">
        <v>39</v>
      </c>
      <c r="K376">
        <v>64</v>
      </c>
      <c r="L376" t="s">
        <v>324</v>
      </c>
      <c r="M376">
        <v>3</v>
      </c>
    </row>
    <row r="377" spans="2:13" x14ac:dyDescent="0.25">
      <c r="B377" t="s">
        <v>554</v>
      </c>
      <c r="C377" t="s">
        <v>502</v>
      </c>
      <c r="D377" t="s">
        <v>468</v>
      </c>
      <c r="E377" t="s">
        <v>469</v>
      </c>
      <c r="F377" t="s">
        <v>81</v>
      </c>
      <c r="G377" t="s">
        <v>82</v>
      </c>
      <c r="H377" s="2">
        <v>110000</v>
      </c>
      <c r="I377">
        <v>22</v>
      </c>
      <c r="J377">
        <v>5</v>
      </c>
      <c r="K377">
        <v>23</v>
      </c>
      <c r="L377" t="s">
        <v>265</v>
      </c>
      <c r="M377">
        <v>9</v>
      </c>
    </row>
    <row r="378" spans="2:13" x14ac:dyDescent="0.25">
      <c r="B378" t="s">
        <v>555</v>
      </c>
      <c r="C378" t="s">
        <v>502</v>
      </c>
      <c r="D378" t="s">
        <v>468</v>
      </c>
      <c r="E378" t="s">
        <v>469</v>
      </c>
      <c r="F378" t="s">
        <v>40</v>
      </c>
      <c r="G378" t="s">
        <v>41</v>
      </c>
      <c r="H378" s="2">
        <v>115000</v>
      </c>
      <c r="I378">
        <v>48</v>
      </c>
      <c r="J378">
        <v>5</v>
      </c>
      <c r="K378">
        <v>16</v>
      </c>
      <c r="L378" t="s">
        <v>124</v>
      </c>
      <c r="M378">
        <v>13</v>
      </c>
    </row>
    <row r="379" spans="2:13" x14ac:dyDescent="0.25">
      <c r="B379" t="s">
        <v>556</v>
      </c>
      <c r="C379" t="s">
        <v>474</v>
      </c>
      <c r="D379" t="s">
        <v>468</v>
      </c>
      <c r="E379" t="s">
        <v>2</v>
      </c>
      <c r="F379" t="s">
        <v>55</v>
      </c>
      <c r="G379" t="s">
        <v>56</v>
      </c>
      <c r="H379" s="2">
        <v>11000</v>
      </c>
      <c r="I379">
        <v>173</v>
      </c>
      <c r="J379">
        <v>47</v>
      </c>
      <c r="K379">
        <v>71</v>
      </c>
      <c r="L379" t="s">
        <v>45</v>
      </c>
      <c r="M379">
        <v>17</v>
      </c>
    </row>
    <row r="380" spans="2:13" x14ac:dyDescent="0.25">
      <c r="B380" t="s">
        <v>557</v>
      </c>
      <c r="C380" t="s">
        <v>474</v>
      </c>
      <c r="D380" t="s">
        <v>468</v>
      </c>
      <c r="E380" t="s">
        <v>2</v>
      </c>
      <c r="F380" t="s">
        <v>22</v>
      </c>
      <c r="G380" t="s">
        <v>23</v>
      </c>
      <c r="H380" s="2">
        <v>2000</v>
      </c>
      <c r="I380">
        <v>146</v>
      </c>
      <c r="J380">
        <v>40</v>
      </c>
      <c r="K380">
        <v>58</v>
      </c>
      <c r="L380" t="s">
        <v>297</v>
      </c>
      <c r="M380">
        <v>18</v>
      </c>
    </row>
    <row r="381" spans="2:13" x14ac:dyDescent="0.25">
      <c r="B381" t="s">
        <v>558</v>
      </c>
      <c r="C381" t="s">
        <v>471</v>
      </c>
      <c r="D381" t="s">
        <v>468</v>
      </c>
      <c r="E381" t="s">
        <v>355</v>
      </c>
      <c r="F381" t="s">
        <v>48</v>
      </c>
      <c r="G381" t="s">
        <v>49</v>
      </c>
      <c r="H381" s="2">
        <v>51000</v>
      </c>
      <c r="I381">
        <v>14</v>
      </c>
      <c r="J381">
        <v>37</v>
      </c>
      <c r="K381">
        <v>64</v>
      </c>
      <c r="L381" t="s">
        <v>246</v>
      </c>
      <c r="M381">
        <v>5</v>
      </c>
    </row>
    <row r="382" spans="2:13" x14ac:dyDescent="0.25">
      <c r="B382" t="s">
        <v>559</v>
      </c>
      <c r="C382" t="s">
        <v>502</v>
      </c>
      <c r="D382" t="s">
        <v>468</v>
      </c>
      <c r="E382" t="s">
        <v>469</v>
      </c>
      <c r="F382" t="s">
        <v>61</v>
      </c>
      <c r="G382" t="s">
        <v>62</v>
      </c>
      <c r="H382" s="2">
        <v>92000</v>
      </c>
      <c r="I382">
        <v>48</v>
      </c>
      <c r="J382">
        <v>20</v>
      </c>
      <c r="K382">
        <v>31</v>
      </c>
      <c r="L382" t="s">
        <v>324</v>
      </c>
      <c r="M382">
        <v>10</v>
      </c>
    </row>
    <row r="383" spans="2:13" x14ac:dyDescent="0.25">
      <c r="B383" t="s">
        <v>560</v>
      </c>
      <c r="C383" t="s">
        <v>467</v>
      </c>
      <c r="D383" t="s">
        <v>468</v>
      </c>
      <c r="E383" t="s">
        <v>469</v>
      </c>
      <c r="F383" t="s">
        <v>32</v>
      </c>
      <c r="G383" t="s">
        <v>33</v>
      </c>
      <c r="H383" s="2">
        <v>27000</v>
      </c>
      <c r="I383">
        <v>213</v>
      </c>
      <c r="J383">
        <v>30</v>
      </c>
      <c r="K383">
        <v>53</v>
      </c>
      <c r="L383" t="s">
        <v>119</v>
      </c>
      <c r="M383">
        <v>16</v>
      </c>
    </row>
    <row r="384" spans="2:13" x14ac:dyDescent="0.25">
      <c r="B384" t="s">
        <v>561</v>
      </c>
      <c r="C384" t="s">
        <v>484</v>
      </c>
      <c r="D384" t="s">
        <v>468</v>
      </c>
      <c r="E384" t="s">
        <v>469</v>
      </c>
      <c r="F384" t="s">
        <v>85</v>
      </c>
      <c r="G384" t="s">
        <v>86</v>
      </c>
      <c r="H384" s="2">
        <v>51000</v>
      </c>
      <c r="I384">
        <v>188</v>
      </c>
      <c r="J384">
        <v>19</v>
      </c>
      <c r="K384">
        <v>47</v>
      </c>
      <c r="L384" t="s">
        <v>310</v>
      </c>
      <c r="M384">
        <v>3</v>
      </c>
    </row>
    <row r="385" spans="2:13" x14ac:dyDescent="0.25">
      <c r="B385" t="s">
        <v>562</v>
      </c>
      <c r="C385" t="s">
        <v>502</v>
      </c>
      <c r="D385" t="s">
        <v>468</v>
      </c>
      <c r="E385" t="s">
        <v>469</v>
      </c>
      <c r="F385" t="s">
        <v>55</v>
      </c>
      <c r="G385" t="s">
        <v>56</v>
      </c>
      <c r="H385" s="2">
        <v>76000</v>
      </c>
      <c r="I385">
        <v>107</v>
      </c>
      <c r="J385">
        <v>29</v>
      </c>
      <c r="K385">
        <v>51</v>
      </c>
      <c r="L385" t="s">
        <v>104</v>
      </c>
      <c r="M385">
        <v>2</v>
      </c>
    </row>
    <row r="386" spans="2:13" x14ac:dyDescent="0.25">
      <c r="B386" t="s">
        <v>563</v>
      </c>
      <c r="C386" t="s">
        <v>479</v>
      </c>
      <c r="D386" t="s">
        <v>468</v>
      </c>
      <c r="E386" t="s">
        <v>469</v>
      </c>
      <c r="F386" t="s">
        <v>32</v>
      </c>
      <c r="G386" t="s">
        <v>33</v>
      </c>
      <c r="H386" s="2">
        <v>10000</v>
      </c>
      <c r="I386">
        <v>137</v>
      </c>
      <c r="J386">
        <v>32</v>
      </c>
      <c r="K386">
        <v>57</v>
      </c>
      <c r="L386" t="s">
        <v>287</v>
      </c>
      <c r="M386">
        <v>5</v>
      </c>
    </row>
    <row r="387" spans="2:13" x14ac:dyDescent="0.25">
      <c r="B387" t="s">
        <v>564</v>
      </c>
      <c r="C387" t="s">
        <v>481</v>
      </c>
      <c r="D387" t="s">
        <v>468</v>
      </c>
      <c r="E387" t="s">
        <v>2</v>
      </c>
      <c r="F387" t="s">
        <v>61</v>
      </c>
      <c r="G387" t="s">
        <v>62</v>
      </c>
      <c r="H387" s="2">
        <v>101000</v>
      </c>
      <c r="I387">
        <v>68</v>
      </c>
      <c r="J387">
        <v>18</v>
      </c>
      <c r="K387">
        <v>45</v>
      </c>
      <c r="L387" t="s">
        <v>164</v>
      </c>
      <c r="M387">
        <v>10</v>
      </c>
    </row>
    <row r="388" spans="2:13" x14ac:dyDescent="0.25">
      <c r="B388" t="s">
        <v>565</v>
      </c>
      <c r="C388" t="s">
        <v>474</v>
      </c>
      <c r="D388" t="s">
        <v>468</v>
      </c>
      <c r="E388" t="s">
        <v>2</v>
      </c>
      <c r="F388" t="s">
        <v>61</v>
      </c>
      <c r="G388" t="s">
        <v>62</v>
      </c>
      <c r="H388" s="2">
        <v>3000</v>
      </c>
      <c r="I388">
        <v>185</v>
      </c>
      <c r="J388">
        <v>22</v>
      </c>
      <c r="K388">
        <v>46</v>
      </c>
      <c r="L388" t="s">
        <v>45</v>
      </c>
      <c r="M388">
        <v>3</v>
      </c>
    </row>
    <row r="389" spans="2:13" x14ac:dyDescent="0.25">
      <c r="B389" t="s">
        <v>566</v>
      </c>
      <c r="C389" t="s">
        <v>479</v>
      </c>
      <c r="D389" t="s">
        <v>468</v>
      </c>
      <c r="E389" t="s">
        <v>469</v>
      </c>
      <c r="F389" t="s">
        <v>61</v>
      </c>
      <c r="G389" t="s">
        <v>62</v>
      </c>
      <c r="H389" s="2">
        <v>35000</v>
      </c>
      <c r="I389">
        <v>90</v>
      </c>
      <c r="J389">
        <v>6</v>
      </c>
      <c r="K389">
        <v>22</v>
      </c>
      <c r="L389" t="s">
        <v>64</v>
      </c>
      <c r="M389">
        <v>14</v>
      </c>
    </row>
    <row r="390" spans="2:13" x14ac:dyDescent="0.25">
      <c r="B390" t="s">
        <v>567</v>
      </c>
      <c r="C390" t="s">
        <v>502</v>
      </c>
      <c r="D390" t="s">
        <v>468</v>
      </c>
      <c r="E390" t="s">
        <v>469</v>
      </c>
      <c r="F390" t="s">
        <v>61</v>
      </c>
      <c r="G390" t="s">
        <v>62</v>
      </c>
      <c r="H390" s="2">
        <v>63000</v>
      </c>
      <c r="I390">
        <v>51</v>
      </c>
      <c r="J390">
        <v>41</v>
      </c>
      <c r="K390">
        <v>53</v>
      </c>
      <c r="L390" t="s">
        <v>152</v>
      </c>
      <c r="M390">
        <v>19</v>
      </c>
    </row>
    <row r="391" spans="2:13" x14ac:dyDescent="0.25">
      <c r="B391" t="s">
        <v>568</v>
      </c>
      <c r="C391" t="s">
        <v>467</v>
      </c>
      <c r="D391" t="s">
        <v>468</v>
      </c>
      <c r="E391" t="s">
        <v>469</v>
      </c>
      <c r="F391" t="s">
        <v>85</v>
      </c>
      <c r="G391" t="s">
        <v>86</v>
      </c>
      <c r="H391" s="2">
        <v>34000</v>
      </c>
      <c r="I391">
        <v>203</v>
      </c>
      <c r="J391">
        <v>13</v>
      </c>
      <c r="K391">
        <v>50</v>
      </c>
      <c r="L391" t="s">
        <v>133</v>
      </c>
      <c r="M391">
        <v>13</v>
      </c>
    </row>
    <row r="392" spans="2:13" x14ac:dyDescent="0.25">
      <c r="B392" t="s">
        <v>569</v>
      </c>
      <c r="C392" t="s">
        <v>474</v>
      </c>
      <c r="D392" t="s">
        <v>468</v>
      </c>
      <c r="E392" t="s">
        <v>2</v>
      </c>
      <c r="F392" t="s">
        <v>32</v>
      </c>
      <c r="G392" t="s">
        <v>33</v>
      </c>
      <c r="H392" s="2">
        <v>3000</v>
      </c>
      <c r="I392">
        <v>121</v>
      </c>
      <c r="J392">
        <v>19</v>
      </c>
      <c r="K392">
        <v>30</v>
      </c>
      <c r="L392" t="s">
        <v>161</v>
      </c>
      <c r="M392">
        <v>21</v>
      </c>
    </row>
    <row r="393" spans="2:13" x14ac:dyDescent="0.25">
      <c r="B393" t="s">
        <v>570</v>
      </c>
      <c r="C393" t="s">
        <v>484</v>
      </c>
      <c r="D393" t="s">
        <v>468</v>
      </c>
      <c r="E393" t="s">
        <v>469</v>
      </c>
      <c r="F393" t="s">
        <v>36</v>
      </c>
      <c r="G393" t="s">
        <v>37</v>
      </c>
      <c r="H393" s="2">
        <v>70000</v>
      </c>
      <c r="I393">
        <v>208</v>
      </c>
      <c r="J393">
        <v>25</v>
      </c>
      <c r="K393">
        <v>52</v>
      </c>
      <c r="L393" t="s">
        <v>106</v>
      </c>
      <c r="M393">
        <v>17</v>
      </c>
    </row>
    <row r="394" spans="2:13" x14ac:dyDescent="0.25">
      <c r="B394" t="s">
        <v>571</v>
      </c>
      <c r="C394" t="s">
        <v>488</v>
      </c>
      <c r="D394" t="s">
        <v>468</v>
      </c>
      <c r="E394" t="s">
        <v>469</v>
      </c>
      <c r="F394" t="s">
        <v>81</v>
      </c>
      <c r="G394" t="s">
        <v>82</v>
      </c>
      <c r="H394" s="2">
        <v>121000</v>
      </c>
      <c r="I394">
        <v>151</v>
      </c>
      <c r="J394">
        <v>29</v>
      </c>
      <c r="K394">
        <v>47</v>
      </c>
      <c r="L394" t="s">
        <v>289</v>
      </c>
      <c r="M394">
        <v>20</v>
      </c>
    </row>
    <row r="395" spans="2:13" x14ac:dyDescent="0.25">
      <c r="B395" t="s">
        <v>572</v>
      </c>
      <c r="C395" t="s">
        <v>490</v>
      </c>
      <c r="D395" t="s">
        <v>468</v>
      </c>
      <c r="E395" t="s">
        <v>355</v>
      </c>
      <c r="F395" t="s">
        <v>17</v>
      </c>
      <c r="G395" t="s">
        <v>18</v>
      </c>
      <c r="H395" s="2">
        <v>13000</v>
      </c>
      <c r="I395">
        <v>207</v>
      </c>
      <c r="J395">
        <v>44</v>
      </c>
      <c r="K395">
        <v>58</v>
      </c>
      <c r="L395" t="s">
        <v>27</v>
      </c>
      <c r="M395">
        <v>4</v>
      </c>
    </row>
    <row r="396" spans="2:13" x14ac:dyDescent="0.25">
      <c r="B396" t="s">
        <v>573</v>
      </c>
      <c r="C396" t="s">
        <v>502</v>
      </c>
      <c r="D396" t="s">
        <v>468</v>
      </c>
      <c r="E396" t="s">
        <v>469</v>
      </c>
      <c r="F396" t="s">
        <v>81</v>
      </c>
      <c r="G396" t="s">
        <v>82</v>
      </c>
      <c r="H396" s="2">
        <v>59000</v>
      </c>
      <c r="I396">
        <v>49</v>
      </c>
      <c r="J396">
        <v>29</v>
      </c>
      <c r="K396">
        <v>56</v>
      </c>
      <c r="L396" t="s">
        <v>574</v>
      </c>
      <c r="M396">
        <v>14</v>
      </c>
    </row>
    <row r="397" spans="2:13" x14ac:dyDescent="0.25">
      <c r="B397" t="s">
        <v>575</v>
      </c>
      <c r="C397" t="s">
        <v>467</v>
      </c>
      <c r="D397" t="s">
        <v>468</v>
      </c>
      <c r="E397" t="s">
        <v>469</v>
      </c>
      <c r="F397" t="s">
        <v>36</v>
      </c>
      <c r="G397" t="s">
        <v>37</v>
      </c>
      <c r="H397" s="2">
        <v>33000</v>
      </c>
      <c r="I397">
        <v>37</v>
      </c>
      <c r="J397">
        <v>10</v>
      </c>
      <c r="K397">
        <v>15</v>
      </c>
      <c r="L397" t="s">
        <v>108</v>
      </c>
      <c r="M397">
        <v>13</v>
      </c>
    </row>
    <row r="398" spans="2:13" x14ac:dyDescent="0.25">
      <c r="B398" t="s">
        <v>576</v>
      </c>
      <c r="C398" t="s">
        <v>471</v>
      </c>
      <c r="D398" t="s">
        <v>468</v>
      </c>
      <c r="E398" t="s">
        <v>355</v>
      </c>
      <c r="F398" t="s">
        <v>48</v>
      </c>
      <c r="G398" t="s">
        <v>49</v>
      </c>
      <c r="H398" s="2">
        <v>28000</v>
      </c>
      <c r="I398">
        <v>43</v>
      </c>
      <c r="J398">
        <v>10</v>
      </c>
      <c r="K398">
        <v>20</v>
      </c>
      <c r="L398" t="s">
        <v>106</v>
      </c>
      <c r="M398">
        <v>19</v>
      </c>
    </row>
    <row r="399" spans="2:13" x14ac:dyDescent="0.25">
      <c r="B399" t="s">
        <v>577</v>
      </c>
      <c r="C399" t="s">
        <v>481</v>
      </c>
      <c r="D399" t="s">
        <v>468</v>
      </c>
      <c r="E399" t="s">
        <v>2</v>
      </c>
      <c r="F399" t="s">
        <v>85</v>
      </c>
      <c r="G399" t="s">
        <v>86</v>
      </c>
      <c r="H399" s="2">
        <v>342000</v>
      </c>
      <c r="I399">
        <v>114</v>
      </c>
      <c r="J399">
        <v>11</v>
      </c>
      <c r="K399">
        <v>28</v>
      </c>
      <c r="L399" t="s">
        <v>102</v>
      </c>
      <c r="M399">
        <v>19</v>
      </c>
    </row>
    <row r="400" spans="2:13" x14ac:dyDescent="0.25">
      <c r="B400" t="s">
        <v>578</v>
      </c>
      <c r="C400" t="s">
        <v>502</v>
      </c>
      <c r="D400" t="s">
        <v>468</v>
      </c>
      <c r="E400" t="s">
        <v>469</v>
      </c>
      <c r="F400" t="s">
        <v>22</v>
      </c>
      <c r="G400" t="s">
        <v>23</v>
      </c>
      <c r="H400" s="2">
        <v>101000</v>
      </c>
      <c r="I400">
        <v>163</v>
      </c>
      <c r="J400">
        <v>25</v>
      </c>
      <c r="K400">
        <v>42</v>
      </c>
      <c r="L400" t="s">
        <v>42</v>
      </c>
      <c r="M400">
        <v>15</v>
      </c>
    </row>
    <row r="401" spans="2:13" x14ac:dyDescent="0.25">
      <c r="B401" t="s">
        <v>579</v>
      </c>
      <c r="C401" t="s">
        <v>490</v>
      </c>
      <c r="D401" t="s">
        <v>468</v>
      </c>
      <c r="E401" t="s">
        <v>355</v>
      </c>
      <c r="F401" t="s">
        <v>61</v>
      </c>
      <c r="G401" t="s">
        <v>62</v>
      </c>
      <c r="H401" s="2">
        <v>13000</v>
      </c>
      <c r="I401">
        <v>195</v>
      </c>
      <c r="J401">
        <v>40</v>
      </c>
      <c r="K401">
        <v>52</v>
      </c>
      <c r="L401" t="s">
        <v>93</v>
      </c>
      <c r="M401">
        <v>7</v>
      </c>
    </row>
    <row r="402" spans="2:13" x14ac:dyDescent="0.25">
      <c r="B402" t="s">
        <v>580</v>
      </c>
      <c r="C402" t="s">
        <v>490</v>
      </c>
      <c r="D402" t="s">
        <v>468</v>
      </c>
      <c r="E402" t="s">
        <v>355</v>
      </c>
      <c r="F402" t="s">
        <v>36</v>
      </c>
      <c r="G402" t="s">
        <v>37</v>
      </c>
      <c r="H402" s="2">
        <v>18000</v>
      </c>
      <c r="I402">
        <v>45</v>
      </c>
      <c r="J402">
        <v>22</v>
      </c>
      <c r="K402">
        <v>36</v>
      </c>
      <c r="L402" t="s">
        <v>69</v>
      </c>
      <c r="M402">
        <v>6</v>
      </c>
    </row>
    <row r="403" spans="2:13" x14ac:dyDescent="0.25">
      <c r="B403" t="s">
        <v>581</v>
      </c>
      <c r="C403" t="s">
        <v>582</v>
      </c>
      <c r="D403" t="s">
        <v>583</v>
      </c>
      <c r="E403" t="s">
        <v>2</v>
      </c>
      <c r="F403" t="s">
        <v>36</v>
      </c>
      <c r="G403" t="s">
        <v>37</v>
      </c>
      <c r="H403" s="2">
        <v>87000</v>
      </c>
      <c r="I403">
        <v>121</v>
      </c>
      <c r="J403">
        <v>22</v>
      </c>
      <c r="K403">
        <v>40</v>
      </c>
      <c r="L403" t="s">
        <v>512</v>
      </c>
      <c r="M403">
        <v>4</v>
      </c>
    </row>
    <row r="404" spans="2:13" x14ac:dyDescent="0.25">
      <c r="B404" t="s">
        <v>584</v>
      </c>
      <c r="C404" t="s">
        <v>585</v>
      </c>
      <c r="D404" t="s">
        <v>583</v>
      </c>
      <c r="E404" t="s">
        <v>355</v>
      </c>
      <c r="F404" t="s">
        <v>61</v>
      </c>
      <c r="G404" t="s">
        <v>62</v>
      </c>
      <c r="H404" s="2">
        <v>16000</v>
      </c>
      <c r="I404">
        <v>73</v>
      </c>
      <c r="J404">
        <v>45</v>
      </c>
      <c r="K404">
        <v>65</v>
      </c>
      <c r="L404" t="s">
        <v>129</v>
      </c>
      <c r="M404">
        <v>8</v>
      </c>
    </row>
    <row r="405" spans="2:13" x14ac:dyDescent="0.25">
      <c r="B405" t="s">
        <v>586</v>
      </c>
      <c r="C405" t="s">
        <v>587</v>
      </c>
      <c r="D405" t="s">
        <v>583</v>
      </c>
      <c r="E405" t="s">
        <v>2</v>
      </c>
      <c r="F405" t="s">
        <v>48</v>
      </c>
      <c r="G405" t="s">
        <v>49</v>
      </c>
      <c r="H405" s="2">
        <v>16000</v>
      </c>
      <c r="I405">
        <v>44</v>
      </c>
      <c r="J405">
        <v>24</v>
      </c>
      <c r="K405">
        <v>29</v>
      </c>
      <c r="L405" t="s">
        <v>166</v>
      </c>
      <c r="M405">
        <v>21</v>
      </c>
    </row>
    <row r="406" spans="2:13" x14ac:dyDescent="0.25">
      <c r="B406" t="s">
        <v>588</v>
      </c>
      <c r="C406" t="s">
        <v>589</v>
      </c>
      <c r="D406" t="s">
        <v>583</v>
      </c>
      <c r="E406" t="s">
        <v>469</v>
      </c>
      <c r="F406" t="s">
        <v>61</v>
      </c>
      <c r="G406" t="s">
        <v>62</v>
      </c>
      <c r="H406" s="2">
        <v>15000</v>
      </c>
      <c r="I406">
        <v>122</v>
      </c>
      <c r="J406">
        <v>26</v>
      </c>
      <c r="K406">
        <v>44</v>
      </c>
      <c r="L406" t="s">
        <v>19</v>
      </c>
      <c r="M406">
        <v>11</v>
      </c>
    </row>
    <row r="407" spans="2:13" x14ac:dyDescent="0.25">
      <c r="B407" t="s">
        <v>590</v>
      </c>
      <c r="C407" t="s">
        <v>585</v>
      </c>
      <c r="D407" t="s">
        <v>583</v>
      </c>
      <c r="E407" t="s">
        <v>355</v>
      </c>
      <c r="F407" t="s">
        <v>32</v>
      </c>
      <c r="G407" t="s">
        <v>33</v>
      </c>
      <c r="H407" s="2">
        <v>27000</v>
      </c>
      <c r="I407">
        <v>187</v>
      </c>
      <c r="J407">
        <v>17</v>
      </c>
      <c r="K407">
        <v>46</v>
      </c>
      <c r="L407" t="s">
        <v>246</v>
      </c>
      <c r="M407">
        <v>14</v>
      </c>
    </row>
    <row r="408" spans="2:13" x14ac:dyDescent="0.25">
      <c r="B408" t="s">
        <v>591</v>
      </c>
      <c r="C408" t="s">
        <v>585</v>
      </c>
      <c r="D408" t="s">
        <v>583</v>
      </c>
      <c r="E408" t="s">
        <v>355</v>
      </c>
      <c r="F408" t="s">
        <v>55</v>
      </c>
      <c r="G408" t="s">
        <v>56</v>
      </c>
      <c r="H408" s="2">
        <v>17000</v>
      </c>
      <c r="I408">
        <v>198</v>
      </c>
      <c r="J408">
        <v>49</v>
      </c>
      <c r="K408">
        <v>74</v>
      </c>
      <c r="L408" t="s">
        <v>368</v>
      </c>
      <c r="M408">
        <v>9</v>
      </c>
    </row>
    <row r="409" spans="2:13" x14ac:dyDescent="0.25">
      <c r="B409" t="s">
        <v>592</v>
      </c>
      <c r="C409" t="s">
        <v>585</v>
      </c>
      <c r="D409" t="s">
        <v>583</v>
      </c>
      <c r="E409" t="s">
        <v>355</v>
      </c>
      <c r="F409" t="s">
        <v>85</v>
      </c>
      <c r="G409" t="s">
        <v>86</v>
      </c>
      <c r="H409" s="2">
        <v>20000</v>
      </c>
      <c r="I409">
        <v>81</v>
      </c>
      <c r="J409">
        <v>30</v>
      </c>
      <c r="K409">
        <v>46</v>
      </c>
      <c r="L409" t="s">
        <v>287</v>
      </c>
      <c r="M409">
        <v>8</v>
      </c>
    </row>
    <row r="410" spans="2:13" x14ac:dyDescent="0.25">
      <c r="B410" t="s">
        <v>593</v>
      </c>
      <c r="C410" t="s">
        <v>594</v>
      </c>
      <c r="D410" t="s">
        <v>583</v>
      </c>
      <c r="E410" t="s">
        <v>595</v>
      </c>
      <c r="F410" t="s">
        <v>40</v>
      </c>
      <c r="G410" t="s">
        <v>41</v>
      </c>
      <c r="H410" s="2">
        <v>12000</v>
      </c>
      <c r="I410">
        <v>56</v>
      </c>
      <c r="J410">
        <v>48</v>
      </c>
      <c r="K410">
        <v>77</v>
      </c>
      <c r="L410" t="s">
        <v>149</v>
      </c>
      <c r="M410">
        <v>16</v>
      </c>
    </row>
    <row r="411" spans="2:13" x14ac:dyDescent="0.25">
      <c r="B411" t="s">
        <v>596</v>
      </c>
      <c r="C411" t="s">
        <v>597</v>
      </c>
      <c r="D411" t="s">
        <v>583</v>
      </c>
      <c r="E411" t="s">
        <v>355</v>
      </c>
      <c r="F411" t="s">
        <v>85</v>
      </c>
      <c r="G411" t="s">
        <v>86</v>
      </c>
      <c r="H411" s="2">
        <v>43000</v>
      </c>
      <c r="I411">
        <v>214</v>
      </c>
      <c r="J411">
        <v>23</v>
      </c>
      <c r="K411">
        <v>53</v>
      </c>
      <c r="L411" t="s">
        <v>142</v>
      </c>
      <c r="M411">
        <v>17</v>
      </c>
    </row>
    <row r="412" spans="2:13" x14ac:dyDescent="0.25">
      <c r="B412" t="s">
        <v>598</v>
      </c>
      <c r="C412" t="s">
        <v>599</v>
      </c>
      <c r="D412" t="s">
        <v>583</v>
      </c>
      <c r="E412" t="s">
        <v>2</v>
      </c>
      <c r="F412" t="s">
        <v>81</v>
      </c>
      <c r="G412" t="s">
        <v>82</v>
      </c>
      <c r="H412" s="2">
        <v>116000</v>
      </c>
      <c r="I412">
        <v>87</v>
      </c>
      <c r="J412">
        <v>20</v>
      </c>
      <c r="K412">
        <v>33</v>
      </c>
      <c r="L412" t="s">
        <v>27</v>
      </c>
      <c r="M412">
        <v>15</v>
      </c>
    </row>
    <row r="413" spans="2:13" x14ac:dyDescent="0.25">
      <c r="B413" t="s">
        <v>600</v>
      </c>
      <c r="C413" t="s">
        <v>589</v>
      </c>
      <c r="D413" t="s">
        <v>583</v>
      </c>
      <c r="E413" t="s">
        <v>469</v>
      </c>
      <c r="F413" t="s">
        <v>61</v>
      </c>
      <c r="G413" t="s">
        <v>62</v>
      </c>
      <c r="H413" s="2">
        <v>7000</v>
      </c>
      <c r="I413">
        <v>124</v>
      </c>
      <c r="J413">
        <v>43</v>
      </c>
      <c r="K413">
        <v>63</v>
      </c>
      <c r="L413" t="s">
        <v>119</v>
      </c>
      <c r="M413">
        <v>19</v>
      </c>
    </row>
    <row r="414" spans="2:13" x14ac:dyDescent="0.25">
      <c r="B414" t="s">
        <v>601</v>
      </c>
      <c r="C414" t="s">
        <v>602</v>
      </c>
      <c r="D414" t="s">
        <v>583</v>
      </c>
      <c r="E414" t="s">
        <v>2</v>
      </c>
      <c r="F414" t="s">
        <v>32</v>
      </c>
      <c r="G414" t="s">
        <v>33</v>
      </c>
      <c r="H414" s="2">
        <v>222000</v>
      </c>
      <c r="I414">
        <v>117</v>
      </c>
      <c r="J414">
        <v>39</v>
      </c>
      <c r="K414">
        <v>45</v>
      </c>
      <c r="L414" t="s">
        <v>52</v>
      </c>
      <c r="M414">
        <v>19</v>
      </c>
    </row>
    <row r="415" spans="2:13" x14ac:dyDescent="0.25">
      <c r="B415" t="s">
        <v>603</v>
      </c>
      <c r="C415" t="s">
        <v>594</v>
      </c>
      <c r="D415" t="s">
        <v>583</v>
      </c>
      <c r="E415" t="s">
        <v>595</v>
      </c>
      <c r="F415" t="s">
        <v>17</v>
      </c>
      <c r="G415" t="s">
        <v>18</v>
      </c>
      <c r="H415" s="2">
        <v>14000</v>
      </c>
      <c r="I415">
        <v>244</v>
      </c>
      <c r="J415">
        <v>10</v>
      </c>
      <c r="K415">
        <v>61</v>
      </c>
      <c r="L415" t="s">
        <v>45</v>
      </c>
      <c r="M415">
        <v>13</v>
      </c>
    </row>
    <row r="416" spans="2:13" x14ac:dyDescent="0.25">
      <c r="B416" t="s">
        <v>604</v>
      </c>
      <c r="C416" t="s">
        <v>599</v>
      </c>
      <c r="D416" t="s">
        <v>583</v>
      </c>
      <c r="E416" t="s">
        <v>2</v>
      </c>
      <c r="F416" t="s">
        <v>48</v>
      </c>
      <c r="G416" t="s">
        <v>49</v>
      </c>
      <c r="H416" s="2">
        <v>117000</v>
      </c>
      <c r="I416">
        <v>166</v>
      </c>
      <c r="J416">
        <v>7</v>
      </c>
      <c r="K416">
        <v>41</v>
      </c>
      <c r="L416" t="s">
        <v>110</v>
      </c>
      <c r="M416">
        <v>12</v>
      </c>
    </row>
    <row r="417" spans="2:13" x14ac:dyDescent="0.25">
      <c r="B417" t="s">
        <v>605</v>
      </c>
      <c r="C417" t="s">
        <v>589</v>
      </c>
      <c r="D417" t="s">
        <v>583</v>
      </c>
      <c r="E417" t="s">
        <v>469</v>
      </c>
      <c r="F417" t="s">
        <v>17</v>
      </c>
      <c r="G417" t="s">
        <v>18</v>
      </c>
      <c r="H417" s="2">
        <v>8000</v>
      </c>
      <c r="I417">
        <v>12</v>
      </c>
      <c r="J417">
        <v>11</v>
      </c>
      <c r="K417">
        <v>24</v>
      </c>
      <c r="L417" t="s">
        <v>117</v>
      </c>
      <c r="M417">
        <v>18</v>
      </c>
    </row>
    <row r="418" spans="2:13" x14ac:dyDescent="0.25">
      <c r="B418" t="s">
        <v>606</v>
      </c>
      <c r="C418" t="s">
        <v>602</v>
      </c>
      <c r="D418" t="s">
        <v>583</v>
      </c>
      <c r="E418" t="s">
        <v>2</v>
      </c>
      <c r="F418" t="s">
        <v>55</v>
      </c>
      <c r="G418" t="s">
        <v>56</v>
      </c>
      <c r="H418" s="2">
        <v>193000</v>
      </c>
      <c r="I418">
        <v>186</v>
      </c>
      <c r="J418">
        <v>41</v>
      </c>
      <c r="K418">
        <v>53</v>
      </c>
      <c r="L418" t="s">
        <v>314</v>
      </c>
      <c r="M418">
        <v>14</v>
      </c>
    </row>
    <row r="419" spans="2:13" x14ac:dyDescent="0.25">
      <c r="B419" t="s">
        <v>607</v>
      </c>
      <c r="C419" t="s">
        <v>587</v>
      </c>
      <c r="D419" t="s">
        <v>583</v>
      </c>
      <c r="E419" t="s">
        <v>2</v>
      </c>
      <c r="F419" t="s">
        <v>32</v>
      </c>
      <c r="G419" t="s">
        <v>33</v>
      </c>
      <c r="H419" s="2">
        <v>47000</v>
      </c>
      <c r="I419">
        <v>186</v>
      </c>
      <c r="J419">
        <v>37</v>
      </c>
      <c r="K419">
        <v>46</v>
      </c>
      <c r="L419" t="s">
        <v>149</v>
      </c>
      <c r="M419">
        <v>17</v>
      </c>
    </row>
    <row r="420" spans="2:13" x14ac:dyDescent="0.25">
      <c r="B420" t="s">
        <v>608</v>
      </c>
      <c r="C420" t="s">
        <v>582</v>
      </c>
      <c r="D420" t="s">
        <v>583</v>
      </c>
      <c r="E420" t="s">
        <v>2</v>
      </c>
      <c r="F420" t="s">
        <v>81</v>
      </c>
      <c r="G420" t="s">
        <v>82</v>
      </c>
      <c r="H420" s="2">
        <v>120000</v>
      </c>
      <c r="I420">
        <v>116</v>
      </c>
      <c r="J420">
        <v>10</v>
      </c>
      <c r="K420">
        <v>29</v>
      </c>
      <c r="L420" t="s">
        <v>206</v>
      </c>
      <c r="M420">
        <v>11</v>
      </c>
    </row>
    <row r="421" spans="2:13" x14ac:dyDescent="0.25">
      <c r="B421" t="s">
        <v>609</v>
      </c>
      <c r="C421" t="s">
        <v>585</v>
      </c>
      <c r="D421" t="s">
        <v>583</v>
      </c>
      <c r="E421" t="s">
        <v>355</v>
      </c>
      <c r="F421" t="s">
        <v>55</v>
      </c>
      <c r="G421" t="s">
        <v>56</v>
      </c>
      <c r="H421" s="2">
        <v>22000</v>
      </c>
      <c r="I421">
        <v>210</v>
      </c>
      <c r="J421">
        <v>18</v>
      </c>
      <c r="K421">
        <v>52</v>
      </c>
      <c r="L421" t="s">
        <v>206</v>
      </c>
      <c r="M421">
        <v>17</v>
      </c>
    </row>
    <row r="422" spans="2:13" x14ac:dyDescent="0.25">
      <c r="B422" t="s">
        <v>610</v>
      </c>
      <c r="C422" t="s">
        <v>582</v>
      </c>
      <c r="D422" t="s">
        <v>583</v>
      </c>
      <c r="E422" t="s">
        <v>2</v>
      </c>
      <c r="F422" t="s">
        <v>32</v>
      </c>
      <c r="G422" t="s">
        <v>33</v>
      </c>
      <c r="H422" s="2">
        <v>157000</v>
      </c>
      <c r="I422">
        <v>194</v>
      </c>
      <c r="J422">
        <v>49</v>
      </c>
      <c r="K422">
        <v>68</v>
      </c>
      <c r="L422" t="s">
        <v>147</v>
      </c>
      <c r="M422">
        <v>11</v>
      </c>
    </row>
    <row r="423" spans="2:13" x14ac:dyDescent="0.25">
      <c r="B423" t="s">
        <v>611</v>
      </c>
      <c r="C423" t="s">
        <v>612</v>
      </c>
      <c r="D423" t="s">
        <v>583</v>
      </c>
      <c r="E423" t="s">
        <v>2</v>
      </c>
      <c r="F423" t="s">
        <v>85</v>
      </c>
      <c r="G423" t="s">
        <v>86</v>
      </c>
      <c r="H423" s="2">
        <v>57000</v>
      </c>
      <c r="I423">
        <v>39</v>
      </c>
      <c r="J423">
        <v>6</v>
      </c>
      <c r="K423">
        <v>21</v>
      </c>
      <c r="L423" t="s">
        <v>305</v>
      </c>
      <c r="M423">
        <v>7</v>
      </c>
    </row>
    <row r="424" spans="2:13" x14ac:dyDescent="0.25">
      <c r="B424" t="s">
        <v>613</v>
      </c>
      <c r="C424" t="s">
        <v>597</v>
      </c>
      <c r="D424" t="s">
        <v>583</v>
      </c>
      <c r="E424" t="s">
        <v>355</v>
      </c>
      <c r="F424" t="s">
        <v>32</v>
      </c>
      <c r="G424" t="s">
        <v>33</v>
      </c>
      <c r="H424" s="2">
        <v>48000</v>
      </c>
      <c r="I424">
        <v>54</v>
      </c>
      <c r="J424">
        <v>40</v>
      </c>
      <c r="K424">
        <v>50</v>
      </c>
      <c r="L424" t="s">
        <v>221</v>
      </c>
      <c r="M424">
        <v>15</v>
      </c>
    </row>
    <row r="425" spans="2:13" x14ac:dyDescent="0.25">
      <c r="B425" t="s">
        <v>614</v>
      </c>
      <c r="C425" t="s">
        <v>587</v>
      </c>
      <c r="D425" t="s">
        <v>583</v>
      </c>
      <c r="E425" t="s">
        <v>2</v>
      </c>
      <c r="F425" t="s">
        <v>81</v>
      </c>
      <c r="G425" t="s">
        <v>82</v>
      </c>
      <c r="H425" s="2">
        <v>24000</v>
      </c>
      <c r="I425">
        <v>214</v>
      </c>
      <c r="J425">
        <v>30</v>
      </c>
      <c r="K425">
        <v>55</v>
      </c>
      <c r="L425" t="s">
        <v>193</v>
      </c>
      <c r="M425">
        <v>15</v>
      </c>
    </row>
    <row r="426" spans="2:13" x14ac:dyDescent="0.25">
      <c r="B426" t="s">
        <v>615</v>
      </c>
      <c r="C426" t="s">
        <v>589</v>
      </c>
      <c r="D426" t="s">
        <v>583</v>
      </c>
      <c r="E426" t="s">
        <v>469</v>
      </c>
      <c r="F426" t="s">
        <v>55</v>
      </c>
      <c r="G426" t="s">
        <v>56</v>
      </c>
      <c r="H426" s="2">
        <v>5000</v>
      </c>
      <c r="I426">
        <v>198</v>
      </c>
      <c r="J426">
        <v>44</v>
      </c>
      <c r="K426">
        <v>55</v>
      </c>
      <c r="L426" t="s">
        <v>95</v>
      </c>
      <c r="M426">
        <v>15</v>
      </c>
    </row>
    <row r="427" spans="2:13" x14ac:dyDescent="0.25">
      <c r="B427" t="s">
        <v>616</v>
      </c>
      <c r="C427" t="s">
        <v>589</v>
      </c>
      <c r="D427" t="s">
        <v>583</v>
      </c>
      <c r="E427" t="s">
        <v>469</v>
      </c>
      <c r="F427" t="s">
        <v>36</v>
      </c>
      <c r="G427" t="s">
        <v>37</v>
      </c>
      <c r="H427" s="2">
        <v>5000</v>
      </c>
      <c r="I427">
        <v>190</v>
      </c>
      <c r="J427">
        <v>18</v>
      </c>
      <c r="K427">
        <v>47</v>
      </c>
      <c r="L427" t="s">
        <v>110</v>
      </c>
      <c r="M427">
        <v>4</v>
      </c>
    </row>
    <row r="428" spans="2:13" x14ac:dyDescent="0.25">
      <c r="B428" t="s">
        <v>617</v>
      </c>
      <c r="C428" t="s">
        <v>594</v>
      </c>
      <c r="D428" t="s">
        <v>583</v>
      </c>
      <c r="E428" t="s">
        <v>595</v>
      </c>
      <c r="F428" t="s">
        <v>32</v>
      </c>
      <c r="G428" t="s">
        <v>33</v>
      </c>
      <c r="H428" s="2">
        <v>5000</v>
      </c>
      <c r="I428">
        <v>214</v>
      </c>
      <c r="J428">
        <v>39</v>
      </c>
      <c r="K428">
        <v>53</v>
      </c>
      <c r="L428" t="s">
        <v>259</v>
      </c>
      <c r="M428">
        <v>8</v>
      </c>
    </row>
    <row r="429" spans="2:13" x14ac:dyDescent="0.25">
      <c r="B429" t="s">
        <v>618</v>
      </c>
      <c r="C429" t="s">
        <v>587</v>
      </c>
      <c r="D429" t="s">
        <v>583</v>
      </c>
      <c r="E429" t="s">
        <v>2</v>
      </c>
      <c r="F429" t="s">
        <v>40</v>
      </c>
      <c r="G429" t="s">
        <v>41</v>
      </c>
      <c r="H429" s="2">
        <v>17000</v>
      </c>
      <c r="I429">
        <v>77</v>
      </c>
      <c r="J429">
        <v>47</v>
      </c>
      <c r="K429">
        <v>67</v>
      </c>
      <c r="L429" t="s">
        <v>79</v>
      </c>
      <c r="M429">
        <v>12</v>
      </c>
    </row>
    <row r="430" spans="2:13" x14ac:dyDescent="0.25">
      <c r="B430" t="s">
        <v>619</v>
      </c>
      <c r="C430" t="s">
        <v>594</v>
      </c>
      <c r="D430" t="s">
        <v>583</v>
      </c>
      <c r="E430" t="s">
        <v>595</v>
      </c>
      <c r="F430" t="s">
        <v>85</v>
      </c>
      <c r="G430" t="s">
        <v>86</v>
      </c>
      <c r="H430" s="2">
        <v>10000</v>
      </c>
      <c r="I430">
        <v>166</v>
      </c>
      <c r="J430">
        <v>30</v>
      </c>
      <c r="K430">
        <v>53</v>
      </c>
      <c r="L430" t="s">
        <v>206</v>
      </c>
      <c r="M430">
        <v>13</v>
      </c>
    </row>
    <row r="431" spans="2:13" x14ac:dyDescent="0.25">
      <c r="B431" t="s">
        <v>620</v>
      </c>
      <c r="C431" t="s">
        <v>587</v>
      </c>
      <c r="D431" t="s">
        <v>583</v>
      </c>
      <c r="E431" t="s">
        <v>2</v>
      </c>
      <c r="F431" t="s">
        <v>36</v>
      </c>
      <c r="G431" t="s">
        <v>37</v>
      </c>
      <c r="H431" s="2">
        <v>49000</v>
      </c>
      <c r="I431">
        <v>54</v>
      </c>
      <c r="J431">
        <v>48</v>
      </c>
      <c r="K431">
        <v>75</v>
      </c>
      <c r="L431" t="s">
        <v>129</v>
      </c>
      <c r="M431">
        <v>20</v>
      </c>
    </row>
    <row r="432" spans="2:13" x14ac:dyDescent="0.25">
      <c r="B432" t="s">
        <v>621</v>
      </c>
      <c r="C432" t="s">
        <v>582</v>
      </c>
      <c r="D432" t="s">
        <v>583</v>
      </c>
      <c r="E432" t="s">
        <v>2</v>
      </c>
      <c r="F432" t="s">
        <v>36</v>
      </c>
      <c r="G432" t="s">
        <v>37</v>
      </c>
      <c r="H432" s="2">
        <v>79000</v>
      </c>
      <c r="I432">
        <v>90</v>
      </c>
      <c r="J432">
        <v>12</v>
      </c>
      <c r="K432">
        <v>24</v>
      </c>
      <c r="L432" t="s">
        <v>312</v>
      </c>
      <c r="M432">
        <v>7</v>
      </c>
    </row>
    <row r="433" spans="2:13" x14ac:dyDescent="0.25">
      <c r="B433" t="s">
        <v>622</v>
      </c>
      <c r="C433" t="s">
        <v>585</v>
      </c>
      <c r="D433" t="s">
        <v>583</v>
      </c>
      <c r="E433" t="s">
        <v>355</v>
      </c>
      <c r="F433" t="s">
        <v>48</v>
      </c>
      <c r="G433" t="s">
        <v>49</v>
      </c>
      <c r="H433" s="2">
        <v>30000</v>
      </c>
      <c r="I433">
        <v>46</v>
      </c>
      <c r="J433">
        <v>37</v>
      </c>
      <c r="K433">
        <v>54</v>
      </c>
      <c r="L433" t="s">
        <v>71</v>
      </c>
      <c r="M433">
        <v>6</v>
      </c>
    </row>
    <row r="434" spans="2:13" x14ac:dyDescent="0.25">
      <c r="B434" t="s">
        <v>623</v>
      </c>
      <c r="C434" t="s">
        <v>594</v>
      </c>
      <c r="D434" t="s">
        <v>583</v>
      </c>
      <c r="E434" t="s">
        <v>595</v>
      </c>
      <c r="F434" t="s">
        <v>40</v>
      </c>
      <c r="G434" t="s">
        <v>41</v>
      </c>
      <c r="H434" s="2">
        <v>10000</v>
      </c>
      <c r="I434">
        <v>118</v>
      </c>
      <c r="J434">
        <v>16</v>
      </c>
      <c r="K434">
        <v>36</v>
      </c>
      <c r="L434" t="s">
        <v>294</v>
      </c>
      <c r="M434">
        <v>7</v>
      </c>
    </row>
    <row r="435" spans="2:13" x14ac:dyDescent="0.25">
      <c r="B435" t="s">
        <v>624</v>
      </c>
      <c r="C435" t="s">
        <v>602</v>
      </c>
      <c r="D435" t="s">
        <v>583</v>
      </c>
      <c r="E435" t="s">
        <v>2</v>
      </c>
      <c r="F435" t="s">
        <v>81</v>
      </c>
      <c r="G435" t="s">
        <v>82</v>
      </c>
      <c r="H435" s="2">
        <v>87000</v>
      </c>
      <c r="I435">
        <v>135</v>
      </c>
      <c r="J435">
        <v>23</v>
      </c>
      <c r="K435">
        <v>33</v>
      </c>
      <c r="L435" t="s">
        <v>181</v>
      </c>
      <c r="M435">
        <v>16</v>
      </c>
    </row>
    <row r="436" spans="2:13" x14ac:dyDescent="0.25">
      <c r="B436" t="s">
        <v>625</v>
      </c>
      <c r="C436" t="s">
        <v>594</v>
      </c>
      <c r="D436" t="s">
        <v>583</v>
      </c>
      <c r="E436" t="s">
        <v>595</v>
      </c>
      <c r="F436" t="s">
        <v>55</v>
      </c>
      <c r="G436" t="s">
        <v>56</v>
      </c>
      <c r="H436" s="2">
        <v>4000</v>
      </c>
      <c r="I436">
        <v>231</v>
      </c>
      <c r="J436">
        <v>27</v>
      </c>
      <c r="K436">
        <v>57</v>
      </c>
      <c r="L436" t="s">
        <v>19</v>
      </c>
      <c r="M436">
        <v>8</v>
      </c>
    </row>
    <row r="437" spans="2:13" x14ac:dyDescent="0.25">
      <c r="B437" t="s">
        <v>626</v>
      </c>
      <c r="C437" t="s">
        <v>589</v>
      </c>
      <c r="D437" t="s">
        <v>583</v>
      </c>
      <c r="E437" t="s">
        <v>469</v>
      </c>
      <c r="F437" t="s">
        <v>48</v>
      </c>
      <c r="G437" t="s">
        <v>49</v>
      </c>
      <c r="H437" s="2">
        <v>22000</v>
      </c>
      <c r="I437">
        <v>139</v>
      </c>
      <c r="J437">
        <v>46</v>
      </c>
      <c r="K437">
        <v>66</v>
      </c>
      <c r="L437" t="s">
        <v>289</v>
      </c>
      <c r="M437">
        <v>17</v>
      </c>
    </row>
    <row r="438" spans="2:13" x14ac:dyDescent="0.25">
      <c r="B438" t="s">
        <v>627</v>
      </c>
      <c r="C438" t="s">
        <v>589</v>
      </c>
      <c r="D438" t="s">
        <v>583</v>
      </c>
      <c r="E438" t="s">
        <v>469</v>
      </c>
      <c r="F438" t="s">
        <v>61</v>
      </c>
      <c r="G438" t="s">
        <v>62</v>
      </c>
      <c r="H438" s="2">
        <v>19000</v>
      </c>
      <c r="I438">
        <v>135</v>
      </c>
      <c r="J438">
        <v>15</v>
      </c>
      <c r="K438">
        <v>33</v>
      </c>
      <c r="L438" t="s">
        <v>149</v>
      </c>
      <c r="M438">
        <v>9</v>
      </c>
    </row>
    <row r="439" spans="2:13" x14ac:dyDescent="0.25">
      <c r="B439" t="s">
        <v>628</v>
      </c>
      <c r="C439" t="s">
        <v>629</v>
      </c>
      <c r="D439" t="s">
        <v>583</v>
      </c>
      <c r="E439" t="s">
        <v>355</v>
      </c>
      <c r="F439" t="s">
        <v>36</v>
      </c>
      <c r="G439" t="s">
        <v>37</v>
      </c>
      <c r="H439" s="2">
        <v>17000</v>
      </c>
      <c r="I439">
        <v>80</v>
      </c>
      <c r="J439">
        <v>19</v>
      </c>
      <c r="K439">
        <v>41</v>
      </c>
      <c r="L439" t="s">
        <v>397</v>
      </c>
      <c r="M439">
        <v>16</v>
      </c>
    </row>
    <row r="440" spans="2:13" x14ac:dyDescent="0.25">
      <c r="B440" t="s">
        <v>630</v>
      </c>
      <c r="C440" t="s">
        <v>594</v>
      </c>
      <c r="D440" t="s">
        <v>583</v>
      </c>
      <c r="E440" t="s">
        <v>595</v>
      </c>
      <c r="F440" t="s">
        <v>40</v>
      </c>
      <c r="G440" t="s">
        <v>41</v>
      </c>
      <c r="H440" s="2">
        <v>15000</v>
      </c>
      <c r="I440">
        <v>207</v>
      </c>
      <c r="J440">
        <v>36</v>
      </c>
      <c r="K440">
        <v>58</v>
      </c>
      <c r="L440" t="s">
        <v>312</v>
      </c>
      <c r="M440">
        <v>20</v>
      </c>
    </row>
    <row r="441" spans="2:13" x14ac:dyDescent="0.25">
      <c r="B441" t="s">
        <v>631</v>
      </c>
      <c r="C441" t="s">
        <v>582</v>
      </c>
      <c r="D441" t="s">
        <v>583</v>
      </c>
      <c r="E441" t="s">
        <v>2</v>
      </c>
      <c r="F441" t="s">
        <v>40</v>
      </c>
      <c r="G441" t="s">
        <v>41</v>
      </c>
      <c r="H441" s="2">
        <v>113000</v>
      </c>
      <c r="I441">
        <v>208</v>
      </c>
      <c r="J441">
        <v>39</v>
      </c>
      <c r="K441">
        <v>55</v>
      </c>
      <c r="L441" t="s">
        <v>110</v>
      </c>
      <c r="M441">
        <v>3</v>
      </c>
    </row>
    <row r="442" spans="2:13" x14ac:dyDescent="0.25">
      <c r="B442" t="s">
        <v>632</v>
      </c>
      <c r="C442" t="s">
        <v>587</v>
      </c>
      <c r="D442" t="s">
        <v>583</v>
      </c>
      <c r="E442" t="s">
        <v>2</v>
      </c>
      <c r="F442" t="s">
        <v>17</v>
      </c>
      <c r="G442" t="s">
        <v>18</v>
      </c>
      <c r="H442" s="2">
        <v>44000</v>
      </c>
      <c r="I442">
        <v>65</v>
      </c>
      <c r="J442">
        <v>32</v>
      </c>
      <c r="K442">
        <v>40</v>
      </c>
      <c r="L442" t="s">
        <v>327</v>
      </c>
      <c r="M442">
        <v>3</v>
      </c>
    </row>
    <row r="443" spans="2:13" x14ac:dyDescent="0.25">
      <c r="B443" t="s">
        <v>633</v>
      </c>
      <c r="C443" t="s">
        <v>587</v>
      </c>
      <c r="D443" t="s">
        <v>583</v>
      </c>
      <c r="E443" t="s">
        <v>2</v>
      </c>
      <c r="F443" t="s">
        <v>85</v>
      </c>
      <c r="G443" t="s">
        <v>86</v>
      </c>
      <c r="H443" s="2">
        <v>26000</v>
      </c>
      <c r="I443">
        <v>99</v>
      </c>
      <c r="J443">
        <v>10</v>
      </c>
      <c r="K443">
        <v>29</v>
      </c>
      <c r="L443" t="s">
        <v>171</v>
      </c>
      <c r="M443">
        <v>9</v>
      </c>
    </row>
    <row r="444" spans="2:13" x14ac:dyDescent="0.25">
      <c r="B444" t="s">
        <v>634</v>
      </c>
      <c r="C444" t="s">
        <v>597</v>
      </c>
      <c r="D444" t="s">
        <v>583</v>
      </c>
      <c r="E444" t="s">
        <v>355</v>
      </c>
      <c r="F444" t="s">
        <v>61</v>
      </c>
      <c r="G444" t="s">
        <v>62</v>
      </c>
      <c r="H444" s="2">
        <v>52000</v>
      </c>
      <c r="I444">
        <v>186</v>
      </c>
      <c r="J444">
        <v>27</v>
      </c>
      <c r="K444">
        <v>54</v>
      </c>
      <c r="L444" t="s">
        <v>265</v>
      </c>
      <c r="M444">
        <v>15</v>
      </c>
    </row>
    <row r="445" spans="2:13" x14ac:dyDescent="0.25">
      <c r="B445" t="s">
        <v>635</v>
      </c>
      <c r="C445" t="s">
        <v>599</v>
      </c>
      <c r="D445" t="s">
        <v>583</v>
      </c>
      <c r="E445" t="s">
        <v>2</v>
      </c>
      <c r="F445" t="s">
        <v>22</v>
      </c>
      <c r="G445" t="s">
        <v>23</v>
      </c>
      <c r="H445" s="2">
        <v>113000</v>
      </c>
      <c r="I445">
        <v>45</v>
      </c>
      <c r="J445">
        <v>18</v>
      </c>
      <c r="K445">
        <v>29</v>
      </c>
      <c r="L445" t="s">
        <v>287</v>
      </c>
      <c r="M445">
        <v>13</v>
      </c>
    </row>
    <row r="446" spans="2:13" x14ac:dyDescent="0.25">
      <c r="B446" t="s">
        <v>636</v>
      </c>
      <c r="C446" t="s">
        <v>602</v>
      </c>
      <c r="D446" t="s">
        <v>583</v>
      </c>
      <c r="E446" t="s">
        <v>2</v>
      </c>
      <c r="F446" t="s">
        <v>32</v>
      </c>
      <c r="G446" t="s">
        <v>33</v>
      </c>
      <c r="H446" s="2">
        <v>116000</v>
      </c>
      <c r="I446">
        <v>162</v>
      </c>
      <c r="J446">
        <v>39</v>
      </c>
      <c r="K446">
        <v>49</v>
      </c>
      <c r="L446" t="s">
        <v>183</v>
      </c>
      <c r="M446">
        <v>11</v>
      </c>
    </row>
    <row r="447" spans="2:13" x14ac:dyDescent="0.25">
      <c r="B447" t="s">
        <v>637</v>
      </c>
      <c r="C447" t="s">
        <v>629</v>
      </c>
      <c r="D447" t="s">
        <v>583</v>
      </c>
      <c r="E447" t="s">
        <v>355</v>
      </c>
      <c r="F447" t="s">
        <v>85</v>
      </c>
      <c r="G447" t="s">
        <v>86</v>
      </c>
      <c r="H447" s="2">
        <v>51000</v>
      </c>
      <c r="I447">
        <v>78</v>
      </c>
      <c r="J447">
        <v>37</v>
      </c>
      <c r="K447">
        <v>63</v>
      </c>
      <c r="L447" t="s">
        <v>19</v>
      </c>
      <c r="M447">
        <v>15</v>
      </c>
    </row>
    <row r="448" spans="2:13" x14ac:dyDescent="0.25">
      <c r="B448" t="s">
        <v>638</v>
      </c>
      <c r="C448" t="s">
        <v>612</v>
      </c>
      <c r="D448" t="s">
        <v>583</v>
      </c>
      <c r="E448" t="s">
        <v>2</v>
      </c>
      <c r="F448" t="s">
        <v>81</v>
      </c>
      <c r="G448" t="s">
        <v>82</v>
      </c>
      <c r="H448" s="2">
        <v>29000</v>
      </c>
      <c r="I448">
        <v>231</v>
      </c>
      <c r="J448">
        <v>46</v>
      </c>
      <c r="K448">
        <v>57</v>
      </c>
      <c r="L448" t="s">
        <v>100</v>
      </c>
      <c r="M448">
        <v>6</v>
      </c>
    </row>
    <row r="449" spans="2:13" x14ac:dyDescent="0.25">
      <c r="B449" t="s">
        <v>639</v>
      </c>
      <c r="C449" t="s">
        <v>585</v>
      </c>
      <c r="D449" t="s">
        <v>583</v>
      </c>
      <c r="E449" t="s">
        <v>355</v>
      </c>
      <c r="F449" t="s">
        <v>55</v>
      </c>
      <c r="G449" t="s">
        <v>56</v>
      </c>
      <c r="H449" s="2">
        <v>34000</v>
      </c>
      <c r="I449">
        <v>73</v>
      </c>
      <c r="J449">
        <v>48</v>
      </c>
      <c r="K449">
        <v>65</v>
      </c>
      <c r="L449" t="s">
        <v>64</v>
      </c>
      <c r="M449">
        <v>20</v>
      </c>
    </row>
    <row r="450" spans="2:13" x14ac:dyDescent="0.25">
      <c r="B450" t="s">
        <v>640</v>
      </c>
      <c r="C450" t="s">
        <v>629</v>
      </c>
      <c r="D450" t="s">
        <v>583</v>
      </c>
      <c r="E450" t="s">
        <v>355</v>
      </c>
      <c r="F450" t="s">
        <v>85</v>
      </c>
      <c r="G450" t="s">
        <v>86</v>
      </c>
      <c r="H450" s="2">
        <v>55000</v>
      </c>
      <c r="I450">
        <v>116</v>
      </c>
      <c r="J450">
        <v>29</v>
      </c>
      <c r="K450">
        <v>48</v>
      </c>
      <c r="L450" t="s">
        <v>79</v>
      </c>
      <c r="M450">
        <v>4</v>
      </c>
    </row>
    <row r="451" spans="2:13" x14ac:dyDescent="0.25">
      <c r="B451" t="s">
        <v>641</v>
      </c>
      <c r="C451" t="s">
        <v>589</v>
      </c>
      <c r="D451" t="s">
        <v>583</v>
      </c>
      <c r="E451" t="s">
        <v>469</v>
      </c>
      <c r="F451" t="s">
        <v>32</v>
      </c>
      <c r="G451" t="s">
        <v>33</v>
      </c>
      <c r="H451" s="2">
        <v>21000</v>
      </c>
      <c r="I451">
        <v>201</v>
      </c>
      <c r="J451">
        <v>22</v>
      </c>
      <c r="K451">
        <v>50</v>
      </c>
      <c r="L451" t="s">
        <v>124</v>
      </c>
      <c r="M451">
        <v>17</v>
      </c>
    </row>
    <row r="452" spans="2:13" x14ac:dyDescent="0.25">
      <c r="B452" t="s">
        <v>642</v>
      </c>
      <c r="C452" t="s">
        <v>585</v>
      </c>
      <c r="D452" t="s">
        <v>583</v>
      </c>
      <c r="E452" t="s">
        <v>355</v>
      </c>
      <c r="F452" t="s">
        <v>55</v>
      </c>
      <c r="G452" t="s">
        <v>56</v>
      </c>
      <c r="H452" s="2">
        <v>26000</v>
      </c>
      <c r="I452">
        <v>10</v>
      </c>
      <c r="J452">
        <v>10</v>
      </c>
      <c r="K452">
        <v>38</v>
      </c>
      <c r="L452" t="s">
        <v>79</v>
      </c>
      <c r="M452">
        <v>13</v>
      </c>
    </row>
    <row r="453" spans="2:13" x14ac:dyDescent="0.25">
      <c r="B453" t="s">
        <v>643</v>
      </c>
      <c r="C453" t="s">
        <v>582</v>
      </c>
      <c r="D453" t="s">
        <v>583</v>
      </c>
      <c r="E453" t="s">
        <v>2</v>
      </c>
      <c r="F453" t="s">
        <v>55</v>
      </c>
      <c r="G453" t="s">
        <v>56</v>
      </c>
      <c r="H453" s="2">
        <v>146000</v>
      </c>
      <c r="I453">
        <v>65</v>
      </c>
      <c r="J453">
        <v>32</v>
      </c>
      <c r="K453">
        <v>43</v>
      </c>
      <c r="L453" t="s">
        <v>423</v>
      </c>
      <c r="M453">
        <v>12</v>
      </c>
    </row>
    <row r="454" spans="2:13" x14ac:dyDescent="0.25">
      <c r="B454" t="s">
        <v>644</v>
      </c>
      <c r="C454" t="s">
        <v>629</v>
      </c>
      <c r="D454" t="s">
        <v>583</v>
      </c>
      <c r="E454" t="s">
        <v>355</v>
      </c>
      <c r="F454" t="s">
        <v>61</v>
      </c>
      <c r="G454" t="s">
        <v>62</v>
      </c>
      <c r="H454" s="2">
        <v>36000</v>
      </c>
      <c r="I454">
        <v>150</v>
      </c>
      <c r="J454">
        <v>41</v>
      </c>
      <c r="K454">
        <v>50</v>
      </c>
      <c r="L454" t="s">
        <v>189</v>
      </c>
      <c r="M454">
        <v>12</v>
      </c>
    </row>
    <row r="455" spans="2:13" x14ac:dyDescent="0.25">
      <c r="B455" t="s">
        <v>645</v>
      </c>
      <c r="C455" t="s">
        <v>612</v>
      </c>
      <c r="D455" t="s">
        <v>583</v>
      </c>
      <c r="E455" t="s">
        <v>2</v>
      </c>
      <c r="F455" t="s">
        <v>55</v>
      </c>
      <c r="G455" t="s">
        <v>56</v>
      </c>
      <c r="H455" s="2">
        <v>14000</v>
      </c>
      <c r="I455">
        <v>35</v>
      </c>
      <c r="J455">
        <v>45</v>
      </c>
      <c r="K455">
        <v>75</v>
      </c>
      <c r="L455" t="s">
        <v>297</v>
      </c>
      <c r="M455">
        <v>5</v>
      </c>
    </row>
    <row r="456" spans="2:13" x14ac:dyDescent="0.25">
      <c r="B456" t="s">
        <v>646</v>
      </c>
      <c r="C456" t="s">
        <v>599</v>
      </c>
      <c r="D456" t="s">
        <v>583</v>
      </c>
      <c r="E456" t="s">
        <v>2</v>
      </c>
      <c r="F456" t="s">
        <v>17</v>
      </c>
      <c r="G456" t="s">
        <v>18</v>
      </c>
      <c r="H456" s="2">
        <v>91000</v>
      </c>
      <c r="I456">
        <v>126</v>
      </c>
      <c r="J456">
        <v>5</v>
      </c>
      <c r="K456">
        <v>31</v>
      </c>
      <c r="L456" t="s">
        <v>294</v>
      </c>
      <c r="M456">
        <v>6</v>
      </c>
    </row>
    <row r="457" spans="2:13" x14ac:dyDescent="0.25">
      <c r="B457" t="s">
        <v>647</v>
      </c>
      <c r="C457" t="s">
        <v>629</v>
      </c>
      <c r="D457" t="s">
        <v>583</v>
      </c>
      <c r="E457" t="s">
        <v>355</v>
      </c>
      <c r="F457" t="s">
        <v>32</v>
      </c>
      <c r="G457" t="s">
        <v>33</v>
      </c>
      <c r="H457" s="2">
        <v>25000</v>
      </c>
      <c r="I457">
        <v>233</v>
      </c>
      <c r="J457">
        <v>22</v>
      </c>
      <c r="K457">
        <v>58</v>
      </c>
      <c r="L457" t="s">
        <v>230</v>
      </c>
      <c r="M457">
        <v>4</v>
      </c>
    </row>
    <row r="458" spans="2:13" x14ac:dyDescent="0.25">
      <c r="B458" t="s">
        <v>648</v>
      </c>
      <c r="C458" t="s">
        <v>585</v>
      </c>
      <c r="D458" t="s">
        <v>583</v>
      </c>
      <c r="E458" t="s">
        <v>355</v>
      </c>
      <c r="F458" t="s">
        <v>22</v>
      </c>
      <c r="G458" t="s">
        <v>23</v>
      </c>
      <c r="H458" s="2">
        <v>29000</v>
      </c>
      <c r="I458">
        <v>241</v>
      </c>
      <c r="J458">
        <v>46</v>
      </c>
      <c r="K458">
        <v>60</v>
      </c>
      <c r="L458" t="s">
        <v>203</v>
      </c>
      <c r="M458">
        <v>11</v>
      </c>
    </row>
    <row r="459" spans="2:13" x14ac:dyDescent="0.25">
      <c r="B459" t="s">
        <v>649</v>
      </c>
      <c r="C459" t="s">
        <v>597</v>
      </c>
      <c r="D459" t="s">
        <v>583</v>
      </c>
      <c r="E459" t="s">
        <v>355</v>
      </c>
      <c r="F459" t="s">
        <v>85</v>
      </c>
      <c r="G459" t="s">
        <v>86</v>
      </c>
      <c r="H459" s="2">
        <v>42000</v>
      </c>
      <c r="I459">
        <v>177</v>
      </c>
      <c r="J459">
        <v>10</v>
      </c>
      <c r="K459">
        <v>44</v>
      </c>
      <c r="L459" t="s">
        <v>361</v>
      </c>
      <c r="M459">
        <v>8</v>
      </c>
    </row>
    <row r="460" spans="2:13" x14ac:dyDescent="0.25">
      <c r="B460" t="s">
        <v>650</v>
      </c>
      <c r="C460" t="s">
        <v>587</v>
      </c>
      <c r="D460" t="s">
        <v>583</v>
      </c>
      <c r="E460" t="s">
        <v>2</v>
      </c>
      <c r="F460" t="s">
        <v>40</v>
      </c>
      <c r="G460" t="s">
        <v>41</v>
      </c>
      <c r="H460" s="2">
        <v>14000</v>
      </c>
      <c r="I460">
        <v>43</v>
      </c>
      <c r="J460">
        <v>42</v>
      </c>
      <c r="K460">
        <v>54</v>
      </c>
      <c r="L460" t="s">
        <v>289</v>
      </c>
      <c r="M460">
        <v>16</v>
      </c>
    </row>
    <row r="461" spans="2:13" x14ac:dyDescent="0.25">
      <c r="B461" t="s">
        <v>651</v>
      </c>
      <c r="C461" t="s">
        <v>612</v>
      </c>
      <c r="D461" t="s">
        <v>583</v>
      </c>
      <c r="E461" t="s">
        <v>2</v>
      </c>
      <c r="F461" t="s">
        <v>48</v>
      </c>
      <c r="G461" t="s">
        <v>49</v>
      </c>
      <c r="H461" s="2">
        <v>12000</v>
      </c>
      <c r="I461">
        <v>188</v>
      </c>
      <c r="J461">
        <v>26</v>
      </c>
      <c r="K461">
        <v>47</v>
      </c>
      <c r="L461" t="s">
        <v>294</v>
      </c>
      <c r="M461">
        <v>6</v>
      </c>
    </row>
    <row r="462" spans="2:13" x14ac:dyDescent="0.25">
      <c r="B462" t="s">
        <v>652</v>
      </c>
      <c r="C462" t="s">
        <v>587</v>
      </c>
      <c r="D462" t="s">
        <v>583</v>
      </c>
      <c r="E462" t="s">
        <v>2</v>
      </c>
      <c r="F462" t="s">
        <v>85</v>
      </c>
      <c r="G462" t="s">
        <v>86</v>
      </c>
      <c r="H462" s="2">
        <v>14000</v>
      </c>
      <c r="I462">
        <v>68</v>
      </c>
      <c r="J462">
        <v>29</v>
      </c>
      <c r="K462">
        <v>36</v>
      </c>
      <c r="L462" t="s">
        <v>34</v>
      </c>
      <c r="M462">
        <v>12</v>
      </c>
    </row>
    <row r="463" spans="2:13" x14ac:dyDescent="0.25">
      <c r="B463" t="s">
        <v>653</v>
      </c>
      <c r="C463" t="s">
        <v>585</v>
      </c>
      <c r="D463" t="s">
        <v>583</v>
      </c>
      <c r="E463" t="s">
        <v>355</v>
      </c>
      <c r="F463" t="s">
        <v>81</v>
      </c>
      <c r="G463" t="s">
        <v>82</v>
      </c>
      <c r="H463" s="2">
        <v>17000</v>
      </c>
      <c r="I463">
        <v>45</v>
      </c>
      <c r="J463">
        <v>29</v>
      </c>
      <c r="K463">
        <v>58</v>
      </c>
      <c r="L463" t="s">
        <v>250</v>
      </c>
      <c r="M463">
        <v>6</v>
      </c>
    </row>
    <row r="464" spans="2:13" x14ac:dyDescent="0.25">
      <c r="B464" t="s">
        <v>654</v>
      </c>
      <c r="C464" t="s">
        <v>582</v>
      </c>
      <c r="D464" t="s">
        <v>583</v>
      </c>
      <c r="E464" t="s">
        <v>2</v>
      </c>
      <c r="F464" t="s">
        <v>81</v>
      </c>
      <c r="G464" t="s">
        <v>82</v>
      </c>
      <c r="H464" s="2">
        <v>180000</v>
      </c>
      <c r="I464">
        <v>154</v>
      </c>
      <c r="J464">
        <v>5</v>
      </c>
      <c r="K464">
        <v>38</v>
      </c>
      <c r="L464" t="s">
        <v>108</v>
      </c>
      <c r="M464">
        <v>13</v>
      </c>
    </row>
    <row r="465" spans="2:13" x14ac:dyDescent="0.25">
      <c r="B465" t="s">
        <v>655</v>
      </c>
      <c r="C465" t="s">
        <v>597</v>
      </c>
      <c r="D465" t="s">
        <v>583</v>
      </c>
      <c r="E465" t="s">
        <v>355</v>
      </c>
      <c r="F465" t="s">
        <v>61</v>
      </c>
      <c r="G465" t="s">
        <v>62</v>
      </c>
      <c r="H465" s="2">
        <v>55000</v>
      </c>
      <c r="I465">
        <v>201</v>
      </c>
      <c r="J465">
        <v>14</v>
      </c>
      <c r="K465">
        <v>50</v>
      </c>
      <c r="L465" t="s">
        <v>289</v>
      </c>
      <c r="M465">
        <v>16</v>
      </c>
    </row>
    <row r="466" spans="2:13" x14ac:dyDescent="0.25">
      <c r="B466" t="s">
        <v>656</v>
      </c>
      <c r="C466" t="s">
        <v>597</v>
      </c>
      <c r="D466" t="s">
        <v>583</v>
      </c>
      <c r="E466" t="s">
        <v>355</v>
      </c>
      <c r="F466" t="s">
        <v>85</v>
      </c>
      <c r="G466" t="s">
        <v>86</v>
      </c>
      <c r="H466" s="2">
        <v>20000</v>
      </c>
      <c r="I466">
        <v>239</v>
      </c>
      <c r="J466">
        <v>11</v>
      </c>
      <c r="K466">
        <v>59</v>
      </c>
      <c r="L466" t="s">
        <v>95</v>
      </c>
      <c r="M466">
        <v>14</v>
      </c>
    </row>
    <row r="467" spans="2:13" x14ac:dyDescent="0.25">
      <c r="B467" t="s">
        <v>657</v>
      </c>
      <c r="C467" t="s">
        <v>585</v>
      </c>
      <c r="D467" t="s">
        <v>583</v>
      </c>
      <c r="E467" t="s">
        <v>355</v>
      </c>
      <c r="F467" t="s">
        <v>36</v>
      </c>
      <c r="G467" t="s">
        <v>37</v>
      </c>
      <c r="H467" s="2">
        <v>21000</v>
      </c>
      <c r="I467">
        <v>90</v>
      </c>
      <c r="J467">
        <v>13</v>
      </c>
      <c r="K467">
        <v>25</v>
      </c>
      <c r="L467" t="s">
        <v>250</v>
      </c>
      <c r="M467">
        <v>4</v>
      </c>
    </row>
    <row r="468" spans="2:13" x14ac:dyDescent="0.25">
      <c r="B468" t="s">
        <v>658</v>
      </c>
      <c r="C468" t="s">
        <v>597</v>
      </c>
      <c r="D468" t="s">
        <v>583</v>
      </c>
      <c r="E468" t="s">
        <v>355</v>
      </c>
      <c r="F468" t="s">
        <v>61</v>
      </c>
      <c r="G468" t="s">
        <v>62</v>
      </c>
      <c r="H468" s="2">
        <v>50000</v>
      </c>
      <c r="I468">
        <v>163</v>
      </c>
      <c r="J468">
        <v>43</v>
      </c>
      <c r="K468">
        <v>71</v>
      </c>
      <c r="L468" t="s">
        <v>113</v>
      </c>
      <c r="M468">
        <v>2</v>
      </c>
    </row>
    <row r="469" spans="2:13" x14ac:dyDescent="0.25">
      <c r="B469" t="s">
        <v>659</v>
      </c>
      <c r="C469" t="s">
        <v>629</v>
      </c>
      <c r="D469" t="s">
        <v>583</v>
      </c>
      <c r="E469" t="s">
        <v>355</v>
      </c>
      <c r="F469" t="s">
        <v>17</v>
      </c>
      <c r="G469" t="s">
        <v>18</v>
      </c>
      <c r="H469" s="2">
        <v>28000</v>
      </c>
      <c r="I469">
        <v>142</v>
      </c>
      <c r="J469">
        <v>43</v>
      </c>
      <c r="K469">
        <v>64</v>
      </c>
      <c r="L469" t="s">
        <v>67</v>
      </c>
      <c r="M469">
        <v>14</v>
      </c>
    </row>
    <row r="470" spans="2:13" x14ac:dyDescent="0.25">
      <c r="B470" t="s">
        <v>660</v>
      </c>
      <c r="C470" t="s">
        <v>629</v>
      </c>
      <c r="D470" t="s">
        <v>583</v>
      </c>
      <c r="E470" t="s">
        <v>355</v>
      </c>
      <c r="F470" t="s">
        <v>48</v>
      </c>
      <c r="G470" t="s">
        <v>49</v>
      </c>
      <c r="H470" s="2">
        <v>18000</v>
      </c>
      <c r="I470">
        <v>210</v>
      </c>
      <c r="J470">
        <v>20</v>
      </c>
      <c r="K470">
        <v>52</v>
      </c>
      <c r="L470" t="s">
        <v>312</v>
      </c>
      <c r="M470">
        <v>9</v>
      </c>
    </row>
    <row r="471" spans="2:13" x14ac:dyDescent="0.25">
      <c r="B471" t="s">
        <v>661</v>
      </c>
      <c r="C471" t="s">
        <v>587</v>
      </c>
      <c r="D471" t="s">
        <v>583</v>
      </c>
      <c r="E471" t="s">
        <v>2</v>
      </c>
      <c r="F471" t="s">
        <v>22</v>
      </c>
      <c r="G471" t="s">
        <v>23</v>
      </c>
      <c r="H471" s="2">
        <v>50000</v>
      </c>
      <c r="I471">
        <v>162</v>
      </c>
      <c r="J471">
        <v>9</v>
      </c>
      <c r="K471">
        <v>40</v>
      </c>
      <c r="L471" t="s">
        <v>87</v>
      </c>
      <c r="M471">
        <v>12</v>
      </c>
    </row>
    <row r="472" spans="2:13" x14ac:dyDescent="0.25">
      <c r="B472" t="s">
        <v>662</v>
      </c>
      <c r="C472" t="s">
        <v>599</v>
      </c>
      <c r="D472" t="s">
        <v>583</v>
      </c>
      <c r="E472" t="s">
        <v>2</v>
      </c>
      <c r="F472" t="s">
        <v>32</v>
      </c>
      <c r="G472" t="s">
        <v>33</v>
      </c>
      <c r="H472" s="2">
        <v>84000</v>
      </c>
      <c r="I472">
        <v>230</v>
      </c>
      <c r="J472">
        <v>41</v>
      </c>
      <c r="K472">
        <v>59</v>
      </c>
      <c r="L472" t="s">
        <v>83</v>
      </c>
      <c r="M472">
        <v>7</v>
      </c>
    </row>
    <row r="473" spans="2:13" x14ac:dyDescent="0.25">
      <c r="B473" t="s">
        <v>663</v>
      </c>
      <c r="C473" t="s">
        <v>587</v>
      </c>
      <c r="D473" t="s">
        <v>583</v>
      </c>
      <c r="E473" t="s">
        <v>2</v>
      </c>
      <c r="F473" t="s">
        <v>22</v>
      </c>
      <c r="G473" t="s">
        <v>23</v>
      </c>
      <c r="H473" s="2">
        <v>14000</v>
      </c>
      <c r="I473">
        <v>14</v>
      </c>
      <c r="J473">
        <v>42</v>
      </c>
      <c r="K473">
        <v>49</v>
      </c>
      <c r="L473" t="s">
        <v>464</v>
      </c>
      <c r="M473">
        <v>8</v>
      </c>
    </row>
    <row r="474" spans="2:13" x14ac:dyDescent="0.25">
      <c r="B474" t="s">
        <v>664</v>
      </c>
      <c r="C474" t="s">
        <v>612</v>
      </c>
      <c r="D474" t="s">
        <v>583</v>
      </c>
      <c r="E474" t="s">
        <v>2</v>
      </c>
      <c r="F474" t="s">
        <v>36</v>
      </c>
      <c r="G474" t="s">
        <v>37</v>
      </c>
      <c r="H474" s="2">
        <v>15000</v>
      </c>
      <c r="I474">
        <v>212</v>
      </c>
      <c r="J474">
        <v>30</v>
      </c>
      <c r="K474">
        <v>53</v>
      </c>
      <c r="L474" t="s">
        <v>265</v>
      </c>
      <c r="M474">
        <v>18</v>
      </c>
    </row>
    <row r="475" spans="2:13" x14ac:dyDescent="0.25">
      <c r="B475" t="s">
        <v>665</v>
      </c>
      <c r="C475" t="s">
        <v>589</v>
      </c>
      <c r="D475" t="s">
        <v>583</v>
      </c>
      <c r="E475" t="s">
        <v>469</v>
      </c>
      <c r="F475" t="s">
        <v>40</v>
      </c>
      <c r="G475" t="s">
        <v>41</v>
      </c>
      <c r="H475" s="2">
        <v>18000</v>
      </c>
      <c r="I475">
        <v>189</v>
      </c>
      <c r="J475">
        <v>30</v>
      </c>
      <c r="K475">
        <v>47</v>
      </c>
      <c r="L475" t="s">
        <v>274</v>
      </c>
      <c r="M475">
        <v>21</v>
      </c>
    </row>
    <row r="476" spans="2:13" x14ac:dyDescent="0.25">
      <c r="B476" t="s">
        <v>666</v>
      </c>
      <c r="C476" t="s">
        <v>599</v>
      </c>
      <c r="D476" t="s">
        <v>583</v>
      </c>
      <c r="E476" t="s">
        <v>2</v>
      </c>
      <c r="F476" t="s">
        <v>40</v>
      </c>
      <c r="G476" t="s">
        <v>41</v>
      </c>
      <c r="H476" s="2">
        <v>70000</v>
      </c>
      <c r="I476">
        <v>31</v>
      </c>
      <c r="J476">
        <v>24</v>
      </c>
      <c r="K476">
        <v>31</v>
      </c>
      <c r="L476" t="s">
        <v>455</v>
      </c>
      <c r="M476">
        <v>6</v>
      </c>
    </row>
    <row r="477" spans="2:13" x14ac:dyDescent="0.25">
      <c r="B477" t="s">
        <v>667</v>
      </c>
      <c r="C477" t="s">
        <v>602</v>
      </c>
      <c r="D477" t="s">
        <v>583</v>
      </c>
      <c r="E477" t="s">
        <v>2</v>
      </c>
      <c r="F477" t="s">
        <v>85</v>
      </c>
      <c r="G477" t="s">
        <v>86</v>
      </c>
      <c r="H477" s="2">
        <v>128000</v>
      </c>
      <c r="I477">
        <v>110</v>
      </c>
      <c r="J477">
        <v>42</v>
      </c>
      <c r="K477">
        <v>67</v>
      </c>
      <c r="L477" t="s">
        <v>201</v>
      </c>
      <c r="M477">
        <v>15</v>
      </c>
    </row>
    <row r="478" spans="2:13" x14ac:dyDescent="0.25">
      <c r="B478" t="s">
        <v>668</v>
      </c>
      <c r="C478" t="s">
        <v>597</v>
      </c>
      <c r="D478" t="s">
        <v>583</v>
      </c>
      <c r="E478" t="s">
        <v>355</v>
      </c>
      <c r="F478" t="s">
        <v>85</v>
      </c>
      <c r="G478" t="s">
        <v>86</v>
      </c>
      <c r="H478" s="2">
        <v>18000</v>
      </c>
      <c r="I478">
        <v>72</v>
      </c>
      <c r="J478">
        <v>10</v>
      </c>
      <c r="K478">
        <v>28</v>
      </c>
      <c r="L478" t="s">
        <v>124</v>
      </c>
      <c r="M478">
        <v>21</v>
      </c>
    </row>
    <row r="479" spans="2:13" x14ac:dyDescent="0.25">
      <c r="B479" t="s">
        <v>669</v>
      </c>
      <c r="C479" t="s">
        <v>594</v>
      </c>
      <c r="D479" t="s">
        <v>583</v>
      </c>
      <c r="E479" t="s">
        <v>595</v>
      </c>
      <c r="F479" t="s">
        <v>81</v>
      </c>
      <c r="G479" t="s">
        <v>82</v>
      </c>
      <c r="H479" s="2">
        <v>4000</v>
      </c>
      <c r="I479">
        <v>89</v>
      </c>
      <c r="J479">
        <v>47</v>
      </c>
      <c r="K479">
        <v>75</v>
      </c>
      <c r="L479" t="s">
        <v>410</v>
      </c>
      <c r="M479">
        <v>2</v>
      </c>
    </row>
    <row r="480" spans="2:13" x14ac:dyDescent="0.25">
      <c r="B480" t="s">
        <v>670</v>
      </c>
      <c r="C480" t="s">
        <v>599</v>
      </c>
      <c r="D480" t="s">
        <v>583</v>
      </c>
      <c r="E480" t="s">
        <v>2</v>
      </c>
      <c r="F480" t="s">
        <v>32</v>
      </c>
      <c r="G480" t="s">
        <v>33</v>
      </c>
      <c r="H480" s="2">
        <v>124000</v>
      </c>
      <c r="I480">
        <v>12</v>
      </c>
      <c r="J480">
        <v>15</v>
      </c>
      <c r="K480">
        <v>35</v>
      </c>
      <c r="L480" t="s">
        <v>93</v>
      </c>
      <c r="M480">
        <v>18</v>
      </c>
    </row>
    <row r="481" spans="2:13" x14ac:dyDescent="0.25">
      <c r="B481" t="s">
        <v>671</v>
      </c>
      <c r="C481" t="s">
        <v>629</v>
      </c>
      <c r="D481" t="s">
        <v>583</v>
      </c>
      <c r="E481" t="s">
        <v>355</v>
      </c>
      <c r="F481" t="s">
        <v>36</v>
      </c>
      <c r="G481" t="s">
        <v>37</v>
      </c>
      <c r="H481" s="2">
        <v>25000</v>
      </c>
      <c r="I481">
        <v>105</v>
      </c>
      <c r="J481">
        <v>13</v>
      </c>
      <c r="K481">
        <v>41</v>
      </c>
      <c r="L481" t="s">
        <v>89</v>
      </c>
      <c r="M481">
        <v>5</v>
      </c>
    </row>
    <row r="482" spans="2:13" x14ac:dyDescent="0.25">
      <c r="B482" t="s">
        <v>672</v>
      </c>
      <c r="C482" t="s">
        <v>612</v>
      </c>
      <c r="D482" t="s">
        <v>583</v>
      </c>
      <c r="E482" t="s">
        <v>2</v>
      </c>
      <c r="F482" t="s">
        <v>40</v>
      </c>
      <c r="G482" t="s">
        <v>41</v>
      </c>
      <c r="H482" s="2">
        <v>33000</v>
      </c>
      <c r="I482">
        <v>216</v>
      </c>
      <c r="J482">
        <v>32</v>
      </c>
      <c r="K482">
        <v>54</v>
      </c>
      <c r="L482" t="s">
        <v>147</v>
      </c>
      <c r="M482">
        <v>10</v>
      </c>
    </row>
    <row r="483" spans="2:13" x14ac:dyDescent="0.25">
      <c r="B483" t="s">
        <v>673</v>
      </c>
      <c r="C483" t="s">
        <v>594</v>
      </c>
      <c r="D483" t="s">
        <v>583</v>
      </c>
      <c r="E483" t="s">
        <v>595</v>
      </c>
      <c r="F483" t="s">
        <v>40</v>
      </c>
      <c r="G483" t="s">
        <v>41</v>
      </c>
      <c r="H483" s="2">
        <v>14000</v>
      </c>
      <c r="I483">
        <v>29</v>
      </c>
      <c r="J483">
        <v>36</v>
      </c>
      <c r="K483">
        <v>55</v>
      </c>
      <c r="L483" t="s">
        <v>87</v>
      </c>
      <c r="M483">
        <v>3</v>
      </c>
    </row>
    <row r="484" spans="2:13" x14ac:dyDescent="0.25">
      <c r="B484" t="s">
        <v>674</v>
      </c>
      <c r="C484" t="s">
        <v>587</v>
      </c>
      <c r="D484" t="s">
        <v>583</v>
      </c>
      <c r="E484" t="s">
        <v>2</v>
      </c>
      <c r="F484" t="s">
        <v>36</v>
      </c>
      <c r="G484" t="s">
        <v>37</v>
      </c>
      <c r="H484" s="2">
        <v>46000</v>
      </c>
      <c r="I484">
        <v>52</v>
      </c>
      <c r="J484">
        <v>28</v>
      </c>
      <c r="K484">
        <v>38</v>
      </c>
      <c r="L484" t="s">
        <v>75</v>
      </c>
      <c r="M484">
        <v>5</v>
      </c>
    </row>
    <row r="485" spans="2:13" x14ac:dyDescent="0.25">
      <c r="B485" t="s">
        <v>675</v>
      </c>
      <c r="C485" t="s">
        <v>594</v>
      </c>
      <c r="D485" t="s">
        <v>583</v>
      </c>
      <c r="E485" t="s">
        <v>595</v>
      </c>
      <c r="F485" t="s">
        <v>40</v>
      </c>
      <c r="G485" t="s">
        <v>41</v>
      </c>
      <c r="H485" s="2">
        <v>14000</v>
      </c>
      <c r="I485">
        <v>195</v>
      </c>
      <c r="J485">
        <v>12</v>
      </c>
      <c r="K485">
        <v>48</v>
      </c>
      <c r="L485" t="s">
        <v>361</v>
      </c>
      <c r="M485">
        <v>3</v>
      </c>
    </row>
    <row r="486" spans="2:13" x14ac:dyDescent="0.25">
      <c r="B486" t="s">
        <v>676</v>
      </c>
      <c r="C486" t="s">
        <v>612</v>
      </c>
      <c r="D486" t="s">
        <v>583</v>
      </c>
      <c r="E486" t="s">
        <v>2</v>
      </c>
      <c r="F486" t="s">
        <v>48</v>
      </c>
      <c r="G486" t="s">
        <v>49</v>
      </c>
      <c r="H486" s="2">
        <v>27000</v>
      </c>
      <c r="I486">
        <v>21</v>
      </c>
      <c r="J486">
        <v>35</v>
      </c>
      <c r="K486">
        <v>51</v>
      </c>
      <c r="L486" t="s">
        <v>677</v>
      </c>
      <c r="M486">
        <v>7</v>
      </c>
    </row>
    <row r="487" spans="2:13" x14ac:dyDescent="0.25">
      <c r="B487" t="s">
        <v>678</v>
      </c>
      <c r="C487" t="s">
        <v>612</v>
      </c>
      <c r="D487" t="s">
        <v>583</v>
      </c>
      <c r="E487" t="s">
        <v>2</v>
      </c>
      <c r="F487" t="s">
        <v>48</v>
      </c>
      <c r="G487" t="s">
        <v>49</v>
      </c>
      <c r="H487" s="2">
        <v>47000</v>
      </c>
      <c r="I487">
        <v>215</v>
      </c>
      <c r="J487">
        <v>50</v>
      </c>
      <c r="K487">
        <v>78</v>
      </c>
      <c r="L487" t="s">
        <v>242</v>
      </c>
      <c r="M487">
        <v>12</v>
      </c>
    </row>
    <row r="488" spans="2:13" x14ac:dyDescent="0.25">
      <c r="B488" t="s">
        <v>679</v>
      </c>
      <c r="C488" t="s">
        <v>597</v>
      </c>
      <c r="D488" t="s">
        <v>583</v>
      </c>
      <c r="E488" t="s">
        <v>355</v>
      </c>
      <c r="F488" t="s">
        <v>85</v>
      </c>
      <c r="G488" t="s">
        <v>86</v>
      </c>
      <c r="H488" s="2">
        <v>41000</v>
      </c>
      <c r="I488">
        <v>244</v>
      </c>
      <c r="J488">
        <v>25</v>
      </c>
      <c r="K488">
        <v>61</v>
      </c>
      <c r="L488" t="s">
        <v>368</v>
      </c>
      <c r="M488">
        <v>13</v>
      </c>
    </row>
    <row r="489" spans="2:13" x14ac:dyDescent="0.25">
      <c r="B489" t="s">
        <v>680</v>
      </c>
      <c r="C489" t="s">
        <v>582</v>
      </c>
      <c r="D489" t="s">
        <v>583</v>
      </c>
      <c r="E489" t="s">
        <v>2</v>
      </c>
      <c r="F489" t="s">
        <v>17</v>
      </c>
      <c r="G489" t="s">
        <v>18</v>
      </c>
      <c r="H489" s="2">
        <v>173000</v>
      </c>
      <c r="I489">
        <v>182</v>
      </c>
      <c r="J489">
        <v>8</v>
      </c>
      <c r="K489">
        <v>45</v>
      </c>
      <c r="L489" t="s">
        <v>93</v>
      </c>
      <c r="M489">
        <v>3</v>
      </c>
    </row>
    <row r="490" spans="2:13" x14ac:dyDescent="0.25">
      <c r="B490" t="s">
        <v>681</v>
      </c>
      <c r="C490" t="s">
        <v>589</v>
      </c>
      <c r="D490" t="s">
        <v>583</v>
      </c>
      <c r="E490" t="s">
        <v>469</v>
      </c>
      <c r="F490" t="s">
        <v>36</v>
      </c>
      <c r="G490" t="s">
        <v>37</v>
      </c>
      <c r="H490" s="2">
        <v>7000</v>
      </c>
      <c r="I490">
        <v>234</v>
      </c>
      <c r="J490">
        <v>34</v>
      </c>
      <c r="K490">
        <v>58</v>
      </c>
      <c r="L490" t="s">
        <v>259</v>
      </c>
      <c r="M490">
        <v>4</v>
      </c>
    </row>
    <row r="491" spans="2:13" x14ac:dyDescent="0.25">
      <c r="B491" t="s">
        <v>682</v>
      </c>
      <c r="C491" t="s">
        <v>602</v>
      </c>
      <c r="D491" t="s">
        <v>583</v>
      </c>
      <c r="E491" t="s">
        <v>2</v>
      </c>
      <c r="F491" t="s">
        <v>36</v>
      </c>
      <c r="G491" t="s">
        <v>37</v>
      </c>
      <c r="H491" s="2">
        <v>161000</v>
      </c>
      <c r="I491">
        <v>12</v>
      </c>
      <c r="J491">
        <v>28</v>
      </c>
      <c r="K491">
        <v>39</v>
      </c>
      <c r="L491" t="s">
        <v>287</v>
      </c>
      <c r="M491">
        <v>11</v>
      </c>
    </row>
    <row r="492" spans="2:13" x14ac:dyDescent="0.25">
      <c r="B492" t="s">
        <v>683</v>
      </c>
      <c r="C492" t="s">
        <v>594</v>
      </c>
      <c r="D492" t="s">
        <v>583</v>
      </c>
      <c r="E492" t="s">
        <v>595</v>
      </c>
      <c r="F492" t="s">
        <v>55</v>
      </c>
      <c r="G492" t="s">
        <v>56</v>
      </c>
      <c r="H492" s="2">
        <v>7000</v>
      </c>
      <c r="I492">
        <v>128</v>
      </c>
      <c r="J492">
        <v>28</v>
      </c>
      <c r="K492">
        <v>51</v>
      </c>
      <c r="L492" t="s">
        <v>75</v>
      </c>
      <c r="M492">
        <v>8</v>
      </c>
    </row>
    <row r="493" spans="2:13" x14ac:dyDescent="0.25">
      <c r="B493" t="s">
        <v>684</v>
      </c>
      <c r="C493" t="s">
        <v>602</v>
      </c>
      <c r="D493" t="s">
        <v>583</v>
      </c>
      <c r="E493" t="s">
        <v>2</v>
      </c>
      <c r="F493" t="s">
        <v>22</v>
      </c>
      <c r="G493" t="s">
        <v>23</v>
      </c>
      <c r="H493" s="2">
        <v>239000</v>
      </c>
      <c r="I493">
        <v>213</v>
      </c>
      <c r="J493">
        <v>20</v>
      </c>
      <c r="K493">
        <v>53</v>
      </c>
      <c r="L493" t="s">
        <v>142</v>
      </c>
      <c r="M493">
        <v>2</v>
      </c>
    </row>
    <row r="494" spans="2:13" x14ac:dyDescent="0.25">
      <c r="B494" t="s">
        <v>685</v>
      </c>
      <c r="C494" t="s">
        <v>597</v>
      </c>
      <c r="D494" t="s">
        <v>583</v>
      </c>
      <c r="E494" t="s">
        <v>355</v>
      </c>
      <c r="F494" t="s">
        <v>22</v>
      </c>
      <c r="G494" t="s">
        <v>23</v>
      </c>
      <c r="H494" s="2">
        <v>49000</v>
      </c>
      <c r="I494">
        <v>98</v>
      </c>
      <c r="J494">
        <v>45</v>
      </c>
      <c r="K494">
        <v>72</v>
      </c>
      <c r="L494" t="s">
        <v>166</v>
      </c>
      <c r="M494">
        <v>2</v>
      </c>
    </row>
    <row r="495" spans="2:13" x14ac:dyDescent="0.25">
      <c r="B495" t="s">
        <v>686</v>
      </c>
      <c r="C495" t="s">
        <v>589</v>
      </c>
      <c r="D495" t="s">
        <v>583</v>
      </c>
      <c r="E495" t="s">
        <v>469</v>
      </c>
      <c r="F495" t="s">
        <v>17</v>
      </c>
      <c r="G495" t="s">
        <v>18</v>
      </c>
      <c r="H495" s="2">
        <v>14000</v>
      </c>
      <c r="I495">
        <v>36</v>
      </c>
      <c r="J495">
        <v>18</v>
      </c>
      <c r="K495">
        <v>39</v>
      </c>
      <c r="L495" t="s">
        <v>185</v>
      </c>
      <c r="M495">
        <v>17</v>
      </c>
    </row>
    <row r="496" spans="2:13" x14ac:dyDescent="0.25">
      <c r="B496" t="s">
        <v>687</v>
      </c>
      <c r="C496" t="s">
        <v>612</v>
      </c>
      <c r="D496" t="s">
        <v>583</v>
      </c>
      <c r="E496" t="s">
        <v>2</v>
      </c>
      <c r="F496" t="s">
        <v>22</v>
      </c>
      <c r="G496" t="s">
        <v>23</v>
      </c>
      <c r="H496" s="2">
        <v>21000</v>
      </c>
      <c r="I496">
        <v>192</v>
      </c>
      <c r="J496">
        <v>22</v>
      </c>
      <c r="K496">
        <v>48</v>
      </c>
      <c r="L496" t="s">
        <v>59</v>
      </c>
      <c r="M496">
        <v>18</v>
      </c>
    </row>
    <row r="497" spans="2:13" x14ac:dyDescent="0.25">
      <c r="B497" t="s">
        <v>688</v>
      </c>
      <c r="C497" t="s">
        <v>589</v>
      </c>
      <c r="D497" t="s">
        <v>583</v>
      </c>
      <c r="E497" t="s">
        <v>469</v>
      </c>
      <c r="F497" t="s">
        <v>85</v>
      </c>
      <c r="G497" t="s">
        <v>86</v>
      </c>
      <c r="H497" s="2">
        <v>16000</v>
      </c>
      <c r="I497">
        <v>127</v>
      </c>
      <c r="J497">
        <v>10</v>
      </c>
      <c r="K497">
        <v>33</v>
      </c>
      <c r="L497" t="s">
        <v>133</v>
      </c>
      <c r="M497">
        <v>6</v>
      </c>
    </row>
    <row r="498" spans="2:13" x14ac:dyDescent="0.25">
      <c r="B498" t="s">
        <v>689</v>
      </c>
      <c r="C498" t="s">
        <v>589</v>
      </c>
      <c r="D498" t="s">
        <v>583</v>
      </c>
      <c r="E498" t="s">
        <v>469</v>
      </c>
      <c r="F498" t="s">
        <v>48</v>
      </c>
      <c r="G498" t="s">
        <v>49</v>
      </c>
      <c r="H498" s="2">
        <v>7000</v>
      </c>
      <c r="I498">
        <v>161</v>
      </c>
      <c r="J498">
        <v>41</v>
      </c>
      <c r="K498">
        <v>47</v>
      </c>
      <c r="L498" t="s">
        <v>45</v>
      </c>
      <c r="M498">
        <v>6</v>
      </c>
    </row>
    <row r="499" spans="2:13" x14ac:dyDescent="0.25">
      <c r="B499" t="s">
        <v>690</v>
      </c>
      <c r="C499" t="s">
        <v>597</v>
      </c>
      <c r="D499" t="s">
        <v>583</v>
      </c>
      <c r="E499" t="s">
        <v>355</v>
      </c>
      <c r="F499" t="s">
        <v>48</v>
      </c>
      <c r="G499" t="s">
        <v>49</v>
      </c>
      <c r="H499" s="2">
        <v>33000</v>
      </c>
      <c r="I499">
        <v>76</v>
      </c>
      <c r="J499">
        <v>25</v>
      </c>
      <c r="K499">
        <v>55</v>
      </c>
      <c r="L499" t="s">
        <v>52</v>
      </c>
      <c r="M499">
        <v>12</v>
      </c>
    </row>
    <row r="500" spans="2:13" x14ac:dyDescent="0.25">
      <c r="B500" t="s">
        <v>691</v>
      </c>
      <c r="C500" t="s">
        <v>585</v>
      </c>
      <c r="D500" t="s">
        <v>583</v>
      </c>
      <c r="E500" t="s">
        <v>355</v>
      </c>
      <c r="F500" t="s">
        <v>17</v>
      </c>
      <c r="G500" t="s">
        <v>18</v>
      </c>
      <c r="H500" s="2">
        <v>22000</v>
      </c>
      <c r="I500">
        <v>79</v>
      </c>
      <c r="J500">
        <v>19</v>
      </c>
      <c r="K500">
        <v>26</v>
      </c>
      <c r="L500" t="s">
        <v>19</v>
      </c>
      <c r="M500">
        <v>20</v>
      </c>
    </row>
    <row r="501" spans="2:13" x14ac:dyDescent="0.25">
      <c r="B501" t="s">
        <v>692</v>
      </c>
      <c r="C501" t="s">
        <v>582</v>
      </c>
      <c r="D501" t="s">
        <v>583</v>
      </c>
      <c r="E501" t="s">
        <v>2</v>
      </c>
      <c r="F501" t="s">
        <v>55</v>
      </c>
      <c r="G501" t="s">
        <v>56</v>
      </c>
      <c r="H501" s="2">
        <v>84000</v>
      </c>
      <c r="I501">
        <v>37</v>
      </c>
      <c r="J501">
        <v>15</v>
      </c>
      <c r="K501">
        <v>34</v>
      </c>
      <c r="L501" t="s">
        <v>181</v>
      </c>
      <c r="M501">
        <v>15</v>
      </c>
    </row>
    <row r="502" spans="2:13" x14ac:dyDescent="0.25">
      <c r="B502" t="s">
        <v>693</v>
      </c>
      <c r="C502" t="s">
        <v>582</v>
      </c>
      <c r="D502" t="s">
        <v>583</v>
      </c>
      <c r="E502" t="s">
        <v>2</v>
      </c>
      <c r="F502" t="s">
        <v>36</v>
      </c>
      <c r="G502" t="s">
        <v>37</v>
      </c>
      <c r="H502" s="2">
        <v>136000</v>
      </c>
      <c r="I502">
        <v>207</v>
      </c>
      <c r="J502">
        <v>18</v>
      </c>
      <c r="K502">
        <v>51</v>
      </c>
      <c r="L502" t="s">
        <v>175</v>
      </c>
      <c r="M502">
        <v>10</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D0920-C750-4EFD-B35E-6F80F0B5D0C4}">
  <dimension ref="A1:H110"/>
  <sheetViews>
    <sheetView zoomScale="90" workbookViewId="0">
      <selection activeCell="H15" sqref="H15"/>
    </sheetView>
  </sheetViews>
  <sheetFormatPr defaultRowHeight="15" x14ac:dyDescent="0.25"/>
  <cols>
    <col min="1" max="1" width="21.7109375" bestFit="1" customWidth="1"/>
    <col min="2" max="2" width="19.5703125" bestFit="1" customWidth="1"/>
    <col min="3" max="3" width="21.140625" bestFit="1" customWidth="1"/>
    <col min="4" max="4" width="14" bestFit="1" customWidth="1"/>
    <col min="5" max="5" width="20.85546875" bestFit="1" customWidth="1"/>
    <col min="6" max="6" width="17.140625" bestFit="1" customWidth="1"/>
    <col min="7" max="7" width="7.28515625" bestFit="1" customWidth="1"/>
    <col min="8" max="8" width="9" bestFit="1" customWidth="1"/>
    <col min="9" max="9" width="17.85546875" bestFit="1" customWidth="1"/>
    <col min="10" max="10" width="32.140625" bestFit="1" customWidth="1"/>
    <col min="11" max="11" width="22.85546875" bestFit="1" customWidth="1"/>
  </cols>
  <sheetData>
    <row r="1" spans="1:8" x14ac:dyDescent="0.25">
      <c r="A1" s="4" t="s">
        <v>8497</v>
      </c>
      <c r="B1" t="s">
        <v>8513</v>
      </c>
    </row>
    <row r="3" spans="1:8" x14ac:dyDescent="0.25">
      <c r="A3" s="4" t="s">
        <v>3</v>
      </c>
      <c r="B3" t="s">
        <v>8502</v>
      </c>
      <c r="E3" s="4" t="s">
        <v>8503</v>
      </c>
      <c r="F3" s="4" t="s">
        <v>8509</v>
      </c>
    </row>
    <row r="4" spans="1:8" x14ac:dyDescent="0.25">
      <c r="A4" t="s">
        <v>599</v>
      </c>
      <c r="B4" s="2">
        <v>1150000</v>
      </c>
      <c r="E4" s="4" t="s">
        <v>4</v>
      </c>
      <c r="F4" t="s">
        <v>8510</v>
      </c>
      <c r="G4" t="s">
        <v>8511</v>
      </c>
      <c r="H4" t="s">
        <v>8512</v>
      </c>
    </row>
    <row r="5" spans="1:8" x14ac:dyDescent="0.25">
      <c r="A5" t="s">
        <v>357</v>
      </c>
      <c r="B5" s="2">
        <v>2399000</v>
      </c>
      <c r="E5" t="s">
        <v>16</v>
      </c>
      <c r="F5" s="16">
        <v>44</v>
      </c>
      <c r="G5" s="16">
        <v>32</v>
      </c>
      <c r="H5" s="16">
        <v>24</v>
      </c>
    </row>
    <row r="6" spans="1:8" x14ac:dyDescent="0.25">
      <c r="A6" t="s">
        <v>602</v>
      </c>
      <c r="B6" s="2">
        <v>8076000</v>
      </c>
      <c r="E6" t="s">
        <v>211</v>
      </c>
      <c r="F6" s="16">
        <v>41</v>
      </c>
      <c r="G6" s="16">
        <v>25</v>
      </c>
      <c r="H6" s="16">
        <v>34</v>
      </c>
    </row>
    <row r="7" spans="1:8" x14ac:dyDescent="0.25">
      <c r="A7" t="s">
        <v>240</v>
      </c>
      <c r="B7" s="2">
        <v>24700000</v>
      </c>
      <c r="E7" t="s">
        <v>583</v>
      </c>
      <c r="F7" s="16">
        <v>43</v>
      </c>
      <c r="G7" s="16">
        <v>36</v>
      </c>
      <c r="H7" s="16">
        <v>21</v>
      </c>
    </row>
    <row r="8" spans="1:8" x14ac:dyDescent="0.25">
      <c r="A8" t="s">
        <v>213</v>
      </c>
      <c r="B8" s="2">
        <v>157095000</v>
      </c>
      <c r="E8" t="s">
        <v>345</v>
      </c>
      <c r="F8" s="16">
        <v>37</v>
      </c>
      <c r="G8" s="16">
        <v>28</v>
      </c>
      <c r="H8" s="16">
        <v>35</v>
      </c>
    </row>
    <row r="9" spans="1:8" x14ac:dyDescent="0.25">
      <c r="E9" t="s">
        <v>468</v>
      </c>
      <c r="F9" s="16">
        <v>36</v>
      </c>
      <c r="G9" s="16">
        <v>37</v>
      </c>
      <c r="H9" s="16">
        <v>27</v>
      </c>
    </row>
    <row r="11" spans="1:8" x14ac:dyDescent="0.25">
      <c r="A11" s="4" t="s">
        <v>12</v>
      </c>
      <c r="B11" t="s">
        <v>8504</v>
      </c>
      <c r="C11" t="s">
        <v>8505</v>
      </c>
      <c r="E11" s="4" t="s">
        <v>8497</v>
      </c>
      <c r="F11" t="s">
        <v>8503</v>
      </c>
    </row>
    <row r="12" spans="1:8" x14ac:dyDescent="0.25">
      <c r="A12" t="s">
        <v>361</v>
      </c>
      <c r="B12" s="16">
        <v>411</v>
      </c>
      <c r="C12" s="16">
        <v>393</v>
      </c>
      <c r="E12" t="s">
        <v>8501</v>
      </c>
      <c r="F12">
        <v>387</v>
      </c>
    </row>
    <row r="13" spans="1:8" x14ac:dyDescent="0.25">
      <c r="A13" t="s">
        <v>208</v>
      </c>
      <c r="B13" s="16">
        <v>208</v>
      </c>
      <c r="C13" s="16">
        <v>164</v>
      </c>
      <c r="E13" t="s">
        <v>8506</v>
      </c>
      <c r="F13">
        <v>27</v>
      </c>
    </row>
    <row r="14" spans="1:8" x14ac:dyDescent="0.25">
      <c r="A14" t="s">
        <v>297</v>
      </c>
      <c r="B14" s="16">
        <v>741</v>
      </c>
      <c r="C14" s="16">
        <v>581</v>
      </c>
      <c r="E14" t="s">
        <v>8507</v>
      </c>
      <c r="F14">
        <v>58</v>
      </c>
    </row>
    <row r="15" spans="1:8" x14ac:dyDescent="0.25">
      <c r="A15" t="s">
        <v>149</v>
      </c>
      <c r="B15" s="16">
        <v>626</v>
      </c>
      <c r="C15" s="16">
        <v>444</v>
      </c>
      <c r="E15" t="s">
        <v>8508</v>
      </c>
      <c r="F15">
        <v>28</v>
      </c>
    </row>
    <row r="16" spans="1:8" x14ac:dyDescent="0.25">
      <c r="A16" t="s">
        <v>144</v>
      </c>
      <c r="B16" s="16">
        <v>527</v>
      </c>
      <c r="C16" s="16">
        <v>129</v>
      </c>
    </row>
    <row r="17" spans="1:3" x14ac:dyDescent="0.25">
      <c r="A17" t="s">
        <v>38</v>
      </c>
      <c r="B17" s="16">
        <v>663</v>
      </c>
      <c r="C17" s="16">
        <v>1028</v>
      </c>
    </row>
    <row r="18" spans="1:3" x14ac:dyDescent="0.25">
      <c r="A18" t="s">
        <v>173</v>
      </c>
      <c r="B18" s="16">
        <v>437</v>
      </c>
      <c r="C18" s="16">
        <v>311</v>
      </c>
    </row>
    <row r="19" spans="1:3" x14ac:dyDescent="0.25">
      <c r="A19" t="s">
        <v>104</v>
      </c>
      <c r="B19" s="16">
        <v>769</v>
      </c>
      <c r="C19" s="16">
        <v>615</v>
      </c>
    </row>
    <row r="20" spans="1:3" x14ac:dyDescent="0.25">
      <c r="A20" t="s">
        <v>147</v>
      </c>
      <c r="B20" s="16">
        <v>1094</v>
      </c>
      <c r="C20" s="16">
        <v>1043</v>
      </c>
    </row>
    <row r="21" spans="1:3" x14ac:dyDescent="0.25">
      <c r="A21" t="s">
        <v>126</v>
      </c>
      <c r="B21" s="16">
        <v>1146</v>
      </c>
      <c r="C21" s="16">
        <v>794</v>
      </c>
    </row>
    <row r="22" spans="1:3" x14ac:dyDescent="0.25">
      <c r="A22" t="s">
        <v>121</v>
      </c>
      <c r="B22" s="16">
        <v>948</v>
      </c>
      <c r="C22" s="16">
        <v>565</v>
      </c>
    </row>
    <row r="23" spans="1:3" x14ac:dyDescent="0.25">
      <c r="A23" t="s">
        <v>24</v>
      </c>
      <c r="B23" s="16">
        <v>1156</v>
      </c>
      <c r="C23" s="16">
        <v>490</v>
      </c>
    </row>
    <row r="24" spans="1:3" x14ac:dyDescent="0.25">
      <c r="A24" t="s">
        <v>279</v>
      </c>
      <c r="B24" s="16">
        <v>386</v>
      </c>
      <c r="C24" s="16">
        <v>49</v>
      </c>
    </row>
    <row r="25" spans="1:3" x14ac:dyDescent="0.25">
      <c r="A25" t="s">
        <v>34</v>
      </c>
      <c r="B25" s="16">
        <v>1170</v>
      </c>
      <c r="C25" s="16">
        <v>689</v>
      </c>
    </row>
    <row r="26" spans="1:3" x14ac:dyDescent="0.25">
      <c r="A26" t="s">
        <v>312</v>
      </c>
      <c r="B26" s="16">
        <v>682</v>
      </c>
      <c r="C26" s="16">
        <v>780</v>
      </c>
    </row>
    <row r="27" spans="1:3" x14ac:dyDescent="0.25">
      <c r="A27" t="s">
        <v>410</v>
      </c>
      <c r="B27" s="16">
        <v>259</v>
      </c>
      <c r="C27" s="16">
        <v>256</v>
      </c>
    </row>
    <row r="28" spans="1:3" x14ac:dyDescent="0.25">
      <c r="A28" t="s">
        <v>330</v>
      </c>
      <c r="B28" s="16">
        <v>416</v>
      </c>
      <c r="C28" s="16">
        <v>545</v>
      </c>
    </row>
    <row r="29" spans="1:3" x14ac:dyDescent="0.25">
      <c r="A29" t="s">
        <v>19</v>
      </c>
      <c r="B29" s="16">
        <v>927</v>
      </c>
      <c r="C29" s="16">
        <v>1194</v>
      </c>
    </row>
    <row r="30" spans="1:3" x14ac:dyDescent="0.25">
      <c r="A30" t="s">
        <v>64</v>
      </c>
      <c r="B30" s="16">
        <v>807</v>
      </c>
      <c r="C30" s="16">
        <v>763</v>
      </c>
    </row>
    <row r="31" spans="1:3" x14ac:dyDescent="0.25">
      <c r="A31" t="s">
        <v>677</v>
      </c>
      <c r="B31" s="16">
        <v>134</v>
      </c>
      <c r="C31" s="16">
        <v>24</v>
      </c>
    </row>
    <row r="32" spans="1:3" x14ac:dyDescent="0.25">
      <c r="A32" t="s">
        <v>292</v>
      </c>
      <c r="B32" s="16">
        <v>552</v>
      </c>
      <c r="C32" s="16">
        <v>244</v>
      </c>
    </row>
    <row r="33" spans="1:3" x14ac:dyDescent="0.25">
      <c r="A33" t="s">
        <v>397</v>
      </c>
      <c r="B33" s="16">
        <v>386</v>
      </c>
      <c r="C33" s="16">
        <v>374</v>
      </c>
    </row>
    <row r="34" spans="1:3" x14ac:dyDescent="0.25">
      <c r="A34" t="s">
        <v>246</v>
      </c>
      <c r="B34" s="16">
        <v>457</v>
      </c>
      <c r="C34" s="16">
        <v>193</v>
      </c>
    </row>
    <row r="35" spans="1:3" x14ac:dyDescent="0.25">
      <c r="A35" t="s">
        <v>193</v>
      </c>
      <c r="B35" s="16">
        <v>117</v>
      </c>
      <c r="C35" s="16">
        <v>249</v>
      </c>
    </row>
    <row r="36" spans="1:3" x14ac:dyDescent="0.25">
      <c r="A36" t="s">
        <v>158</v>
      </c>
      <c r="B36" s="16">
        <v>63</v>
      </c>
      <c r="C36" s="16">
        <v>174</v>
      </c>
    </row>
    <row r="37" spans="1:3" x14ac:dyDescent="0.25">
      <c r="A37" t="s">
        <v>440</v>
      </c>
      <c r="B37" s="16">
        <v>131</v>
      </c>
      <c r="C37" s="16">
        <v>178</v>
      </c>
    </row>
    <row r="38" spans="1:3" x14ac:dyDescent="0.25">
      <c r="A38" t="s">
        <v>455</v>
      </c>
      <c r="B38" s="16">
        <v>254</v>
      </c>
      <c r="C38" s="16">
        <v>191</v>
      </c>
    </row>
    <row r="39" spans="1:3" x14ac:dyDescent="0.25">
      <c r="A39" t="s">
        <v>219</v>
      </c>
      <c r="B39" s="16">
        <v>683</v>
      </c>
      <c r="C39" s="16">
        <v>595</v>
      </c>
    </row>
    <row r="40" spans="1:3" x14ac:dyDescent="0.25">
      <c r="A40" t="s">
        <v>242</v>
      </c>
      <c r="B40" s="16">
        <v>109</v>
      </c>
      <c r="C40" s="16">
        <v>495</v>
      </c>
    </row>
    <row r="41" spans="1:3" x14ac:dyDescent="0.25">
      <c r="A41" t="s">
        <v>59</v>
      </c>
      <c r="B41" s="16">
        <v>1056</v>
      </c>
      <c r="C41" s="16">
        <v>1219</v>
      </c>
    </row>
    <row r="42" spans="1:3" x14ac:dyDescent="0.25">
      <c r="A42" t="s">
        <v>140</v>
      </c>
      <c r="B42" s="16">
        <v>531</v>
      </c>
      <c r="C42" s="16">
        <v>294</v>
      </c>
    </row>
    <row r="43" spans="1:3" x14ac:dyDescent="0.25">
      <c r="A43" t="s">
        <v>100</v>
      </c>
      <c r="B43" s="16">
        <v>607</v>
      </c>
      <c r="C43" s="16">
        <v>771</v>
      </c>
    </row>
    <row r="44" spans="1:3" x14ac:dyDescent="0.25">
      <c r="A44" t="s">
        <v>230</v>
      </c>
      <c r="B44" s="16">
        <v>535</v>
      </c>
      <c r="C44" s="16">
        <v>355</v>
      </c>
    </row>
    <row r="45" spans="1:3" x14ac:dyDescent="0.25">
      <c r="A45" t="s">
        <v>464</v>
      </c>
      <c r="B45" s="16">
        <v>282</v>
      </c>
      <c r="C45" s="16">
        <v>178</v>
      </c>
    </row>
    <row r="46" spans="1:3" x14ac:dyDescent="0.25">
      <c r="A46" t="s">
        <v>423</v>
      </c>
      <c r="B46" s="16">
        <v>288</v>
      </c>
      <c r="C46" s="16">
        <v>190</v>
      </c>
    </row>
    <row r="47" spans="1:3" x14ac:dyDescent="0.25">
      <c r="A47" t="s">
        <v>50</v>
      </c>
      <c r="B47" s="16">
        <v>308</v>
      </c>
      <c r="C47" s="16">
        <v>479</v>
      </c>
    </row>
    <row r="48" spans="1:3" x14ac:dyDescent="0.25">
      <c r="A48" t="s">
        <v>113</v>
      </c>
      <c r="B48" s="16">
        <v>447</v>
      </c>
      <c r="C48" s="16">
        <v>550</v>
      </c>
    </row>
    <row r="49" spans="1:3" x14ac:dyDescent="0.25">
      <c r="A49" t="s">
        <v>42</v>
      </c>
      <c r="B49" s="16">
        <v>1043</v>
      </c>
      <c r="C49" s="16">
        <v>962</v>
      </c>
    </row>
    <row r="50" spans="1:3" x14ac:dyDescent="0.25">
      <c r="A50" t="s">
        <v>327</v>
      </c>
      <c r="B50" s="16">
        <v>1284</v>
      </c>
      <c r="C50" s="16">
        <v>755</v>
      </c>
    </row>
    <row r="51" spans="1:3" x14ac:dyDescent="0.25">
      <c r="A51" t="s">
        <v>201</v>
      </c>
      <c r="B51" s="16">
        <v>1035</v>
      </c>
      <c r="C51" s="16">
        <v>448</v>
      </c>
    </row>
    <row r="52" spans="1:3" x14ac:dyDescent="0.25">
      <c r="A52" t="s">
        <v>181</v>
      </c>
      <c r="B52" s="16">
        <v>601</v>
      </c>
      <c r="C52" s="16">
        <v>580</v>
      </c>
    </row>
    <row r="53" spans="1:3" x14ac:dyDescent="0.25">
      <c r="A53" t="s">
        <v>259</v>
      </c>
      <c r="B53" s="16">
        <v>1409</v>
      </c>
      <c r="C53" s="16">
        <v>1579</v>
      </c>
    </row>
    <row r="54" spans="1:3" x14ac:dyDescent="0.25">
      <c r="A54" t="s">
        <v>166</v>
      </c>
      <c r="B54" s="16">
        <v>557</v>
      </c>
      <c r="C54" s="16">
        <v>596</v>
      </c>
    </row>
    <row r="55" spans="1:3" x14ac:dyDescent="0.25">
      <c r="A55" t="s">
        <v>195</v>
      </c>
      <c r="B55" s="16">
        <v>278</v>
      </c>
      <c r="C55" s="16">
        <v>328</v>
      </c>
    </row>
    <row r="56" spans="1:3" x14ac:dyDescent="0.25">
      <c r="A56" t="s">
        <v>206</v>
      </c>
      <c r="B56" s="16">
        <v>738</v>
      </c>
      <c r="C56" s="16">
        <v>692</v>
      </c>
    </row>
    <row r="57" spans="1:3" x14ac:dyDescent="0.25">
      <c r="A57" t="s">
        <v>102</v>
      </c>
      <c r="B57" s="16">
        <v>651</v>
      </c>
      <c r="C57" s="16">
        <v>589</v>
      </c>
    </row>
    <row r="58" spans="1:3" x14ac:dyDescent="0.25">
      <c r="A58" t="s">
        <v>87</v>
      </c>
      <c r="B58" s="16">
        <v>411</v>
      </c>
      <c r="C58" s="16">
        <v>493</v>
      </c>
    </row>
    <row r="59" spans="1:3" x14ac:dyDescent="0.25">
      <c r="A59" t="s">
        <v>314</v>
      </c>
      <c r="B59" s="16">
        <v>376</v>
      </c>
      <c r="C59" s="16">
        <v>748</v>
      </c>
    </row>
    <row r="60" spans="1:3" x14ac:dyDescent="0.25">
      <c r="A60" t="s">
        <v>57</v>
      </c>
      <c r="B60" s="16">
        <v>790</v>
      </c>
      <c r="C60" s="16">
        <v>685</v>
      </c>
    </row>
    <row r="61" spans="1:3" x14ac:dyDescent="0.25">
      <c r="A61" t="s">
        <v>152</v>
      </c>
      <c r="B61" s="16">
        <v>442</v>
      </c>
      <c r="C61" s="16">
        <v>607</v>
      </c>
    </row>
    <row r="62" spans="1:3" x14ac:dyDescent="0.25">
      <c r="A62" t="s">
        <v>203</v>
      </c>
      <c r="B62" s="16">
        <v>495</v>
      </c>
      <c r="C62" s="16">
        <v>645</v>
      </c>
    </row>
    <row r="63" spans="1:3" x14ac:dyDescent="0.25">
      <c r="A63" t="s">
        <v>119</v>
      </c>
      <c r="B63" s="16">
        <v>756</v>
      </c>
      <c r="C63" s="16">
        <v>562</v>
      </c>
    </row>
    <row r="64" spans="1:3" x14ac:dyDescent="0.25">
      <c r="A64" t="s">
        <v>142</v>
      </c>
      <c r="B64" s="16">
        <v>566</v>
      </c>
      <c r="C64" s="16">
        <v>667</v>
      </c>
    </row>
    <row r="65" spans="1:3" x14ac:dyDescent="0.25">
      <c r="A65" t="s">
        <v>185</v>
      </c>
      <c r="B65" s="16">
        <v>540</v>
      </c>
      <c r="C65" s="16">
        <v>422</v>
      </c>
    </row>
    <row r="66" spans="1:3" x14ac:dyDescent="0.25">
      <c r="A66" t="s">
        <v>177</v>
      </c>
      <c r="B66" s="16">
        <v>435</v>
      </c>
      <c r="C66" s="16">
        <v>515</v>
      </c>
    </row>
    <row r="67" spans="1:3" x14ac:dyDescent="0.25">
      <c r="A67" t="s">
        <v>108</v>
      </c>
      <c r="B67" s="16">
        <v>1101</v>
      </c>
      <c r="C67" s="16">
        <v>1193</v>
      </c>
    </row>
    <row r="68" spans="1:3" x14ac:dyDescent="0.25">
      <c r="A68" t="s">
        <v>106</v>
      </c>
      <c r="B68" s="16">
        <v>1234</v>
      </c>
      <c r="C68" s="16">
        <v>1259</v>
      </c>
    </row>
    <row r="69" spans="1:3" x14ac:dyDescent="0.25">
      <c r="A69" t="s">
        <v>124</v>
      </c>
      <c r="B69" s="16">
        <v>919</v>
      </c>
      <c r="C69" s="16">
        <v>1343</v>
      </c>
    </row>
    <row r="70" spans="1:3" x14ac:dyDescent="0.25">
      <c r="A70" t="s">
        <v>175</v>
      </c>
      <c r="B70" s="16">
        <v>829</v>
      </c>
      <c r="C70" s="16">
        <v>636</v>
      </c>
    </row>
    <row r="71" spans="1:3" x14ac:dyDescent="0.25">
      <c r="A71" t="s">
        <v>164</v>
      </c>
      <c r="B71" s="16">
        <v>751</v>
      </c>
      <c r="C71" s="16">
        <v>681</v>
      </c>
    </row>
    <row r="72" spans="1:3" x14ac:dyDescent="0.25">
      <c r="A72" t="s">
        <v>512</v>
      </c>
      <c r="B72" s="16">
        <v>315</v>
      </c>
      <c r="C72" s="16">
        <v>264</v>
      </c>
    </row>
    <row r="73" spans="1:3" x14ac:dyDescent="0.25">
      <c r="A73" t="s">
        <v>189</v>
      </c>
      <c r="B73" s="16">
        <v>986</v>
      </c>
      <c r="C73" s="16">
        <v>668</v>
      </c>
    </row>
    <row r="74" spans="1:3" x14ac:dyDescent="0.25">
      <c r="A74" t="s">
        <v>69</v>
      </c>
      <c r="B74" s="16">
        <v>799</v>
      </c>
      <c r="C74" s="16">
        <v>899</v>
      </c>
    </row>
    <row r="75" spans="1:3" x14ac:dyDescent="0.25">
      <c r="A75" t="s">
        <v>133</v>
      </c>
      <c r="B75" s="16">
        <v>386</v>
      </c>
      <c r="C75" s="16">
        <v>487</v>
      </c>
    </row>
    <row r="76" spans="1:3" x14ac:dyDescent="0.25">
      <c r="A76" t="s">
        <v>117</v>
      </c>
      <c r="B76" s="16">
        <v>655</v>
      </c>
      <c r="C76" s="16">
        <v>724</v>
      </c>
    </row>
    <row r="77" spans="1:3" x14ac:dyDescent="0.25">
      <c r="A77" t="s">
        <v>93</v>
      </c>
      <c r="B77" s="16">
        <v>582</v>
      </c>
      <c r="C77" s="16">
        <v>954</v>
      </c>
    </row>
    <row r="78" spans="1:3" x14ac:dyDescent="0.25">
      <c r="A78" t="s">
        <v>324</v>
      </c>
      <c r="B78" s="16">
        <v>782</v>
      </c>
      <c r="C78" s="16">
        <v>593</v>
      </c>
    </row>
    <row r="79" spans="1:3" x14ac:dyDescent="0.25">
      <c r="A79" t="s">
        <v>274</v>
      </c>
      <c r="B79" s="16">
        <v>538</v>
      </c>
      <c r="C79" s="16">
        <v>709</v>
      </c>
    </row>
    <row r="80" spans="1:3" x14ac:dyDescent="0.25">
      <c r="A80" t="s">
        <v>83</v>
      </c>
      <c r="B80" s="16">
        <v>660</v>
      </c>
      <c r="C80" s="16">
        <v>610</v>
      </c>
    </row>
    <row r="81" spans="1:3" x14ac:dyDescent="0.25">
      <c r="A81" t="s">
        <v>73</v>
      </c>
      <c r="B81" s="16">
        <v>558</v>
      </c>
      <c r="C81" s="16">
        <v>547</v>
      </c>
    </row>
    <row r="82" spans="1:3" x14ac:dyDescent="0.25">
      <c r="A82" t="s">
        <v>221</v>
      </c>
      <c r="B82" s="16">
        <v>732</v>
      </c>
      <c r="C82" s="16">
        <v>597</v>
      </c>
    </row>
    <row r="83" spans="1:3" x14ac:dyDescent="0.25">
      <c r="A83" t="s">
        <v>287</v>
      </c>
      <c r="B83" s="16">
        <v>814</v>
      </c>
      <c r="C83" s="16">
        <v>623</v>
      </c>
    </row>
    <row r="84" spans="1:3" x14ac:dyDescent="0.25">
      <c r="A84" t="s">
        <v>368</v>
      </c>
      <c r="B84" s="16">
        <v>1354</v>
      </c>
      <c r="C84" s="16">
        <v>637</v>
      </c>
    </row>
    <row r="85" spans="1:3" x14ac:dyDescent="0.25">
      <c r="A85" t="s">
        <v>257</v>
      </c>
      <c r="B85" s="16">
        <v>156</v>
      </c>
      <c r="C85" s="16">
        <v>162</v>
      </c>
    </row>
    <row r="86" spans="1:3" x14ac:dyDescent="0.25">
      <c r="A86" t="s">
        <v>95</v>
      </c>
      <c r="B86" s="16">
        <v>796</v>
      </c>
      <c r="C86" s="16">
        <v>904</v>
      </c>
    </row>
    <row r="87" spans="1:3" x14ac:dyDescent="0.25">
      <c r="A87" t="s">
        <v>71</v>
      </c>
      <c r="B87" s="16">
        <v>746</v>
      </c>
      <c r="C87" s="16">
        <v>566</v>
      </c>
    </row>
    <row r="88" spans="1:3" x14ac:dyDescent="0.25">
      <c r="A88" t="s">
        <v>161</v>
      </c>
      <c r="B88" s="16">
        <v>654</v>
      </c>
      <c r="C88" s="16">
        <v>601</v>
      </c>
    </row>
    <row r="89" spans="1:3" x14ac:dyDescent="0.25">
      <c r="A89" t="s">
        <v>129</v>
      </c>
      <c r="B89" s="16">
        <v>888</v>
      </c>
      <c r="C89" s="16">
        <v>815</v>
      </c>
    </row>
    <row r="90" spans="1:3" x14ac:dyDescent="0.25">
      <c r="A90" t="s">
        <v>155</v>
      </c>
      <c r="B90" s="16">
        <v>352</v>
      </c>
      <c r="C90" s="16">
        <v>275</v>
      </c>
    </row>
    <row r="91" spans="1:3" x14ac:dyDescent="0.25">
      <c r="A91" t="s">
        <v>265</v>
      </c>
      <c r="B91" s="16">
        <v>619</v>
      </c>
      <c r="C91" s="16">
        <v>455</v>
      </c>
    </row>
    <row r="92" spans="1:3" x14ac:dyDescent="0.25">
      <c r="A92" t="s">
        <v>79</v>
      </c>
      <c r="B92" s="16">
        <v>473</v>
      </c>
      <c r="C92" s="16">
        <v>663</v>
      </c>
    </row>
    <row r="93" spans="1:3" x14ac:dyDescent="0.25">
      <c r="A93" t="s">
        <v>250</v>
      </c>
      <c r="B93" s="16">
        <v>483</v>
      </c>
      <c r="C93" s="16">
        <v>869</v>
      </c>
    </row>
    <row r="94" spans="1:3" x14ac:dyDescent="0.25">
      <c r="A94" t="s">
        <v>310</v>
      </c>
      <c r="B94" s="16">
        <v>412</v>
      </c>
      <c r="C94" s="16">
        <v>530</v>
      </c>
    </row>
    <row r="95" spans="1:3" x14ac:dyDescent="0.25">
      <c r="A95" t="s">
        <v>45</v>
      </c>
      <c r="B95" s="16">
        <v>882</v>
      </c>
      <c r="C95" s="16">
        <v>603</v>
      </c>
    </row>
    <row r="96" spans="1:3" x14ac:dyDescent="0.25">
      <c r="A96" t="s">
        <v>98</v>
      </c>
      <c r="B96" s="16">
        <v>635</v>
      </c>
      <c r="C96" s="16">
        <v>849</v>
      </c>
    </row>
    <row r="97" spans="1:3" x14ac:dyDescent="0.25">
      <c r="A97" t="s">
        <v>305</v>
      </c>
      <c r="B97" s="16">
        <v>333</v>
      </c>
      <c r="C97" s="16">
        <v>132</v>
      </c>
    </row>
    <row r="98" spans="1:3" x14ac:dyDescent="0.25">
      <c r="A98" t="s">
        <v>289</v>
      </c>
      <c r="B98" s="16">
        <v>931</v>
      </c>
      <c r="C98" s="16">
        <v>1137</v>
      </c>
    </row>
    <row r="99" spans="1:3" x14ac:dyDescent="0.25">
      <c r="A99" t="s">
        <v>294</v>
      </c>
      <c r="B99" s="16">
        <v>370</v>
      </c>
      <c r="C99" s="16">
        <v>523</v>
      </c>
    </row>
    <row r="100" spans="1:3" x14ac:dyDescent="0.25">
      <c r="A100" t="s">
        <v>52</v>
      </c>
      <c r="B100" s="16">
        <v>1143</v>
      </c>
      <c r="C100" s="16">
        <v>981</v>
      </c>
    </row>
    <row r="101" spans="1:3" x14ac:dyDescent="0.25">
      <c r="A101" t="s">
        <v>183</v>
      </c>
      <c r="B101" s="16">
        <v>716</v>
      </c>
      <c r="C101" s="16">
        <v>974</v>
      </c>
    </row>
    <row r="102" spans="1:3" x14ac:dyDescent="0.25">
      <c r="A102" t="s">
        <v>27</v>
      </c>
      <c r="B102" s="16">
        <v>939</v>
      </c>
      <c r="C102" s="16">
        <v>634</v>
      </c>
    </row>
    <row r="103" spans="1:3" x14ac:dyDescent="0.25">
      <c r="A103" t="s">
        <v>77</v>
      </c>
      <c r="B103" s="16">
        <v>850</v>
      </c>
      <c r="C103" s="16">
        <v>825</v>
      </c>
    </row>
    <row r="104" spans="1:3" x14ac:dyDescent="0.25">
      <c r="A104" t="s">
        <v>89</v>
      </c>
      <c r="B104" s="16">
        <v>534</v>
      </c>
      <c r="C104" s="16">
        <v>535</v>
      </c>
    </row>
    <row r="105" spans="1:3" x14ac:dyDescent="0.25">
      <c r="A105" t="s">
        <v>574</v>
      </c>
      <c r="B105" s="16">
        <v>92</v>
      </c>
      <c r="C105" s="16">
        <v>49</v>
      </c>
    </row>
    <row r="106" spans="1:3" x14ac:dyDescent="0.25">
      <c r="A106" t="s">
        <v>67</v>
      </c>
      <c r="B106" s="16">
        <v>711</v>
      </c>
      <c r="C106" s="16">
        <v>640</v>
      </c>
    </row>
    <row r="107" spans="1:3" x14ac:dyDescent="0.25">
      <c r="A107" t="s">
        <v>110</v>
      </c>
      <c r="B107" s="16">
        <v>1202</v>
      </c>
      <c r="C107" s="16">
        <v>1044</v>
      </c>
    </row>
    <row r="108" spans="1:3" x14ac:dyDescent="0.25">
      <c r="A108" t="s">
        <v>30</v>
      </c>
      <c r="B108" s="16">
        <v>722</v>
      </c>
      <c r="C108" s="16">
        <v>487</v>
      </c>
    </row>
    <row r="109" spans="1:3" x14ac:dyDescent="0.25">
      <c r="A109" t="s">
        <v>75</v>
      </c>
      <c r="B109" s="16">
        <v>901</v>
      </c>
      <c r="C109" s="16">
        <v>973</v>
      </c>
    </row>
    <row r="110" spans="1:3" x14ac:dyDescent="0.25">
      <c r="A110" t="s">
        <v>171</v>
      </c>
      <c r="B110" s="16">
        <v>804</v>
      </c>
      <c r="C110" s="16">
        <v>805</v>
      </c>
    </row>
  </sheetData>
  <pageMargins left="0.7" right="0.7" top="0.75" bottom="0.75" header="0.3" footer="0.3"/>
  <pageSetup orientation="portrait"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STOCK IN</vt:lpstr>
      <vt:lpstr>STOCK OUT</vt:lpstr>
      <vt:lpstr>CURRENT STOCK</vt:lpstr>
      <vt:lpstr>Item Master</vt:lpstr>
      <vt:lpstr>PIVOT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Office</cp:lastModifiedBy>
  <cp:lastPrinted>2026-10-24T07:08:44Z</cp:lastPrinted>
  <dcterms:created xsi:type="dcterms:W3CDTF">2026-10-20T14:21:57Z</dcterms:created>
  <dcterms:modified xsi:type="dcterms:W3CDTF">2026-10-24T07:08:50Z</dcterms:modified>
</cp:coreProperties>
</file>